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B:\310_Macros_GIT-master\310_Macros_GIT-master\"/>
    </mc:Choice>
  </mc:AlternateContent>
  <bookViews>
    <workbookView xWindow="0" yWindow="450" windowWidth="24000" windowHeight="9765"/>
  </bookViews>
  <sheets>
    <sheet name="BatchCreate" sheetId="6" r:id="rId1"/>
    <sheet name="MAIN" sheetId="1" r:id="rId2"/>
    <sheet name="TOTAL" sheetId="2" r:id="rId3"/>
    <sheet name="MASTER" sheetId="3" r:id="rId4"/>
    <sheet name="MASTER TOTAL" sheetId="5" r:id="rId5"/>
    <sheet name="Categories" sheetId="8" r:id="rId6"/>
  </sheets>
  <functionGroups builtInGroupCount="18"/>
  <externalReferences>
    <externalReference r:id="rId7"/>
    <externalReference r:id="rId8"/>
    <externalReference r:id="rId9"/>
    <externalReference r:id="rId10"/>
  </externalReferences>
  <definedNames>
    <definedName name="CA">Categories!$I$1:$I$39</definedName>
    <definedName name="_xlnm.Print_Area" localSheetId="4">'MASTER TOTAL'!$A$1:$R$38</definedName>
    <definedName name="Subject">MAIN!$O$76:$O$77</definedName>
    <definedName name="test">"{""alfa"";""beta"";""theta"";""gamma""}"</definedName>
    <definedName name="TX">Categories!$I$42:$I$92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" i="2"/>
  <c r="F32" i="6" l="1"/>
  <c r="G32" i="6" s="1"/>
  <c r="H32" i="6" s="1"/>
  <c r="L32" i="6"/>
  <c r="N32" i="6" s="1"/>
  <c r="O32" i="6" l="1"/>
  <c r="J32" i="6"/>
  <c r="I32" i="6"/>
  <c r="M29" i="5"/>
  <c r="F31" i="6" l="1"/>
  <c r="G31" i="6" s="1"/>
  <c r="H31" i="6" s="1"/>
  <c r="L31" i="6"/>
  <c r="N31" i="6" s="1"/>
  <c r="O31" i="6" l="1"/>
  <c r="J31" i="6"/>
  <c r="I31" i="6"/>
  <c r="F30" i="6"/>
  <c r="G30" i="6" s="1"/>
  <c r="H30" i="6" s="1"/>
  <c r="L30" i="6"/>
  <c r="N30" i="6" s="1"/>
  <c r="O30" i="6" l="1"/>
  <c r="J30" i="6"/>
  <c r="I30" i="6"/>
  <c r="F29" i="6"/>
  <c r="G29" i="6" s="1"/>
  <c r="H29" i="6" s="1"/>
  <c r="L29" i="6"/>
  <c r="N29" i="6" s="1"/>
  <c r="O29" i="6" l="1"/>
  <c r="I29" i="6"/>
  <c r="J29" i="6"/>
  <c r="F28" i="6"/>
  <c r="G28" i="6" s="1"/>
  <c r="H28" i="6" s="1"/>
  <c r="L28" i="6"/>
  <c r="N28" i="6" s="1"/>
  <c r="O28" i="6" l="1"/>
  <c r="J28" i="6"/>
  <c r="I28" i="6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4" i="3"/>
  <c r="L5" i="3"/>
  <c r="L6" i="3"/>
  <c r="L7" i="3"/>
  <c r="L8" i="3"/>
  <c r="L9" i="3"/>
  <c r="L10" i="3"/>
  <c r="L11" i="3"/>
  <c r="L12" i="3"/>
  <c r="L13" i="3"/>
  <c r="L14" i="3"/>
  <c r="A3" i="2"/>
  <c r="F27" i="6" l="1"/>
  <c r="G27" i="6" s="1"/>
  <c r="H27" i="6" s="1"/>
  <c r="L27" i="6"/>
  <c r="N27" i="6" s="1"/>
  <c r="F26" i="6"/>
  <c r="G26" i="6" s="1"/>
  <c r="H26" i="6" s="1"/>
  <c r="L26" i="6"/>
  <c r="N26" i="6" s="1"/>
  <c r="F25" i="6"/>
  <c r="G25" i="6" s="1"/>
  <c r="H25" i="6" s="1"/>
  <c r="L25" i="6"/>
  <c r="N25" i="6" s="1"/>
  <c r="F24" i="6"/>
  <c r="G24" i="6" s="1"/>
  <c r="H24" i="6" s="1"/>
  <c r="L24" i="6"/>
  <c r="N24" i="6" s="1"/>
  <c r="F23" i="6"/>
  <c r="G23" i="6" s="1"/>
  <c r="H23" i="6" s="1"/>
  <c r="L23" i="6"/>
  <c r="N23" i="6" s="1"/>
  <c r="F22" i="6"/>
  <c r="G22" i="6" s="1"/>
  <c r="H22" i="6" s="1"/>
  <c r="L22" i="6"/>
  <c r="N22" i="6" s="1"/>
  <c r="F21" i="6"/>
  <c r="G21" i="6" s="1"/>
  <c r="H21" i="6" s="1"/>
  <c r="L21" i="6"/>
  <c r="N21" i="6" s="1"/>
  <c r="F19" i="6"/>
  <c r="F20" i="6"/>
  <c r="G19" i="6"/>
  <c r="G20" i="6"/>
  <c r="H19" i="6"/>
  <c r="H20" i="6"/>
  <c r="I19" i="6"/>
  <c r="I20" i="6"/>
  <c r="J19" i="6"/>
  <c r="J20" i="6"/>
  <c r="L19" i="6"/>
  <c r="L20" i="6"/>
  <c r="N19" i="6"/>
  <c r="N20" i="6"/>
  <c r="O19" i="6"/>
  <c r="O20" i="6"/>
  <c r="F17" i="6"/>
  <c r="F18" i="6"/>
  <c r="G17" i="6"/>
  <c r="G18" i="6"/>
  <c r="H17" i="6"/>
  <c r="H18" i="6"/>
  <c r="I17" i="6"/>
  <c r="I18" i="6"/>
  <c r="J17" i="6"/>
  <c r="J18" i="6"/>
  <c r="L17" i="6"/>
  <c r="L18" i="6"/>
  <c r="N17" i="6"/>
  <c r="N18" i="6"/>
  <c r="O17" i="6"/>
  <c r="O18" i="6"/>
  <c r="F16" i="6"/>
  <c r="G16" i="6" s="1"/>
  <c r="H16" i="6" s="1"/>
  <c r="L16" i="6"/>
  <c r="N16" i="6" s="1"/>
  <c r="F15" i="6"/>
  <c r="G15" i="6" s="1"/>
  <c r="H15" i="6" s="1"/>
  <c r="L15" i="6"/>
  <c r="N15" i="6" s="1"/>
  <c r="F14" i="6"/>
  <c r="G14" i="6" s="1"/>
  <c r="H14" i="6" s="1"/>
  <c r="L14" i="6"/>
  <c r="N14" i="6" s="1"/>
  <c r="F13" i="6"/>
  <c r="G13" i="6"/>
  <c r="H13" i="6" s="1"/>
  <c r="L13" i="6"/>
  <c r="O13" i="6" s="1"/>
  <c r="N13" i="6"/>
  <c r="F12" i="6"/>
  <c r="G12" i="6" s="1"/>
  <c r="H12" i="6" s="1"/>
  <c r="L12" i="6"/>
  <c r="N12" i="6" s="1"/>
  <c r="F11" i="6"/>
  <c r="G11" i="6"/>
  <c r="H11" i="6" s="1"/>
  <c r="L11" i="6"/>
  <c r="N11" i="6" s="1"/>
  <c r="F10" i="6"/>
  <c r="G10" i="6" s="1"/>
  <c r="H10" i="6" s="1"/>
  <c r="L10" i="6"/>
  <c r="N10" i="6" s="1"/>
  <c r="F9" i="6"/>
  <c r="G9" i="6" s="1"/>
  <c r="H9" i="6" s="1"/>
  <c r="L9" i="6"/>
  <c r="N9" i="6" s="1"/>
  <c r="F8" i="6"/>
  <c r="G8" i="6" s="1"/>
  <c r="H8" i="6" s="1"/>
  <c r="L8" i="6"/>
  <c r="N8" i="6" s="1"/>
  <c r="F6" i="6"/>
  <c r="G6" i="6" s="1"/>
  <c r="H6" i="6" s="1"/>
  <c r="F7" i="6"/>
  <c r="G7" i="6" s="1"/>
  <c r="H7" i="6" s="1"/>
  <c r="L6" i="6"/>
  <c r="N6" i="6" s="1"/>
  <c r="L7" i="6"/>
  <c r="N7" i="6" s="1"/>
  <c r="I11" i="6" l="1"/>
  <c r="J11" i="6"/>
  <c r="J13" i="6"/>
  <c r="I13" i="6"/>
  <c r="O26" i="6"/>
  <c r="O25" i="6"/>
  <c r="O27" i="6"/>
  <c r="J27" i="6"/>
  <c r="I27" i="6"/>
  <c r="J26" i="6"/>
  <c r="I26" i="6"/>
  <c r="O24" i="6"/>
  <c r="J25" i="6"/>
  <c r="I25" i="6"/>
  <c r="J24" i="6"/>
  <c r="I24" i="6"/>
  <c r="O21" i="6"/>
  <c r="O22" i="6"/>
  <c r="O23" i="6"/>
  <c r="J23" i="6"/>
  <c r="I23" i="6"/>
  <c r="J22" i="6"/>
  <c r="I22" i="6"/>
  <c r="J21" i="6"/>
  <c r="I21" i="6"/>
  <c r="O11" i="6"/>
  <c r="O16" i="6"/>
  <c r="O14" i="6"/>
  <c r="O15" i="6"/>
  <c r="J16" i="6"/>
  <c r="I16" i="6"/>
  <c r="J15" i="6"/>
  <c r="I15" i="6"/>
  <c r="O12" i="6"/>
  <c r="J14" i="6"/>
  <c r="I14" i="6"/>
  <c r="J12" i="6"/>
  <c r="I12" i="6"/>
  <c r="O10" i="6"/>
  <c r="O9" i="6"/>
  <c r="O8" i="6"/>
  <c r="I7" i="6"/>
  <c r="J7" i="6"/>
  <c r="O7" i="6"/>
  <c r="I6" i="6"/>
  <c r="J6" i="6"/>
  <c r="O6" i="6"/>
  <c r="J10" i="6"/>
  <c r="I10" i="6"/>
  <c r="J9" i="6"/>
  <c r="I9" i="6"/>
  <c r="J8" i="6"/>
  <c r="I8" i="6"/>
  <c r="F5" i="6" l="1"/>
  <c r="G5" i="6" s="1"/>
  <c r="H5" i="6" s="1"/>
  <c r="L5" i="6"/>
  <c r="O5" i="6" s="1"/>
  <c r="N5" i="6" l="1"/>
  <c r="I5" i="6"/>
  <c r="J5" i="6"/>
  <c r="F4" i="6"/>
  <c r="G4" i="6" s="1"/>
  <c r="H4" i="6" s="1"/>
  <c r="I4" i="6" s="1"/>
  <c r="L4" i="6"/>
  <c r="O4" i="6" s="1"/>
  <c r="N4" i="6" l="1"/>
  <c r="J4" i="6"/>
  <c r="L3" i="6"/>
  <c r="O3" i="6" s="1"/>
  <c r="C11" i="1"/>
  <c r="N3" i="6" l="1"/>
  <c r="F3" i="6"/>
  <c r="G3" i="6" s="1"/>
  <c r="H3" i="6" s="1"/>
  <c r="I3" i="6" l="1"/>
  <c r="J3" i="6"/>
  <c r="M35" i="5"/>
  <c r="J29" i="5"/>
  <c r="M37" i="5" s="1"/>
  <c r="M28" i="5" a="1"/>
  <c r="M28" i="5" s="1"/>
  <c r="L28" i="5"/>
  <c r="M27" i="5" a="1"/>
  <c r="M27" i="5" s="1"/>
  <c r="L27" i="5"/>
  <c r="M26" i="5" a="1"/>
  <c r="M26" i="5" s="1"/>
  <c r="L26" i="5"/>
  <c r="M25" i="5"/>
  <c r="M25" i="5" a="1"/>
  <c r="L25" i="5"/>
  <c r="M24" i="5" a="1"/>
  <c r="M24" i="5" s="1"/>
  <c r="L24" i="5"/>
  <c r="M23" i="5" a="1"/>
  <c r="M23" i="5" s="1"/>
  <c r="L23" i="5"/>
  <c r="M22" i="5" a="1"/>
  <c r="M22" i="5" s="1"/>
  <c r="L22" i="5"/>
  <c r="M21" i="5"/>
  <c r="M21" i="5" a="1"/>
  <c r="L21" i="5"/>
  <c r="M20" i="5" a="1"/>
  <c r="M20" i="5" s="1"/>
  <c r="L20" i="5"/>
  <c r="M19" i="5" a="1"/>
  <c r="M19" i="5" s="1"/>
  <c r="L19" i="5"/>
  <c r="M18" i="5" a="1"/>
  <c r="M18" i="5" s="1"/>
  <c r="L18" i="5"/>
  <c r="M17" i="5"/>
  <c r="M17" i="5" a="1"/>
  <c r="L17" i="5"/>
  <c r="M16" i="5" a="1"/>
  <c r="M16" i="5" s="1"/>
  <c r="L16" i="5"/>
  <c r="M15" i="5" a="1"/>
  <c r="M15" i="5" s="1"/>
  <c r="L15" i="5"/>
  <c r="M14" i="5" a="1"/>
  <c r="M14" i="5" s="1"/>
  <c r="L14" i="5"/>
  <c r="M13" i="5"/>
  <c r="M13" i="5" a="1"/>
  <c r="L13" i="5"/>
  <c r="M12" i="5" a="1"/>
  <c r="M12" i="5" s="1"/>
  <c r="L12" i="5"/>
  <c r="M11" i="5" a="1"/>
  <c r="M11" i="5" s="1"/>
  <c r="L11" i="5"/>
  <c r="M10" i="5" a="1"/>
  <c r="M10" i="5" s="1"/>
  <c r="L10" i="5"/>
  <c r="M9" i="5"/>
  <c r="M9" i="5" a="1"/>
  <c r="L9" i="5"/>
  <c r="M8" i="5" a="1"/>
  <c r="M8" i="5" s="1"/>
  <c r="L8" i="5"/>
  <c r="M7" i="5" a="1"/>
  <c r="M7" i="5" s="1"/>
  <c r="L7" i="5"/>
  <c r="M6" i="5" a="1"/>
  <c r="M6" i="5" s="1"/>
  <c r="L6" i="5"/>
  <c r="M5" i="5"/>
  <c r="M5" i="5" a="1"/>
  <c r="L5" i="5"/>
  <c r="M31" i="5" s="1"/>
  <c r="M33" i="5" s="1"/>
  <c r="M4" i="5" a="1"/>
  <c r="M4" i="5" s="1"/>
  <c r="L4" i="5"/>
  <c r="I3" i="5"/>
  <c r="H3" i="5"/>
  <c r="G3" i="5"/>
  <c r="F3" i="5"/>
  <c r="E3" i="5"/>
  <c r="D3" i="5"/>
  <c r="B2" i="5"/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E24" i="2" s="1"/>
  <c r="A2" i="2" l="1"/>
  <c r="D77" i="1"/>
  <c r="F77" i="1" s="1"/>
  <c r="G77" i="1" l="1"/>
  <c r="H77" i="1" s="1"/>
  <c r="F78" i="1"/>
  <c r="M28" i="3" a="1"/>
  <c r="M28" i="3" s="1"/>
  <c r="M27" i="3" a="1"/>
  <c r="M27" i="3" s="1"/>
  <c r="M26" i="3" a="1"/>
  <c r="M26" i="3" s="1"/>
  <c r="M25" i="3" a="1"/>
  <c r="M25" i="3" s="1"/>
  <c r="M24" i="3" a="1"/>
  <c r="M24" i="3" s="1"/>
  <c r="M23" i="3" a="1"/>
  <c r="M23" i="3" s="1"/>
  <c r="M22" i="3" a="1"/>
  <c r="M22" i="3" s="1"/>
  <c r="M21" i="3" a="1"/>
  <c r="M21" i="3" s="1"/>
  <c r="M20" i="3" a="1"/>
  <c r="M20" i="3" s="1"/>
  <c r="M19" i="3" a="1"/>
  <c r="M19" i="3" s="1"/>
  <c r="M18" i="3" a="1"/>
  <c r="M18" i="3" s="1"/>
  <c r="M17" i="3" a="1"/>
  <c r="M17" i="3" s="1"/>
  <c r="M16" i="3" a="1"/>
  <c r="M16" i="3" s="1"/>
  <c r="M15" i="3" a="1"/>
  <c r="M15" i="3" s="1"/>
  <c r="M14" i="3" a="1"/>
  <c r="M14" i="3" s="1"/>
  <c r="M13" i="3" a="1"/>
  <c r="M13" i="3" s="1"/>
  <c r="M12" i="3" a="1"/>
  <c r="M12" i="3" s="1"/>
  <c r="M11" i="3" a="1"/>
  <c r="M11" i="3" s="1"/>
  <c r="M10" i="3" a="1"/>
  <c r="M10" i="3" s="1"/>
  <c r="M9" i="3" a="1"/>
  <c r="M9" i="3" s="1"/>
  <c r="M8" i="3" a="1"/>
  <c r="M8" i="3" s="1"/>
  <c r="M7" i="3" a="1"/>
  <c r="M7" i="3" s="1"/>
  <c r="M6" i="3" a="1"/>
  <c r="M6" i="3" s="1"/>
  <c r="M5" i="3" a="1"/>
  <c r="M5" i="3" s="1"/>
  <c r="M4" i="3" a="1"/>
  <c r="M4" i="3" s="1"/>
  <c r="I3" i="3"/>
  <c r="H3" i="3"/>
  <c r="G3" i="3"/>
  <c r="F3" i="3"/>
  <c r="E3" i="3"/>
  <c r="D3" i="3"/>
  <c r="B2" i="3"/>
  <c r="M29" i="3" l="1"/>
  <c r="M31" i="3" s="1"/>
  <c r="M33" i="3" s="1"/>
</calcChain>
</file>

<file path=xl/sharedStrings.xml><?xml version="1.0" encoding="utf-8"?>
<sst xmlns="http://schemas.openxmlformats.org/spreadsheetml/2006/main" count="320" uniqueCount="230">
  <si>
    <t>Total this month:</t>
  </si>
  <si>
    <t>Subject</t>
  </si>
  <si>
    <t>1. 3000 System</t>
  </si>
  <si>
    <t>2. Billing</t>
  </si>
  <si>
    <t>3. Clock In (319 open office)</t>
  </si>
  <si>
    <t>4. Communication</t>
  </si>
  <si>
    <t>5. HR</t>
  </si>
  <si>
    <t>6. Insurance</t>
  </si>
  <si>
    <t>7. Inventory maintenance</t>
  </si>
  <si>
    <t>8. Marketing</t>
  </si>
  <si>
    <t>9. Meeting</t>
  </si>
  <si>
    <t>10. Payroll</t>
  </si>
  <si>
    <t>11. Purchase technology</t>
  </si>
  <si>
    <t>12. Reports</t>
  </si>
  <si>
    <t>13. Scanning</t>
  </si>
  <si>
    <t>14. Scheduling</t>
  </si>
  <si>
    <t>15. Software</t>
  </si>
  <si>
    <t>16. Technical maintenance</t>
  </si>
  <si>
    <t>17. Technical support</t>
  </si>
  <si>
    <t>18. Training</t>
  </si>
  <si>
    <t>Total this month</t>
  </si>
  <si>
    <t>Daily Time Sheet</t>
  </si>
  <si>
    <t>Put Info</t>
  </si>
  <si>
    <t>Do NOT touch</t>
  </si>
  <si>
    <t>END</t>
  </si>
  <si>
    <t>Time started:</t>
  </si>
  <si>
    <t>Time ended By computer</t>
  </si>
  <si>
    <t>Time Calculated by Computer</t>
  </si>
  <si>
    <t>Budget</t>
  </si>
  <si>
    <t xml:space="preserve">Total Time        Task Took </t>
  </si>
  <si>
    <t>Out of Budget</t>
  </si>
  <si>
    <t>Notes</t>
  </si>
  <si>
    <t>TOTAL</t>
  </si>
  <si>
    <t>Time</t>
  </si>
  <si>
    <t>Paycheck Total</t>
  </si>
  <si>
    <t>Overtime Total</t>
  </si>
  <si>
    <t>Total Hours this Week</t>
  </si>
  <si>
    <t>Daily Overtime Total:</t>
  </si>
  <si>
    <t>Weekly Overtime Total:</t>
  </si>
  <si>
    <t>Category</t>
  </si>
  <si>
    <t>Your First and Last Name: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</si>
  <si>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</si>
  <si>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</si>
  <si>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</si>
  <si>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</si>
  <si>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</si>
  <si>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</si>
  <si>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</si>
  <si>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</si>
  <si>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</si>
  <si>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</si>
  <si>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</si>
  <si>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</si>
  <si>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</si>
  <si>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Year</t>
  </si>
  <si>
    <t>Usage:</t>
  </si>
  <si>
    <t>1. Allow macroses. No virus applied. For internal use only.</t>
  </si>
  <si>
    <t>2. Enter your name to the field. Be attentive, as this isessential for script to work.</t>
  </si>
  <si>
    <t>3. Enter month and year you need 310 for.</t>
  </si>
  <si>
    <t>4. Click create, if you need to create the 310.</t>
  </si>
  <si>
    <t>4.1. Use update, if you are referred by developers with changes applied to master sheets.</t>
  </si>
  <si>
    <t>5. In case of any questions refer to developers.</t>
  </si>
  <si>
    <t>19. Odessa office</t>
  </si>
  <si>
    <t>20. HR ODS &amp; MD</t>
  </si>
  <si>
    <t>21. 310</t>
  </si>
  <si>
    <t>O78:O98</t>
  </si>
  <si>
    <t>Table Range</t>
  </si>
  <si>
    <t>CA/TX:</t>
  </si>
  <si>
    <t>TX</t>
  </si>
  <si>
    <t>CA</t>
  </si>
  <si>
    <t>1 - Clock in</t>
  </si>
  <si>
    <t>2 - Mails/Emails</t>
  </si>
  <si>
    <t xml:space="preserve">3 - Work Orders </t>
  </si>
  <si>
    <t xml:space="preserve">4 - Paylease/Rentroll </t>
  </si>
  <si>
    <t xml:space="preserve">5 - Phone calls/voicemails </t>
  </si>
  <si>
    <t>6 - MLS</t>
  </si>
  <si>
    <t>7 - Meetings</t>
  </si>
  <si>
    <t>8 - Training</t>
  </si>
  <si>
    <t>9 - Applications</t>
  </si>
  <si>
    <t>10.1 - Bookkeeping</t>
  </si>
  <si>
    <t>10.2 - Billing/Invoicing</t>
  </si>
  <si>
    <t>10.3 - Paying bills</t>
  </si>
  <si>
    <t>10.4 - Bank Reconciliation</t>
  </si>
  <si>
    <t>10.5 - Account Reconciliation</t>
  </si>
  <si>
    <t>10.6 - Financial Statement preparation</t>
  </si>
  <si>
    <t>10.7 - Month-end closing</t>
  </si>
  <si>
    <t>10.8 - Auditing of books</t>
  </si>
  <si>
    <t>10.9 - Depreciation Schedule</t>
  </si>
  <si>
    <t xml:space="preserve">11 - Lease extensions/ New Lease </t>
  </si>
  <si>
    <t xml:space="preserve">12 - Showing Properties </t>
  </si>
  <si>
    <t xml:space="preserve">13 - Walk through/ Inspections </t>
  </si>
  <si>
    <t>14 - HOA, Taxes, Insurances</t>
  </si>
  <si>
    <t>15 - Reports</t>
  </si>
  <si>
    <t>16 - Auction - Excel list</t>
  </si>
  <si>
    <t>16.1 - Auction - Realist Report</t>
  </si>
  <si>
    <t>16.2 - Auction - Tax Report</t>
  </si>
  <si>
    <t>16.3 - Auction - Sales CMA</t>
  </si>
  <si>
    <t>16.4 - Auction - Rental CMA</t>
  </si>
  <si>
    <t>16.5 - Auction - Deed</t>
  </si>
  <si>
    <t>16.6 - Auction - checking www.har.com</t>
  </si>
  <si>
    <t>16.7 - Auction - google property</t>
  </si>
  <si>
    <t>17 - 319/Task</t>
  </si>
  <si>
    <t>22. Management</t>
  </si>
  <si>
    <t>First and Last Name</t>
  </si>
  <si>
    <t>CA/TX</t>
  </si>
  <si>
    <t>d</t>
  </si>
  <si>
    <t>da</t>
  </si>
  <si>
    <t>dda</t>
  </si>
  <si>
    <t>weekday</t>
  </si>
  <si>
    <t>maxday</t>
  </si>
  <si>
    <t>Folder Location</t>
  </si>
  <si>
    <t>FileName</t>
  </si>
  <si>
    <t>TaxiService</t>
  </si>
  <si>
    <t>Taxi Compensation</t>
  </si>
  <si>
    <t>FinalFolder</t>
  </si>
  <si>
    <t xml:space="preserve">Dmitri Murtazin </t>
  </si>
  <si>
    <t xml:space="preserve">Alexander Druzenko </t>
  </si>
  <si>
    <t>Demi Valantsevich</t>
  </si>
  <si>
    <t>AddFileName</t>
  </si>
  <si>
    <t>Create Folder</t>
  </si>
  <si>
    <t>2. 310</t>
  </si>
  <si>
    <t>3. Billing</t>
  </si>
  <si>
    <t>4. Clinical Data Entry</t>
  </si>
  <si>
    <t>5. Clinical Projects</t>
  </si>
  <si>
    <t>6. Clinical Reports</t>
  </si>
  <si>
    <t>7. Clock In (319 open office)</t>
  </si>
  <si>
    <t>8. Collection HI</t>
  </si>
  <si>
    <t>10 - Accounting</t>
  </si>
  <si>
    <t>Andriy Novokhatkin</t>
  </si>
  <si>
    <t>Anna Fedorova</t>
  </si>
  <si>
    <t>Jessie Andriushenko</t>
  </si>
  <si>
    <t>Natali Lebid</t>
  </si>
  <si>
    <t>Olga Panayotova</t>
  </si>
  <si>
    <t>Andrii Kulbaba</t>
  </si>
  <si>
    <t>Julia Melikhova</t>
  </si>
  <si>
    <t>Angela Gorcea</t>
  </si>
  <si>
    <t>Ecaterina Gurenco</t>
  </si>
  <si>
    <t>Irina Caldare</t>
  </si>
  <si>
    <t>Natalia Protiuc</t>
  </si>
  <si>
    <t>Natalia Slobozeanu</t>
  </si>
  <si>
    <t>Oxana Radzievici</t>
  </si>
  <si>
    <t>Petru Zatic</t>
  </si>
  <si>
    <t>Olga Tiju</t>
  </si>
  <si>
    <t>Sergiu Racu</t>
  </si>
  <si>
    <t>Walter Aldana</t>
  </si>
  <si>
    <t>Sonia Arias</t>
  </si>
  <si>
    <t>Jaleen Dunston</t>
  </si>
  <si>
    <t>Rita Zelaya</t>
  </si>
  <si>
    <t>10.7.1 Month-end closing - July</t>
  </si>
  <si>
    <t>10.7.2 Month-end closing - August</t>
  </si>
  <si>
    <t>10.7.3 Month-end closing - September</t>
  </si>
  <si>
    <t>10.7.4 Month-end closing - October</t>
  </si>
  <si>
    <t>10.7.5 Month-end closing - November</t>
  </si>
  <si>
    <t>10.7.6 Month-end closing - December</t>
  </si>
  <si>
    <t>10.10 Accounting Documentation</t>
  </si>
  <si>
    <t>10.11 Payroll</t>
  </si>
  <si>
    <t>10.12 Audit binder preparation</t>
  </si>
  <si>
    <t>10.13 Firm administration</t>
  </si>
  <si>
    <t>10.14 Clerical work</t>
  </si>
  <si>
    <t>Victor Boleac</t>
  </si>
  <si>
    <t>Nancy Loziienko</t>
  </si>
  <si>
    <t>18 - Research</t>
  </si>
  <si>
    <t>9.1. Mails/Emails</t>
  </si>
  <si>
    <t>9.2. Phone Calls/Viber</t>
  </si>
  <si>
    <t>11. HR Frontdesk</t>
  </si>
  <si>
    <t>12. HR ODS &amp; MD</t>
  </si>
  <si>
    <t>13. HR California</t>
  </si>
  <si>
    <t>14. Insurance</t>
  </si>
  <si>
    <t>15. Inventory maintenance</t>
  </si>
  <si>
    <t>16. Management</t>
  </si>
  <si>
    <t>17. Marketing</t>
  </si>
  <si>
    <t>18. Meeting</t>
  </si>
  <si>
    <t>20. Payroll</t>
  </si>
  <si>
    <t>21. Purchase technology</t>
  </si>
  <si>
    <t>22. Recruitment</t>
  </si>
  <si>
    <t>10. Contact Regional Center</t>
  </si>
  <si>
    <t>22.1. Recruitment MD/ODS</t>
  </si>
  <si>
    <t>Mike Gheneralov</t>
  </si>
  <si>
    <t>Helen Greniukh</t>
  </si>
  <si>
    <t>Gerson Barrera</t>
  </si>
  <si>
    <t>Max Tanskiy</t>
  </si>
  <si>
    <t>Anna Andreeva</t>
  </si>
  <si>
    <t>11.1. Mentoring</t>
  </si>
  <si>
    <t>20.1. DS Forms</t>
  </si>
  <si>
    <t>19. Management</t>
  </si>
  <si>
    <t>20. Technical maintenance</t>
  </si>
  <si>
    <t>22. HR</t>
  </si>
  <si>
    <t>21. Technical support</t>
  </si>
  <si>
    <t>23. - Break</t>
  </si>
  <si>
    <t>24. - Clock-out</t>
  </si>
  <si>
    <t>1.1. 3000 Reports</t>
  </si>
  <si>
    <t>1.2. 3000 Authorization</t>
  </si>
  <si>
    <t>1.3. 3000 Assessment</t>
  </si>
  <si>
    <t>1.4. 3000 Services</t>
  </si>
  <si>
    <t>\\p09x\E\Dropbox (BEST)\002 data base\0300 Data base - Bureaucracy\Odessa Branch\310\310_Alexander Druzenko</t>
  </si>
  <si>
    <t>\\p09x\E\Dropbox (BEST)\002 data base\0300 Data base - Bureaucracy\Odessa Branch\310\310_Andrew Novokhatkin</t>
  </si>
  <si>
    <t>\\p09x\E\Dropbox (BEST)\002 data base\0300 Data base - Bureaucracy\Odessa Branch\310\310_Anna Fedorova</t>
  </si>
  <si>
    <t>\\p09x\E\Dropbox (BEST)\002 data base\0300 Data base - Bureaucracy\Odessa Branch\310\310_Dmitriy _Demi_ Valantsevich\Feb_2018</t>
  </si>
  <si>
    <t>\\p09x\E\Dropbox (BEST)\002 data base\0300 Data base - Bureaucracy\Odessa Branch\310\310_Dmitri I_Murtazin\2018</t>
  </si>
  <si>
    <t>\\p09x\E\Dropbox (BEST)\002 data base\0300 Data base - Bureaucracy\Odessa Branch\310\310_Galyna_Greniukh</t>
  </si>
  <si>
    <t>\\p09x\E\Dropbox (BEST)\002 data base\0300 Data base - Bureaucracy\Odessa Branch\310\310_Jessie_Andriushenko</t>
  </si>
  <si>
    <t>\\p09x\E\Dropbox (BEST)\002 data base\0300 Data base - Bureaucracy\Odessa Branch\310\310_Nataliia Lebid</t>
  </si>
  <si>
    <t>\\p09x\E\Dropbox (BEST)\002 data base\0300 Data base - Bureaucracy\Odessa Branch\310\310_Olga Panayotova</t>
  </si>
  <si>
    <t>\\p09x\E\Dropbox (BEST)\016 MD_TX_CA</t>
  </si>
  <si>
    <t>\\p09x\E\Dropbox (BEST)\002 data base\0300 Data base - Bureaucracy\Moldova Branch\002 md database\0300 md_data base_bureacracy\310\310_angela gorcea</t>
  </si>
  <si>
    <t>\\p09x\E\Dropbox (BEST)\002 data base\0300 Data base - Bureaucracy\Moldova Branch\002 md database\0300 md_data base_bureacracy\310\310_ecaterina gurenco</t>
  </si>
  <si>
    <t>\\p09x\E\Dropbox (BEST)\002 data base\0300 Data base - Bureaucracy\Moldova Branch\002 md database\0300 md_data base_bureacracy\310\310_irina caldare</t>
  </si>
  <si>
    <t>\\p09x\E\Dropbox (BEST)\002 data base\0300 Data base - Bureaucracy\Moldova Branch\002 md database\0300 md_data base_bureacracy\310\310_natalia protiuc</t>
  </si>
  <si>
    <t>\\p09x\E\Dropbox (BEST)\002 data base\0300 Data base - Bureaucracy\Moldova Branch\002 md database\0300 md_data base_bureacracy\310\310_natalia slobozeanu</t>
  </si>
  <si>
    <t>\\p09x\E\Dropbox (BEST)\002 data base\0300 Data base - Bureaucracy\Moldova Branch\002 md database\0300 md_data base_bureacracy\310\310_Oxana Radzievici</t>
  </si>
  <si>
    <t>\\p09x\E\Dropbox (BEST)\002 data base\0300 Data base - Bureaucracy\Moldova Branch\002 md database\0300 md_data base_bureacracy\310\310_Petru Zatic</t>
  </si>
  <si>
    <t>\\p09x\E\Dropbox (BEST)\002 data base\0300 Data base - Bureaucracy\310\310-Walter Aldana</t>
  </si>
  <si>
    <t>\\p09x\E\Dropbox (BEST)\002 data base\0300 Data base - Bureaucracy\310\310-Sonia Arias</t>
  </si>
  <si>
    <t>\\p09x\E\Dropbox (BEST)\002 data base\0300 Data base - Bureaucracy\310\310- jaleen dunston\2018</t>
  </si>
  <si>
    <t>\\p09x\E\Dropbox (BEST)\002 data base\0300 Data base - Bureaucracy\310\310-Rita Zelaya</t>
  </si>
  <si>
    <t>\\p09x\E\Dropbox (BEST)\002 data base\0300 Data base - Bureaucracy\Moldova Branch\002 md database\0300 md_data base_bureacracy\310\310_Victor Boleac</t>
  </si>
  <si>
    <t>\\p09x\E\Dropbox (BEST)\002 data base\0300 Data base - Bureaucracy\Odessa Branch\310\310_Nancy Loziienko</t>
  </si>
  <si>
    <t>\\p09x\E\Dropbox (BEST)\002 data base\0300 Data base - Bureaucracy\Odessa Branch\310\310_Max Tanskyi</t>
  </si>
  <si>
    <t>\\p09x\E\Dropbox (BEST)\002 data base\0300 Data base - Bureaucracy\Odessa Branch\310\310_Anna Andreeva</t>
  </si>
  <si>
    <t>vasya</t>
  </si>
  <si>
    <t>23. Reports</t>
  </si>
  <si>
    <t>24. Research</t>
  </si>
  <si>
    <t>25. Scanning</t>
  </si>
  <si>
    <t>25.1. Filing</t>
  </si>
  <si>
    <t>26. Scheduling</t>
  </si>
  <si>
    <t>27. Software</t>
  </si>
  <si>
    <t>28. Technical maintenance</t>
  </si>
  <si>
    <t>29. Technical support</t>
  </si>
  <si>
    <t>30. Training</t>
  </si>
  <si>
    <t>31. HIPAA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</si>
</sst>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:mm:ss;@"/>
    <numFmt numFmtId="165" formatCode="0.00;[Red]0.00"/>
    <numFmt numFmtId="166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imes New Roman"/>
      <family val="1"/>
    </font>
    <font>
      <b/>
      <sz val="20"/>
      <name val="Times New Roman"/>
      <family val="1"/>
    </font>
    <font>
      <b/>
      <sz val="18"/>
      <name val="Times New Roman"/>
      <family val="1"/>
    </font>
    <font>
      <b/>
      <sz val="11"/>
      <name val="Times New Roman"/>
      <family val="1"/>
    </font>
    <font>
      <b/>
      <sz val="12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b/>
      <sz val="10"/>
      <color indexed="10"/>
      <name val="Times New Roman"/>
      <family val="1"/>
    </font>
    <font>
      <b/>
      <sz val="14"/>
      <name val="Times New Roman"/>
      <family val="1"/>
    </font>
    <font>
      <b/>
      <sz val="16"/>
      <name val="Times New Roman"/>
      <family val="1"/>
    </font>
    <font>
      <b/>
      <sz val="16"/>
      <color indexed="10"/>
      <name val="Times New Roman"/>
      <family val="1"/>
    </font>
    <font>
      <b/>
      <sz val="14"/>
      <color indexed="10"/>
      <name val="Times New Roman"/>
      <family val="1"/>
    </font>
    <font>
      <b/>
      <sz val="13"/>
      <name val="Times New Roman"/>
      <family val="1"/>
    </font>
    <font>
      <sz val="10"/>
      <color rgb="FF00000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0A010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name val="Arial Narrow"/>
      <family val="2"/>
      <charset val="204"/>
    </font>
    <font>
      <b/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  <charset val="204"/>
    </font>
    <font>
      <sz val="12"/>
      <color rgb="FF000000"/>
      <name val="Times New Roman"/>
      <family val="1"/>
      <charset val="204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2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29" fillId="0" borderId="0" applyNumberFormat="0" applyFill="0" applyBorder="0" applyAlignment="0" applyProtection="0"/>
  </cellStyleXfs>
  <cellXfs count="118">
    <xf numFmtId="0" fontId="0" fillId="0" borderId="0" xfId="0"/>
    <xf numFmtId="0" fontId="1" fillId="0" borderId="0" xfId="0" applyFont="1" applyBorder="1"/>
    <xf numFmtId="0" fontId="1" fillId="0" borderId="0" xfId="0" applyFont="1"/>
    <xf numFmtId="2" fontId="0" fillId="0" borderId="0" xfId="0" applyNumberFormat="1"/>
    <xf numFmtId="164" fontId="1" fillId="0" borderId="0" xfId="0" applyNumberFormat="1" applyFont="1" applyFill="1"/>
    <xf numFmtId="165" fontId="0" fillId="0" borderId="0" xfId="0" applyNumberFormat="1"/>
    <xf numFmtId="0" fontId="2" fillId="2" borderId="0" xfId="0" applyFont="1" applyFill="1" applyAlignment="1"/>
    <xf numFmtId="0" fontId="3" fillId="3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 applyAlignment="1"/>
    <xf numFmtId="0" fontId="2" fillId="2" borderId="0" xfId="0" applyFont="1" applyFill="1" applyBorder="1" applyAlignment="1"/>
    <xf numFmtId="0" fontId="2" fillId="2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6" fontId="5" fillId="3" borderId="0" xfId="0" applyNumberFormat="1" applyFont="1" applyFill="1" applyBorder="1" applyAlignment="1">
      <alignment horizontal="center"/>
    </xf>
    <xf numFmtId="166" fontId="5" fillId="2" borderId="0" xfId="0" applyNumberFormat="1" applyFont="1" applyFill="1" applyBorder="1" applyAlignment="1">
      <alignment horizontal="center"/>
    </xf>
    <xf numFmtId="0" fontId="6" fillId="2" borderId="1" xfId="0" applyFont="1" applyFill="1" applyBorder="1" applyAlignment="1">
      <alignment horizontal="left"/>
    </xf>
    <xf numFmtId="0" fontId="2" fillId="2" borderId="2" xfId="0" applyFont="1" applyFill="1" applyBorder="1" applyAlignment="1"/>
    <xf numFmtId="0" fontId="3" fillId="3" borderId="3" xfId="0" applyFont="1" applyFill="1" applyBorder="1" applyAlignment="1">
      <alignment horizontal="center" wrapText="1"/>
    </xf>
    <xf numFmtId="0" fontId="7" fillId="3" borderId="3" xfId="0" applyFont="1" applyFill="1" applyBorder="1" applyAlignment="1" applyProtection="1">
      <alignment horizontal="center" textRotation="90" wrapText="1"/>
      <protection locked="0"/>
    </xf>
    <xf numFmtId="0" fontId="7" fillId="3" borderId="3" xfId="0" applyFont="1" applyFill="1" applyBorder="1" applyAlignment="1">
      <alignment horizontal="center" textRotation="90" wrapText="1"/>
    </xf>
    <xf numFmtId="0" fontId="7" fillId="4" borderId="3" xfId="0" applyFont="1" applyFill="1" applyBorder="1" applyAlignment="1">
      <alignment horizontal="center" textRotation="90" wrapText="1"/>
    </xf>
    <xf numFmtId="0" fontId="8" fillId="2" borderId="0" xfId="0" applyFont="1" applyFill="1" applyBorder="1"/>
    <xf numFmtId="20" fontId="9" fillId="4" borderId="3" xfId="0" applyNumberFormat="1" applyFont="1" applyFill="1" applyBorder="1" applyAlignment="1" applyProtection="1">
      <alignment horizontal="center"/>
      <protection locked="0"/>
    </xf>
    <xf numFmtId="20" fontId="7" fillId="3" borderId="3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 wrapText="1"/>
    </xf>
    <xf numFmtId="0" fontId="8" fillId="2" borderId="3" xfId="0" applyFont="1" applyFill="1" applyBorder="1"/>
    <xf numFmtId="0" fontId="2" fillId="2" borderId="0" xfId="0" applyFont="1" applyFill="1"/>
    <xf numFmtId="0" fontId="2" fillId="0" borderId="3" xfId="0" applyFont="1" applyFill="1" applyBorder="1" applyAlignment="1" applyProtection="1">
      <alignment horizontal="left" wrapText="1"/>
      <protection locked="0"/>
    </xf>
    <xf numFmtId="0" fontId="8" fillId="0" borderId="3" xfId="0" applyFont="1" applyFill="1" applyBorder="1"/>
    <xf numFmtId="20" fontId="2" fillId="2" borderId="3" xfId="0" applyNumberFormat="1" applyFont="1" applyFill="1" applyBorder="1" applyAlignment="1">
      <alignment horizontal="center" wrapText="1"/>
    </xf>
    <xf numFmtId="0" fontId="7" fillId="2" borderId="3" xfId="0" applyFont="1" applyFill="1" applyBorder="1" applyAlignment="1" applyProtection="1">
      <alignment horizontal="center" wrapText="1"/>
      <protection locked="0"/>
    </xf>
    <xf numFmtId="0" fontId="8" fillId="3" borderId="0" xfId="0" applyFont="1" applyFill="1" applyBorder="1" applyAlignment="1"/>
    <xf numFmtId="0" fontId="2" fillId="3" borderId="0" xfId="0" applyFont="1" applyFill="1" applyBorder="1" applyAlignment="1"/>
    <xf numFmtId="0" fontId="10" fillId="3" borderId="4" xfId="0" applyFont="1" applyFill="1" applyBorder="1" applyAlignment="1">
      <alignment horizontal="left"/>
    </xf>
    <xf numFmtId="0" fontId="10" fillId="3" borderId="4" xfId="0" applyFont="1" applyFill="1" applyBorder="1" applyAlignment="1">
      <alignment horizontal="right"/>
    </xf>
    <xf numFmtId="0" fontId="10" fillId="3" borderId="0" xfId="0" applyFont="1" applyFill="1" applyBorder="1" applyAlignment="1">
      <alignment horizontal="right"/>
    </xf>
    <xf numFmtId="20" fontId="6" fillId="4" borderId="5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left"/>
    </xf>
    <xf numFmtId="20" fontId="9" fillId="3" borderId="0" xfId="0" applyNumberFormat="1" applyFont="1" applyFill="1" applyBorder="1" applyAlignment="1" applyProtection="1">
      <alignment horizontal="center"/>
      <protection locked="0"/>
    </xf>
    <xf numFmtId="2" fontId="11" fillId="3" borderId="0" xfId="0" applyNumberFormat="1" applyFont="1" applyFill="1" applyBorder="1" applyAlignment="1">
      <alignment horizontal="center"/>
    </xf>
    <xf numFmtId="0" fontId="2" fillId="3" borderId="0" xfId="0" applyFont="1" applyFill="1" applyAlignment="1"/>
    <xf numFmtId="2" fontId="11" fillId="4" borderId="5" xfId="0" applyNumberFormat="1" applyFont="1" applyFill="1" applyBorder="1" applyAlignment="1">
      <alignment horizontal="center"/>
    </xf>
    <xf numFmtId="20" fontId="11" fillId="3" borderId="0" xfId="0" applyNumberFormat="1" applyFont="1" applyFill="1" applyBorder="1" applyAlignment="1">
      <alignment horizontal="center"/>
    </xf>
    <xf numFmtId="0" fontId="12" fillId="3" borderId="0" xfId="0" applyFont="1" applyFill="1" applyBorder="1" applyAlignment="1">
      <alignment horizontal="center"/>
    </xf>
    <xf numFmtId="0" fontId="13" fillId="3" borderId="0" xfId="0" applyFont="1" applyFill="1" applyBorder="1" applyAlignment="1">
      <alignment horizontal="right"/>
    </xf>
    <xf numFmtId="2" fontId="12" fillId="4" borderId="5" xfId="0" applyNumberFormat="1" applyFont="1" applyFill="1" applyBorder="1" applyAlignment="1">
      <alignment horizontal="center"/>
    </xf>
    <xf numFmtId="0" fontId="2" fillId="0" borderId="3" xfId="0" applyFont="1" applyFill="1" applyBorder="1" applyAlignment="1" applyProtection="1">
      <alignment horizontal="center" wrapText="1"/>
      <protection locked="0"/>
    </xf>
    <xf numFmtId="0" fontId="2" fillId="2" borderId="3" xfId="0" applyFont="1" applyFill="1" applyBorder="1" applyAlignment="1" applyProtection="1">
      <alignment horizontal="center" wrapText="1"/>
      <protection locked="0"/>
    </xf>
    <xf numFmtId="0" fontId="8" fillId="0" borderId="3" xfId="0" applyFont="1" applyFill="1" applyBorder="1" applyAlignment="1" applyProtection="1">
      <alignment horizontal="left" wrapText="1"/>
      <protection locked="0"/>
    </xf>
    <xf numFmtId="0" fontId="14" fillId="3" borderId="0" xfId="0" applyFont="1" applyFill="1" applyBorder="1" applyAlignment="1">
      <alignment horizontal="left"/>
    </xf>
    <xf numFmtId="2" fontId="12" fillId="3" borderId="0" xfId="0" applyNumberFormat="1" applyFon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2" fontId="2" fillId="3" borderId="0" xfId="0" applyNumberFormat="1" applyFont="1" applyFill="1" applyBorder="1" applyAlignment="1">
      <alignment horizontal="center"/>
    </xf>
    <xf numFmtId="0" fontId="2" fillId="3" borderId="0" xfId="0" applyFont="1" applyFill="1"/>
    <xf numFmtId="0" fontId="2" fillId="2" borderId="0" xfId="0" quotePrefix="1" applyFont="1" applyFill="1"/>
    <xf numFmtId="0" fontId="2" fillId="0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15" fillId="0" borderId="7" xfId="0" applyFont="1" applyBorder="1" applyAlignment="1">
      <alignment horizontal="left" vertical="center" wrapText="1" indent="1"/>
    </xf>
    <xf numFmtId="0" fontId="15" fillId="0" borderId="8" xfId="0" applyFont="1" applyBorder="1" applyAlignment="1">
      <alignment horizontal="left" vertical="center" wrapText="1" indent="1"/>
    </xf>
    <xf numFmtId="0" fontId="16" fillId="0" borderId="0" xfId="0" applyFont="1"/>
    <xf numFmtId="0" fontId="16" fillId="0" borderId="0" xfId="0" applyFont="1" applyAlignment="1">
      <alignment horizontal="right" vertical="center"/>
    </xf>
    <xf numFmtId="0" fontId="16" fillId="0" borderId="5" xfId="0" applyFont="1" applyBorder="1"/>
    <xf numFmtId="0" fontId="16" fillId="0" borderId="0" xfId="0" applyFont="1" applyAlignment="1">
      <alignment horizontal="right"/>
    </xf>
    <xf numFmtId="0" fontId="0" fillId="0" borderId="5" xfId="0" applyBorder="1"/>
    <xf numFmtId="0" fontId="18" fillId="0" borderId="0" xfId="0" applyFont="1"/>
    <xf numFmtId="0" fontId="15" fillId="0" borderId="8" xfId="0" applyFont="1" applyFill="1" applyBorder="1" applyAlignment="1">
      <alignment horizontal="left" vertical="center" wrapText="1" indent="1"/>
    </xf>
    <xf numFmtId="0" fontId="15" fillId="0" borderId="9" xfId="0" applyFont="1" applyFill="1" applyBorder="1" applyAlignment="1">
      <alignment horizontal="left" vertical="center" wrapText="1" indent="1"/>
    </xf>
    <xf numFmtId="0" fontId="19" fillId="0" borderId="0" xfId="0" applyFont="1"/>
    <xf numFmtId="0" fontId="1" fillId="0" borderId="18" xfId="0" applyFont="1" applyBorder="1"/>
    <xf numFmtId="0" fontId="1" fillId="0" borderId="18" xfId="0" applyFont="1" applyFill="1" applyBorder="1"/>
    <xf numFmtId="0" fontId="0" fillId="0" borderId="18" xfId="0" applyBorder="1"/>
    <xf numFmtId="0" fontId="15" fillId="0" borderId="5" xfId="0" applyFont="1" applyFill="1" applyBorder="1" applyAlignment="1">
      <alignment horizontal="left" vertical="center" wrapText="1" indent="1"/>
    </xf>
    <xf numFmtId="0" fontId="3" fillId="0" borderId="0" xfId="0" applyFont="1" applyFill="1" applyBorder="1" applyAlignment="1">
      <alignment horizontal="center" wrapText="1"/>
    </xf>
    <xf numFmtId="0" fontId="20" fillId="0" borderId="19" xfId="0" applyFont="1" applyBorder="1"/>
    <xf numFmtId="0" fontId="16" fillId="0" borderId="19" xfId="0" applyFont="1" applyBorder="1"/>
    <xf numFmtId="0" fontId="22" fillId="0" borderId="19" xfId="0" applyFont="1" applyBorder="1"/>
    <xf numFmtId="0" fontId="16" fillId="0" borderId="20" xfId="0" applyFont="1" applyBorder="1"/>
    <xf numFmtId="0" fontId="16" fillId="0" borderId="20" xfId="0" applyNumberFormat="1" applyFont="1" applyBorder="1"/>
    <xf numFmtId="0" fontId="16" fillId="0" borderId="21" xfId="0" applyFont="1" applyBorder="1"/>
    <xf numFmtId="0" fontId="0" fillId="0" borderId="18" xfId="0" applyFont="1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9" xfId="0" applyFont="1" applyBorder="1" applyAlignment="1">
      <alignment horizontal="left" vertical="top"/>
    </xf>
    <xf numFmtId="0" fontId="16" fillId="0" borderId="5" xfId="0" applyNumberFormat="1" applyFont="1" applyBorder="1"/>
    <xf numFmtId="0" fontId="0" fillId="0" borderId="20" xfId="0" applyFont="1" applyBorder="1" applyAlignment="1">
      <alignment horizontal="left" vertical="center" wrapText="1"/>
    </xf>
    <xf numFmtId="0" fontId="0" fillId="0" borderId="19" xfId="0" applyFont="1" applyFill="1" applyBorder="1" applyAlignment="1">
      <alignment horizontal="left" vertical="top"/>
    </xf>
    <xf numFmtId="0" fontId="0" fillId="0" borderId="22" xfId="0" applyBorder="1" applyAlignment="1">
      <alignment horizontal="left" vertical="top"/>
    </xf>
    <xf numFmtId="0" fontId="23" fillId="0" borderId="19" xfId="0" applyFont="1" applyFill="1" applyBorder="1" applyAlignment="1"/>
    <xf numFmtId="0" fontId="0" fillId="0" borderId="0" xfId="0" applyBorder="1"/>
    <xf numFmtId="0" fontId="15" fillId="0" borderId="8" xfId="0" applyFont="1" applyBorder="1" applyAlignment="1">
      <alignment horizontal="left" vertical="center" wrapText="1"/>
    </xf>
    <xf numFmtId="0" fontId="15" fillId="0" borderId="23" xfId="0" applyFont="1" applyBorder="1" applyAlignment="1">
      <alignment horizontal="left" vertical="center" wrapText="1"/>
    </xf>
    <xf numFmtId="0" fontId="24" fillId="6" borderId="18" xfId="0" applyFont="1" applyFill="1" applyBorder="1" applyAlignment="1">
      <alignment horizontal="left" vertical="center" wrapText="1"/>
    </xf>
    <xf numFmtId="0" fontId="24" fillId="0" borderId="18" xfId="0" applyFont="1" applyBorder="1"/>
    <xf numFmtId="0" fontId="1" fillId="0" borderId="24" xfId="0" applyFont="1" applyBorder="1"/>
    <xf numFmtId="0" fontId="1" fillId="0" borderId="23" xfId="0" applyFont="1" applyBorder="1"/>
    <xf numFmtId="0" fontId="15" fillId="0" borderId="25" xfId="0" applyFont="1" applyBorder="1" applyAlignment="1">
      <alignment horizontal="left" vertical="center" wrapText="1" indent="1"/>
    </xf>
    <xf numFmtId="9" fontId="26" fillId="0" borderId="0" xfId="2" applyFont="1"/>
    <xf numFmtId="0" fontId="16" fillId="0" borderId="1" xfId="0" applyFont="1" applyBorder="1" applyAlignment="1">
      <alignment horizontal="center"/>
    </xf>
    <xf numFmtId="0" fontId="16" fillId="0" borderId="6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13" xfId="0" applyFill="1" applyBorder="1"/>
    <xf numFmtId="0" fontId="0" fillId="5" borderId="0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16" fillId="0" borderId="0" xfId="0" applyFont="1" applyAlignment="1">
      <alignment horizontal="right" vertical="center"/>
    </xf>
    <xf numFmtId="0" fontId="17" fillId="0" borderId="1" xfId="0" applyFont="1" applyBorder="1" applyAlignment="1">
      <alignment horizontal="center"/>
    </xf>
    <xf numFmtId="0" fontId="17" fillId="0" borderId="6" xfId="0" applyFont="1" applyBorder="1" applyAlignment="1">
      <alignment horizontal="center"/>
    </xf>
    <xf numFmtId="0" fontId="17" fillId="0" borderId="2" xfId="0" applyFont="1" applyBorder="1" applyAlignment="1">
      <alignment horizontal="center"/>
    </xf>
    <xf numFmtId="0" fontId="0" fillId="5" borderId="10" xfId="0" applyFill="1" applyBorder="1"/>
    <xf numFmtId="0" fontId="0" fillId="5" borderId="11" xfId="0" applyFill="1" applyBorder="1"/>
    <xf numFmtId="0" fontId="0" fillId="5" borderId="12" xfId="0" applyFill="1" applyBorder="1"/>
    <xf numFmtId="0" fontId="21" fillId="0" borderId="0" xfId="0" applyFont="1" applyAlignment="1">
      <alignment horizontal="center"/>
    </xf>
    <xf numFmtId="0" fontId="29" fillId="0" borderId="19" xfId="3" applyBorder="1"/>
    <xf numFmtId="0" fontId="29" fillId="0" borderId="20" xfId="3" applyBorder="1"/>
    <xf numFmtId="0" fontId="29" fillId="0" borderId="5" xfId="3" applyBorder="1"/>
  </cellXfs>
  <cellStyles count="4">
    <cellStyle name="Hyperlink" xfId="3" builtinId="8"/>
    <cellStyle name="Normal" xfId="0" builtinId="0"/>
    <cellStyle name="Normal 2" xfId="1"/>
    <cellStyle name="Percent" xfId="2" builtinId="5"/>
  </cellStyles>
  <dxfs count="17"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numFmt numFmtId="0" formatCode="General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95250</xdr:colOff>
          <xdr:row>4</xdr:row>
          <xdr:rowOff>19050</xdr:rowOff>
        </xdr:from>
        <xdr:to>
          <xdr:col>18</xdr:col>
          <xdr:colOff>104775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All Files!!!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104775</xdr:colOff>
          <xdr:row>6</xdr:row>
          <xdr:rowOff>180975</xdr:rowOff>
        </xdr:from>
        <xdr:to>
          <xdr:col>18</xdr:col>
          <xdr:colOff>95250</xdr:colOff>
          <xdr:row>8</xdr:row>
          <xdr:rowOff>200025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 Directories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5</xdr:col>
          <xdr:colOff>0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Create New 310 for Month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36</xdr:row>
          <xdr:rowOff>9525</xdr:rowOff>
        </xdr:from>
        <xdr:to>
          <xdr:col>4</xdr:col>
          <xdr:colOff>19050</xdr:colOff>
          <xdr:row>39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uk-U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Update 310 with Changes from Master and Master Total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\Desktop\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6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4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microsoft.com/office/2006/relationships/xlExternalLinkPath/xlPathMissing" Target="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TAL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Master"/>
      <sheetName val="Master OT Total"/>
      <sheetName val="Category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>
        <row r="2">
          <cell r="B2">
            <v>42979</v>
          </cell>
        </row>
        <row r="3">
          <cell r="C3" t="str">
            <v>319 Task</v>
          </cell>
          <cell r="D3" t="str">
            <v>Meeting</v>
          </cell>
          <cell r="E3" t="str">
            <v>Project</v>
          </cell>
          <cell r="F3" t="str">
            <v>Ed Tasks</v>
          </cell>
          <cell r="G3" t="str">
            <v>Scheduling</v>
          </cell>
          <cell r="H3" t="str">
            <v>HR</v>
          </cell>
        </row>
      </sheetData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6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BatchList" displayName="BatchList" ref="B2:P32" totalsRowShown="0" dataDxfId="16">
  <autoFilter ref="B2:P32"/>
  <tableColumns count="15">
    <tableColumn id="1" name="First and Last Name"/>
    <tableColumn id="2" name="Month" dataDxfId="15"/>
    <tableColumn id="3" name="Year" dataDxfId="14"/>
    <tableColumn id="4" name="CA/TX" dataDxfId="13"/>
    <tableColumn id="5" name="d" dataDxfId="12">
      <calculatedColumnFormula>MATCH(C3,MAIN!$S$77:$S$88,0)</calculatedColumnFormula>
    </tableColumn>
    <tableColumn id="6" name="da" dataDxfId="11">
      <calculatedColumnFormula>CONCATENATE(F3,"/","01","/",D3)</calculatedColumnFormula>
    </tableColumn>
    <tableColumn id="7" name="dda" dataDxfId="10">
      <calculatedColumnFormula>DATEVALUE(G3)</calculatedColumnFormula>
    </tableColumn>
    <tableColumn id="8" name="weekday" dataDxfId="9">
      <calculatedColumnFormula>WEEKDAY(H3,2)</calculatedColumnFormula>
    </tableColumn>
    <tableColumn id="9" name="maxday" dataDxfId="8">
      <calculatedColumnFormula>DAY(EOMONTH($H3,0))</calculatedColumnFormula>
    </tableColumn>
    <tableColumn id="10" name="Folder Location" dataDxfId="7"/>
    <tableColumn id="11" name="FileName" dataDxfId="6">
      <calculatedColumnFormula>CONCATENATE("310 - ",BatchList[First and Last Name]," - ",LEFT(BatchList[Month],3),"_",BatchList[Year])</calculatedColumnFormula>
    </tableColumn>
    <tableColumn id="12" name="TaxiService" dataDxfId="5"/>
    <tableColumn id="13" name="FinalFolder" dataDxfId="4">
      <calculatedColumnFormula>CONCATENATE(BatchList[Folder Location],"\",BatchList[FileName],".xlsx")</calculatedColumnFormula>
    </tableColumn>
    <tableColumn id="14" name="AddFileName" dataDxfId="3">
      <calculatedColumnFormula>CONCATENATE(BatchList[Folder Location],"\",BatchList[FileName],"_NEWLY_ADDED",".xlsx")</calculatedColumnFormula>
    </tableColumn>
    <tableColumn id="15" name="Create Folder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\\p09x\E\Dropbox%20(BEST)\002%20data%20base\0300%20Data%20base%20-%20Bureaucracy\Odessa%20Branch\310\310_Nataliia%20Lebid" TargetMode="External"/><Relationship Id="rId13" Type="http://schemas.openxmlformats.org/officeDocument/2006/relationships/hyperlink" Target="file:///\\p09x\E\Dropbox%20(BEST)\002%20data%20base\0300%20Data%20base%20-%20Bureaucracy\Moldova%20Branch\002%20md%20database\0300%20md_data%20base_bureacracy\310\310_ecaterina%20gurenco" TargetMode="External"/><Relationship Id="rId18" Type="http://schemas.openxmlformats.org/officeDocument/2006/relationships/hyperlink" Target="file:///\\p09x\E\Dropbox%20(BEST)\002%20data%20base\0300%20Data%20base%20-%20Bureaucracy\Moldova%20Branch\002%20md%20database\0300%20md_data%20base_bureacracy\310\310_Petru%20Zatic" TargetMode="External"/><Relationship Id="rId26" Type="http://schemas.openxmlformats.org/officeDocument/2006/relationships/hyperlink" Target="file:///\\p09x\E\Dropbox%20(BEST)\002%20data%20base\0300%20Data%20base%20-%20Bureaucracy\Moldova%20Branch\002%20md%20database\0300%20md_data%20base_bureacracy\310\310_Victor%20Boleac" TargetMode="External"/><Relationship Id="rId3" Type="http://schemas.openxmlformats.org/officeDocument/2006/relationships/hyperlink" Target="file:///\\p09x\E\Dropbox%20(BEST)\002%20data%20base\0300%20Data%20base%20-%20Bureaucracy\Odessa%20Branch\310\310_Anna%20Fedorova" TargetMode="External"/><Relationship Id="rId21" Type="http://schemas.openxmlformats.org/officeDocument/2006/relationships/hyperlink" Target="file:///\\p09x\E\Dropbox%20(BEST)\016%20MD_TX_CA" TargetMode="External"/><Relationship Id="rId34" Type="http://schemas.openxmlformats.org/officeDocument/2006/relationships/ctrlProp" Target="../ctrlProps/ctrlProp1.xml"/><Relationship Id="rId7" Type="http://schemas.openxmlformats.org/officeDocument/2006/relationships/hyperlink" Target="file:///\\p09x\E\Dropbox%20(BEST)\002%20data%20base\0300%20Data%20base%20-%20Bureaucracy\Odessa%20Branch\310\310_Jessie_Andriushenko" TargetMode="External"/><Relationship Id="rId12" Type="http://schemas.openxmlformats.org/officeDocument/2006/relationships/hyperlink" Target="file:///\\p09x\E\Dropbox%20(BEST)\002%20data%20base\0300%20Data%20base%20-%20Bureaucracy\Moldova%20Branch\002%20md%20database\0300%20md_data%20base_bureacracy\310\310_angela%20gorcea" TargetMode="External"/><Relationship Id="rId17" Type="http://schemas.openxmlformats.org/officeDocument/2006/relationships/hyperlink" Target="file:///\\p09x\E\Dropbox%20(BEST)\002%20data%20base\0300%20Data%20base%20-%20Bureaucracy\Moldova%20Branch\002%20md%20database\0300%20md_data%20base_bureacracy\310\310_Oxana%20Radzievici" TargetMode="External"/><Relationship Id="rId25" Type="http://schemas.openxmlformats.org/officeDocument/2006/relationships/hyperlink" Target="file:///\\p09x\E\Dropbox%20(BEST)\002%20data%20base\0300%20Data%20base%20-%20Bureaucracy\310\310-Rita%20Zelaya" TargetMode="External"/><Relationship Id="rId33" Type="http://schemas.openxmlformats.org/officeDocument/2006/relationships/vmlDrawing" Target="../drawings/vmlDrawing1.vml"/><Relationship Id="rId2" Type="http://schemas.openxmlformats.org/officeDocument/2006/relationships/hyperlink" Target="file:///\\p09x\E\Dropbox%20(BEST)\002%20data%20base\0300%20Data%20base%20-%20Bureaucracy\Odessa%20Branch\310\310_Andrew%20Novokhatkin" TargetMode="External"/><Relationship Id="rId16" Type="http://schemas.openxmlformats.org/officeDocument/2006/relationships/hyperlink" Target="file:///\\p09x\E\Dropbox%20(BEST)\002%20data%20base\0300%20Data%20base%20-%20Bureaucracy\Moldova%20Branch\002%20md%20database\0300%20md_data%20base_bureacracy\310\310_natalia%20slobozeanu" TargetMode="External"/><Relationship Id="rId20" Type="http://schemas.openxmlformats.org/officeDocument/2006/relationships/hyperlink" Target="file:///\\p09x\E\Dropbox%20(BEST)\016%20MD_TX_CA" TargetMode="External"/><Relationship Id="rId29" Type="http://schemas.openxmlformats.org/officeDocument/2006/relationships/hyperlink" Target="file:///\\p09x\E\Dropbox%20(BEST)\002%20data%20base\0300%20Data%20base%20-%20Bureaucracy\Odessa%20Branch\310\310_Max%20Tanskyi" TargetMode="External"/><Relationship Id="rId1" Type="http://schemas.openxmlformats.org/officeDocument/2006/relationships/hyperlink" Target="file:///\\p09x\E\Dropbox%20(BEST)\002%20data%20base\0300%20Data%20base%20-%20Bureaucracy\Odessa%20Branch\310\310_Alexander%20Druzenko" TargetMode="External"/><Relationship Id="rId6" Type="http://schemas.openxmlformats.org/officeDocument/2006/relationships/hyperlink" Target="file:///\\p09x\E\Dropbox%20(BEST)\002%20data%20base\0300%20Data%20base%20-%20Bureaucracy\Odessa%20Branch\310\310_Galyna_Greniukh" TargetMode="External"/><Relationship Id="rId11" Type="http://schemas.openxmlformats.org/officeDocument/2006/relationships/hyperlink" Target="file:///\\p09x\E\Dropbox%20(BEST)\016%20MD_TX_CA" TargetMode="External"/><Relationship Id="rId24" Type="http://schemas.openxmlformats.org/officeDocument/2006/relationships/hyperlink" Target="file:///\\p09x\E\Dropbox%20(BEST)\002%20data%20base\0300%20Data%20base%20-%20Bureaucracy\310\310-%20jaleen%20dunston\2018" TargetMode="External"/><Relationship Id="rId32" Type="http://schemas.openxmlformats.org/officeDocument/2006/relationships/drawing" Target="../drawings/drawing1.xml"/><Relationship Id="rId5" Type="http://schemas.openxmlformats.org/officeDocument/2006/relationships/hyperlink" Target="file:///\\p09x\E\Dropbox%20(BEST)\002%20data%20base\0300%20Data%20base%20-%20Bureaucracy\Odessa%20Branch\310\310_Dmitri%20I_Murtazin\2018" TargetMode="External"/><Relationship Id="rId15" Type="http://schemas.openxmlformats.org/officeDocument/2006/relationships/hyperlink" Target="file:///\\p09x\E\Dropbox%20(BEST)\002%20data%20base\0300%20Data%20base%20-%20Bureaucracy\Moldova%20Branch\002%20md%20database\0300%20md_data%20base_bureacracy\310\310_natalia%20protiuc" TargetMode="External"/><Relationship Id="rId23" Type="http://schemas.openxmlformats.org/officeDocument/2006/relationships/hyperlink" Target="file:///\\p09x\E\Dropbox%20(BEST)\002%20data%20base\0300%20Data%20base%20-%20Bureaucracy\310\310-Sonia%20Arias" TargetMode="External"/><Relationship Id="rId28" Type="http://schemas.openxmlformats.org/officeDocument/2006/relationships/hyperlink" Target="file:///\\p09x\E\Dropbox%20(BEST)\016%20MD_TX_CA" TargetMode="External"/><Relationship Id="rId36" Type="http://schemas.openxmlformats.org/officeDocument/2006/relationships/table" Target="../tables/table1.xml"/><Relationship Id="rId10" Type="http://schemas.openxmlformats.org/officeDocument/2006/relationships/hyperlink" Target="file:///\\p09x\E\Dropbox%20(BEST)\016%20MD_TX_CA" TargetMode="External"/><Relationship Id="rId19" Type="http://schemas.openxmlformats.org/officeDocument/2006/relationships/hyperlink" Target="file:///\\p09x\E\Dropbox%20(BEST)\016%20MD_TX_CA" TargetMode="External"/><Relationship Id="rId31" Type="http://schemas.openxmlformats.org/officeDocument/2006/relationships/printerSettings" Target="../printerSettings/printerSettings1.bin"/><Relationship Id="rId4" Type="http://schemas.openxmlformats.org/officeDocument/2006/relationships/hyperlink" Target="file:///\\p09x\E\Dropbox%20(BEST)\002%20data%20base\0300%20Data%20base%20-%20Bureaucracy\Odessa%20Branch\310\310_Dmitriy%20_Demi_%20Valantsevich\Feb_2018" TargetMode="External"/><Relationship Id="rId9" Type="http://schemas.openxmlformats.org/officeDocument/2006/relationships/hyperlink" Target="file:///\\p09x\E\Dropbox%20(BEST)\002%20data%20base\0300%20Data%20base%20-%20Bureaucracy\Odessa%20Branch\310\310_Olga%20Panayotova" TargetMode="External"/><Relationship Id="rId14" Type="http://schemas.openxmlformats.org/officeDocument/2006/relationships/hyperlink" Target="file:///\\p09x\E\Dropbox%20(BEST)\002%20data%20base\0300%20Data%20base%20-%20Bureaucracy\Moldova%20Branch\002%20md%20database\0300%20md_data%20base_bureacracy\310\310_irina%20caldare" TargetMode="External"/><Relationship Id="rId22" Type="http://schemas.openxmlformats.org/officeDocument/2006/relationships/hyperlink" Target="file:///\\p09x\E\Dropbox%20(BEST)\002%20data%20base\0300%20Data%20base%20-%20Bureaucracy\310\310-Walter%20Aldana" TargetMode="External"/><Relationship Id="rId27" Type="http://schemas.openxmlformats.org/officeDocument/2006/relationships/hyperlink" Target="file:///\\p09x\E\Dropbox%20(BEST)\002%20data%20base\0300%20Data%20base%20-%20Bureaucracy\Odessa%20Branch\310\310_Nancy%20Loziienko" TargetMode="External"/><Relationship Id="rId30" Type="http://schemas.openxmlformats.org/officeDocument/2006/relationships/hyperlink" Target="file:///\\p09x\E\Dropbox%20(BEST)\002%20data%20base\0300%20Data%20base%20-%20Bureaucracy\Odessa%20Branch\310\310_Anna%20Andreeva" TargetMode="External"/><Relationship Id="rId35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P32"/>
  <sheetViews>
    <sheetView tabSelected="1" workbookViewId="0">
      <selection activeCell="A19" sqref="A19"/>
    </sheetView>
  </sheetViews>
  <sheetFormatPr defaultRowHeight="15" x14ac:dyDescent="0.25"/>
  <cols>
    <col min="2" max="2" width="21.5703125" customWidth="1"/>
    <col min="3" max="3" width="10.28515625" bestFit="1" customWidth="1"/>
    <col min="4" max="4" width="5.5703125" customWidth="1"/>
    <col min="5" max="5" width="4.140625" customWidth="1"/>
    <col min="6" max="6" width="3.28515625" customWidth="1"/>
    <col min="7" max="7" width="11.28515625" bestFit="1" customWidth="1"/>
    <col min="8" max="8" width="6.7109375" customWidth="1"/>
    <col min="9" max="9" width="2.140625" customWidth="1"/>
    <col min="10" max="10" width="11.140625" customWidth="1"/>
    <col min="11" max="11" width="119.7109375" customWidth="1"/>
    <col min="14" max="14" width="26.7109375" customWidth="1"/>
    <col min="15" max="15" width="24.5703125" customWidth="1"/>
  </cols>
  <sheetData>
    <row r="2" spans="2:16" ht="15.75" thickBot="1" x14ac:dyDescent="0.3">
      <c r="B2" t="s">
        <v>103</v>
      </c>
      <c r="C2" t="s">
        <v>41</v>
      </c>
      <c r="D2" t="s">
        <v>54</v>
      </c>
      <c r="E2" t="s">
        <v>104</v>
      </c>
      <c r="F2" t="s">
        <v>105</v>
      </c>
      <c r="G2" t="s">
        <v>106</v>
      </c>
      <c r="H2" t="s">
        <v>107</v>
      </c>
      <c r="I2" t="s">
        <v>108</v>
      </c>
      <c r="J2" t="s">
        <v>109</v>
      </c>
      <c r="K2" t="s">
        <v>110</v>
      </c>
      <c r="L2" t="s">
        <v>111</v>
      </c>
      <c r="M2" t="s">
        <v>112</v>
      </c>
      <c r="N2" t="s">
        <v>114</v>
      </c>
      <c r="O2" t="s">
        <v>118</v>
      </c>
      <c r="P2" t="s">
        <v>119</v>
      </c>
    </row>
    <row r="3" spans="2:16" ht="16.5" thickBot="1" x14ac:dyDescent="0.3">
      <c r="B3" s="81" t="s">
        <v>116</v>
      </c>
      <c r="C3" s="63" t="s">
        <v>44</v>
      </c>
      <c r="D3" s="63">
        <v>2018</v>
      </c>
      <c r="E3" s="63" t="s">
        <v>69</v>
      </c>
      <c r="F3" s="75">
        <f>MATCH(C3,MAIN!$S$77:$S$88,0)</f>
        <v>3</v>
      </c>
      <c r="G3" s="75" t="str">
        <f t="shared" ref="G3:G20" si="0">CONCATENATE(F3,"/","01","/",D3)</f>
        <v>3/01/2018</v>
      </c>
      <c r="H3" s="75">
        <f t="shared" ref="H3:H20" si="1">DATEVALUE(G3)</f>
        <v>43160</v>
      </c>
      <c r="I3" s="75">
        <f t="shared" ref="I3:I20" si="2">WEEKDAY(H3,2)</f>
        <v>4</v>
      </c>
      <c r="J3" s="75">
        <f t="shared" ref="J3:J20" si="3">DAY(EOMONTH($H3,0))</f>
        <v>31</v>
      </c>
      <c r="K3" s="115" t="s">
        <v>194</v>
      </c>
      <c r="L3" s="76" t="str">
        <f>CONCATENATE("310 - ",BatchList[First and Last Name]," - ",LEFT(BatchList[Month],3),"_",BatchList[Year])</f>
        <v>310 - Alexander Druzenko  - Mar_2018</v>
      </c>
      <c r="M3" s="76">
        <v>3</v>
      </c>
      <c r="N3" s="77" t="str">
        <f>CONCATENATE(BatchList[Folder Location],"\",BatchList[FileName],".xlsx")</f>
        <v>\\p09x\E\Dropbox (BEST)\002 data base\0300 Data base - Bureaucracy\Odessa Branch\310\310_Alexander Druzenko\310 - Alexander Druzenko  - Mar_2018.xlsx</v>
      </c>
      <c r="O3" s="80" t="str">
        <f>CONCATENATE(BatchList[Folder Location],"\",BatchList[FileName],"_NEWLY_ADDED",".xlsx")</f>
        <v>\\p09x\E\Dropbox (BEST)\002 data base\0300 Data base - Bureaucracy\Odessa Branch\310\310_Alexander Druzenko\310 - Alexander Druzenko  - Mar_2018_NEWLY_ADDED.xlsx</v>
      </c>
      <c r="P3" s="80">
        <v>1</v>
      </c>
    </row>
    <row r="4" spans="2:16" ht="16.5" thickBot="1" x14ac:dyDescent="0.3">
      <c r="B4" s="82" t="s">
        <v>128</v>
      </c>
      <c r="C4" s="63" t="s">
        <v>44</v>
      </c>
      <c r="D4" s="63">
        <v>2018</v>
      </c>
      <c r="E4" s="78" t="s">
        <v>69</v>
      </c>
      <c r="F4" s="78">
        <f>MATCH(C4,MAIN!$S$77:$S$88,0)</f>
        <v>3</v>
      </c>
      <c r="G4" s="78" t="str">
        <f t="shared" si="0"/>
        <v>3/01/2018</v>
      </c>
      <c r="H4" s="78">
        <f t="shared" si="1"/>
        <v>43160</v>
      </c>
      <c r="I4" s="78">
        <f t="shared" si="2"/>
        <v>4</v>
      </c>
      <c r="J4" s="78">
        <f t="shared" si="3"/>
        <v>31</v>
      </c>
      <c r="K4" s="116" t="s">
        <v>195</v>
      </c>
      <c r="L4" s="78" t="str">
        <f>CONCATENATE("310 - ",BatchList[First and Last Name]," - ",LEFT(BatchList[Month],3),"_",BatchList[Year])</f>
        <v>310 - Andriy Novokhatkin - Mar_2018</v>
      </c>
      <c r="M4" s="78">
        <v>3</v>
      </c>
      <c r="N4" s="78" t="str">
        <f>CONCATENATE(BatchList[Folder Location],"\",BatchList[FileName],".xlsx")</f>
        <v>\\p09x\E\Dropbox (BEST)\002 data base\0300 Data base - Bureaucracy\Odessa Branch\310\310_Andrew Novokhatkin\310 - Andriy Novokhatkin - Mar_2018.xlsx</v>
      </c>
      <c r="O4" s="63" t="str">
        <f>CONCATENATE(BatchList[Folder Location],"\",BatchList[FileName],"_NEWLY_ADDED",".xlsx")</f>
        <v>\\p09x\E\Dropbox (BEST)\002 data base\0300 Data base - Bureaucracy\Odessa Branch\310\310_Andrew Novokhatkin\310 - Andriy Novokhatkin - Mar_2018_NEWLY_ADDED.xlsx</v>
      </c>
      <c r="P4" s="63">
        <v>1</v>
      </c>
    </row>
    <row r="5" spans="2:16" ht="16.5" thickBot="1" x14ac:dyDescent="0.3">
      <c r="B5" s="83" t="s">
        <v>129</v>
      </c>
      <c r="C5" s="63" t="s">
        <v>44</v>
      </c>
      <c r="D5" s="63">
        <v>2018</v>
      </c>
      <c r="E5" s="78" t="s">
        <v>69</v>
      </c>
      <c r="F5" s="78">
        <f>MATCH(C5,MAIN!$S$77:$S$88,0)</f>
        <v>3</v>
      </c>
      <c r="G5" s="78" t="str">
        <f t="shared" si="0"/>
        <v>3/01/2018</v>
      </c>
      <c r="H5" s="78">
        <f t="shared" si="1"/>
        <v>43160</v>
      </c>
      <c r="I5" s="78">
        <f t="shared" si="2"/>
        <v>4</v>
      </c>
      <c r="J5" s="79">
        <f t="shared" si="3"/>
        <v>31</v>
      </c>
      <c r="K5" s="116" t="s">
        <v>196</v>
      </c>
      <c r="L5" s="78" t="str">
        <f>CONCATENATE("310 - ",BatchList[First and Last Name]," - ",LEFT(BatchList[Month],3),"_",BatchList[Year])</f>
        <v>310 - Anna Fedorova - Mar_2018</v>
      </c>
      <c r="M5" s="78">
        <v>3</v>
      </c>
      <c r="N5" s="79" t="str">
        <f>CONCATENATE(BatchList[Folder Location],"\",BatchList[FileName],".xlsx")</f>
        <v>\\p09x\E\Dropbox (BEST)\002 data base\0300 Data base - Bureaucracy\Odessa Branch\310\310_Anna Fedorova\310 - Anna Fedorova - Mar_2018.xlsx</v>
      </c>
      <c r="O5" s="78" t="str">
        <f>CONCATENATE(BatchList[Folder Location],"\",BatchList[FileName],"_NEWLY_ADDED",".xlsx")</f>
        <v>\\p09x\E\Dropbox (BEST)\002 data base\0300 Data base - Bureaucracy\Odessa Branch\310\310_Anna Fedorova\310 - Anna Fedorova - Mar_2018_NEWLY_ADDED.xlsx</v>
      </c>
      <c r="P5" s="78">
        <v>1</v>
      </c>
    </row>
    <row r="6" spans="2:16" ht="16.5" thickBot="1" x14ac:dyDescent="0.3">
      <c r="B6" s="83" t="s">
        <v>117</v>
      </c>
      <c r="C6" s="63" t="s">
        <v>44</v>
      </c>
      <c r="D6" s="63">
        <v>2018</v>
      </c>
      <c r="E6" s="63" t="s">
        <v>69</v>
      </c>
      <c r="F6" s="63">
        <f>MATCH(C6,MAIN!$S$77:$S$88,0)</f>
        <v>3</v>
      </c>
      <c r="G6" s="63" t="str">
        <f t="shared" si="0"/>
        <v>3/01/2018</v>
      </c>
      <c r="H6" s="63">
        <f t="shared" si="1"/>
        <v>43160</v>
      </c>
      <c r="I6" s="63">
        <f t="shared" si="2"/>
        <v>4</v>
      </c>
      <c r="J6" s="84">
        <f t="shared" si="3"/>
        <v>31</v>
      </c>
      <c r="K6" s="117" t="s">
        <v>197</v>
      </c>
      <c r="L6" s="63" t="str">
        <f>CONCATENATE("310 - ",BatchList[First and Last Name]," - ",LEFT(BatchList[Month],3),"_",BatchList[Year])</f>
        <v>310 - Demi Valantsevich - Mar_2018</v>
      </c>
      <c r="M6" s="63">
        <v>3</v>
      </c>
      <c r="N6" s="84" t="str">
        <f>CONCATENATE(BatchList[Folder Location],"\",BatchList[FileName],".xlsx")</f>
        <v>\\p09x\E\Dropbox (BEST)\002 data base\0300 Data base - Bureaucracy\Odessa Branch\310\310_Dmitriy _Demi_ Valantsevich\Feb_2018\310 - Demi Valantsevich - Mar_2018.xlsx</v>
      </c>
      <c r="O6" s="84" t="str">
        <f>CONCATENATE(BatchList[Folder Location],"\",BatchList[FileName],"_NEWLY_ADDED",".xlsx")</f>
        <v>\\p09x\E\Dropbox (BEST)\002 data base\0300 Data base - Bureaucracy\Odessa Branch\310\310_Dmitriy _Demi_ Valantsevich\Feb_2018\310 - Demi Valantsevich - Mar_2018_NEWLY_ADDED.xlsx</v>
      </c>
      <c r="P6" s="78">
        <v>1</v>
      </c>
    </row>
    <row r="7" spans="2:16" ht="16.5" thickBot="1" x14ac:dyDescent="0.3">
      <c r="B7" s="83" t="s">
        <v>115</v>
      </c>
      <c r="C7" s="63" t="s">
        <v>44</v>
      </c>
      <c r="D7" s="63">
        <v>2018</v>
      </c>
      <c r="E7" s="63" t="s">
        <v>69</v>
      </c>
      <c r="F7" s="78">
        <f>MATCH(C7,MAIN!$S$77:$S$88,0)</f>
        <v>3</v>
      </c>
      <c r="G7" s="78" t="str">
        <f t="shared" si="0"/>
        <v>3/01/2018</v>
      </c>
      <c r="H7" s="78">
        <f t="shared" si="1"/>
        <v>43160</v>
      </c>
      <c r="I7" s="78">
        <f t="shared" si="2"/>
        <v>4</v>
      </c>
      <c r="J7" s="79">
        <f t="shared" si="3"/>
        <v>31</v>
      </c>
      <c r="K7" s="116" t="s">
        <v>198</v>
      </c>
      <c r="L7" s="78" t="str">
        <f>CONCATENATE("310 - ",BatchList[First and Last Name]," - ",LEFT(BatchList[Month],3),"_",BatchList[Year])</f>
        <v>310 - Dmitri Murtazin  - Mar_2018</v>
      </c>
      <c r="M7" s="78">
        <v>3</v>
      </c>
      <c r="N7" s="79" t="str">
        <f>CONCATENATE(BatchList[Folder Location],"\",BatchList[FileName],".xlsx")</f>
        <v>\\p09x\E\Dropbox (BEST)\002 data base\0300 Data base - Bureaucracy\Odessa Branch\310\310_Dmitri I_Murtazin\2018\310 - Dmitri Murtazin  - Mar_2018.xlsx</v>
      </c>
      <c r="O7" s="79" t="str">
        <f>CONCATENATE(BatchList[Folder Location],"\",BatchList[FileName],"_NEWLY_ADDED",".xlsx")</f>
        <v>\\p09x\E\Dropbox (BEST)\002 data base\0300 Data base - Bureaucracy\Odessa Branch\310\310_Dmitri I_Murtazin\2018\310 - Dmitri Murtazin  - Mar_2018_NEWLY_ADDED.xlsx</v>
      </c>
      <c r="P7" s="78">
        <v>1</v>
      </c>
    </row>
    <row r="8" spans="2:16" ht="16.5" thickBot="1" x14ac:dyDescent="0.3">
      <c r="B8" s="85" t="s">
        <v>178</v>
      </c>
      <c r="C8" s="63" t="s">
        <v>44</v>
      </c>
      <c r="D8" s="63">
        <v>2018</v>
      </c>
      <c r="E8" s="63" t="s">
        <v>69</v>
      </c>
      <c r="F8" s="78">
        <f>MATCH(C8,MAIN!$S$77:$S$88,0)</f>
        <v>3</v>
      </c>
      <c r="G8" s="78" t="str">
        <f t="shared" si="0"/>
        <v>3/01/2018</v>
      </c>
      <c r="H8" s="78">
        <f t="shared" si="1"/>
        <v>43160</v>
      </c>
      <c r="I8" s="78">
        <f t="shared" si="2"/>
        <v>4</v>
      </c>
      <c r="J8" s="79">
        <f t="shared" si="3"/>
        <v>31</v>
      </c>
      <c r="K8" s="116" t="s">
        <v>199</v>
      </c>
      <c r="L8" s="78" t="str">
        <f>CONCATENATE("310 - ",BatchList[First and Last Name]," - ",LEFT(BatchList[Month],3),"_",BatchList[Year])</f>
        <v>310 - Helen Greniukh - Mar_2018</v>
      </c>
      <c r="M8" s="78">
        <v>3</v>
      </c>
      <c r="N8" s="79" t="str">
        <f>CONCATENATE(BatchList[Folder Location],"\",BatchList[FileName],".xlsx")</f>
        <v>\\p09x\E\Dropbox (BEST)\002 data base\0300 Data base - Bureaucracy\Odessa Branch\310\310_Galyna_Greniukh\310 - Helen Greniukh - Mar_2018.xlsx</v>
      </c>
      <c r="O8" s="79" t="str">
        <f>CONCATENATE(BatchList[Folder Location],"\",BatchList[FileName],"_NEWLY_ADDED",".xlsx")</f>
        <v>\\p09x\E\Dropbox (BEST)\002 data base\0300 Data base - Bureaucracy\Odessa Branch\310\310_Galyna_Greniukh\310 - Helen Greniukh - Mar_2018_NEWLY_ADDED.xlsx</v>
      </c>
      <c r="P8" s="78">
        <v>1</v>
      </c>
    </row>
    <row r="9" spans="2:16" ht="16.5" thickBot="1" x14ac:dyDescent="0.3">
      <c r="B9" s="83" t="s">
        <v>130</v>
      </c>
      <c r="C9" s="63" t="s">
        <v>44</v>
      </c>
      <c r="D9" s="63">
        <v>2018</v>
      </c>
      <c r="E9" s="63" t="s">
        <v>69</v>
      </c>
      <c r="F9" s="78">
        <f>MATCH(C9,MAIN!$S$77:$S$88,0)</f>
        <v>3</v>
      </c>
      <c r="G9" s="78" t="str">
        <f t="shared" si="0"/>
        <v>3/01/2018</v>
      </c>
      <c r="H9" s="78">
        <f t="shared" si="1"/>
        <v>43160</v>
      </c>
      <c r="I9" s="78">
        <f t="shared" si="2"/>
        <v>4</v>
      </c>
      <c r="J9" s="79">
        <f t="shared" si="3"/>
        <v>31</v>
      </c>
      <c r="K9" s="116" t="s">
        <v>200</v>
      </c>
      <c r="L9" s="78" t="str">
        <f>CONCATENATE("310 - ",BatchList[First and Last Name]," - ",LEFT(BatchList[Month],3),"_",BatchList[Year])</f>
        <v>310 - Jessie Andriushenko - Mar_2018</v>
      </c>
      <c r="M9" s="78">
        <v>3</v>
      </c>
      <c r="N9" s="79" t="str">
        <f>CONCATENATE(BatchList[Folder Location],"\",BatchList[FileName],".xlsx")</f>
        <v>\\p09x\E\Dropbox (BEST)\002 data base\0300 Data base - Bureaucracy\Odessa Branch\310\310_Jessie_Andriushenko\310 - Jessie Andriushenko - Mar_2018.xlsx</v>
      </c>
      <c r="O9" s="79" t="str">
        <f>CONCATENATE(BatchList[Folder Location],"\",BatchList[FileName],"_NEWLY_ADDED",".xlsx")</f>
        <v>\\p09x\E\Dropbox (BEST)\002 data base\0300 Data base - Bureaucracy\Odessa Branch\310\310_Jessie_Andriushenko\310 - Jessie Andriushenko - Mar_2018_NEWLY_ADDED.xlsx</v>
      </c>
      <c r="P9" s="78">
        <v>1</v>
      </c>
    </row>
    <row r="10" spans="2:16" ht="16.5" thickBot="1" x14ac:dyDescent="0.3">
      <c r="B10" s="86" t="s">
        <v>131</v>
      </c>
      <c r="C10" s="63" t="s">
        <v>44</v>
      </c>
      <c r="D10" s="63">
        <v>2018</v>
      </c>
      <c r="E10" s="63" t="s">
        <v>69</v>
      </c>
      <c r="F10" s="78">
        <f>MATCH(C10,MAIN!$S$77:$S$88,0)</f>
        <v>3</v>
      </c>
      <c r="G10" s="78" t="str">
        <f t="shared" si="0"/>
        <v>3/01/2018</v>
      </c>
      <c r="H10" s="78">
        <f t="shared" si="1"/>
        <v>43160</v>
      </c>
      <c r="I10" s="78">
        <f t="shared" si="2"/>
        <v>4</v>
      </c>
      <c r="J10" s="79">
        <f t="shared" si="3"/>
        <v>31</v>
      </c>
      <c r="K10" s="116" t="s">
        <v>201</v>
      </c>
      <c r="L10" s="78" t="str">
        <f>CONCATENATE("310 - ",BatchList[First and Last Name]," - ",LEFT(BatchList[Month],3),"_",BatchList[Year])</f>
        <v>310 - Natali Lebid - Mar_2018</v>
      </c>
      <c r="M10" s="78">
        <v>3</v>
      </c>
      <c r="N10" s="79" t="str">
        <f>CONCATENATE(BatchList[Folder Location],"\",BatchList[FileName],".xlsx")</f>
        <v>\\p09x\E\Dropbox (BEST)\002 data base\0300 Data base - Bureaucracy\Odessa Branch\310\310_Nataliia Lebid\310 - Natali Lebid - Mar_2018.xlsx</v>
      </c>
      <c r="O10" s="79" t="str">
        <f>CONCATENATE(BatchList[Folder Location],"\",BatchList[FileName],"_NEWLY_ADDED",".xlsx")</f>
        <v>\\p09x\E\Dropbox (BEST)\002 data base\0300 Data base - Bureaucracy\Odessa Branch\310\310_Nataliia Lebid\310 - Natali Lebid - Mar_2018_NEWLY_ADDED.xlsx</v>
      </c>
      <c r="P10" s="78">
        <v>1</v>
      </c>
    </row>
    <row r="11" spans="2:16" ht="16.5" thickBot="1" x14ac:dyDescent="0.3">
      <c r="B11" s="83" t="s">
        <v>132</v>
      </c>
      <c r="C11" s="63" t="s">
        <v>44</v>
      </c>
      <c r="D11" s="63">
        <v>2018</v>
      </c>
      <c r="E11" s="63" t="s">
        <v>69</v>
      </c>
      <c r="F11" s="78">
        <f>MATCH(C11,MAIN!$S$77:$S$88,0)</f>
        <v>3</v>
      </c>
      <c r="G11" s="78" t="str">
        <f t="shared" si="0"/>
        <v>3/01/2018</v>
      </c>
      <c r="H11" s="78">
        <f t="shared" si="1"/>
        <v>43160</v>
      </c>
      <c r="I11" s="78">
        <f t="shared" si="2"/>
        <v>4</v>
      </c>
      <c r="J11" s="79">
        <f t="shared" si="3"/>
        <v>31</v>
      </c>
      <c r="K11" s="116" t="s">
        <v>202</v>
      </c>
      <c r="L11" s="78" t="str">
        <f>CONCATENATE("310 - ",BatchList[First and Last Name]," - ",LEFT(BatchList[Month],3),"_",BatchList[Year])</f>
        <v>310 - Olga Panayotova - Mar_2018</v>
      </c>
      <c r="M11" s="78">
        <v>3</v>
      </c>
      <c r="N11" s="79" t="str">
        <f>CONCATENATE(BatchList[Folder Location],"\",BatchList[FileName],".xlsx")</f>
        <v>\\p09x\E\Dropbox (BEST)\002 data base\0300 Data base - Bureaucracy\Odessa Branch\310\310_Olga Panayotova\310 - Olga Panayotova - Mar_2018.xlsx</v>
      </c>
      <c r="O11" s="79" t="str">
        <f>CONCATENATE(BatchList[Folder Location],"\",BatchList[FileName],"_NEWLY_ADDED",".xlsx")</f>
        <v>\\p09x\E\Dropbox (BEST)\002 data base\0300 Data base - Bureaucracy\Odessa Branch\310\310_Olga Panayotova\310 - Olga Panayotova - Mar_2018_NEWLY_ADDED.xlsx</v>
      </c>
      <c r="P11" s="78">
        <v>1</v>
      </c>
    </row>
    <row r="12" spans="2:16" ht="16.5" thickBot="1" x14ac:dyDescent="0.3">
      <c r="B12" s="82" t="s">
        <v>133</v>
      </c>
      <c r="C12" s="63" t="s">
        <v>44</v>
      </c>
      <c r="D12" s="63">
        <v>2018</v>
      </c>
      <c r="E12" s="63" t="s">
        <v>68</v>
      </c>
      <c r="F12" s="78">
        <f>MATCH(C12,MAIN!$S$77:$S$88,0)</f>
        <v>3</v>
      </c>
      <c r="G12" s="78" t="str">
        <f t="shared" si="0"/>
        <v>3/01/2018</v>
      </c>
      <c r="H12" s="78">
        <f t="shared" si="1"/>
        <v>43160</v>
      </c>
      <c r="I12" s="78">
        <f t="shared" si="2"/>
        <v>4</v>
      </c>
      <c r="J12" s="79">
        <f t="shared" si="3"/>
        <v>31</v>
      </c>
      <c r="K12" s="116" t="s">
        <v>203</v>
      </c>
      <c r="L12" s="78" t="str">
        <f>CONCATENATE("310 - ",BatchList[First and Last Name]," - ",LEFT(BatchList[Month],3),"_",BatchList[Year])</f>
        <v>310 - Andrii Kulbaba - Mar_2018</v>
      </c>
      <c r="M12" s="78">
        <v>3</v>
      </c>
      <c r="N12" s="79" t="str">
        <f>CONCATENATE(BatchList[Folder Location],"\",BatchList[FileName],".xlsx")</f>
        <v>\\p09x\E\Dropbox (BEST)\016 MD_TX_CA\310 - Andrii Kulbaba - Mar_2018.xlsx</v>
      </c>
      <c r="O12" s="79" t="str">
        <f>CONCATENATE(BatchList[Folder Location],"\",BatchList[FileName],"_NEWLY_ADDED",".xlsx")</f>
        <v>\\p09x\E\Dropbox (BEST)\016 MD_TX_CA\310 - Andrii Kulbaba - Mar_2018_NEWLY_ADDED.xlsx</v>
      </c>
      <c r="P12" s="78">
        <v>1</v>
      </c>
    </row>
    <row r="13" spans="2:16" ht="16.5" thickBot="1" x14ac:dyDescent="0.3">
      <c r="B13" s="82" t="s">
        <v>134</v>
      </c>
      <c r="C13" s="63" t="s">
        <v>44</v>
      </c>
      <c r="D13" s="63">
        <v>2018</v>
      </c>
      <c r="E13" s="63" t="s">
        <v>68</v>
      </c>
      <c r="F13" s="63">
        <f>MATCH(C13,MAIN!$S$77:$S$88,0)</f>
        <v>3</v>
      </c>
      <c r="G13" s="63" t="str">
        <f t="shared" si="0"/>
        <v>3/01/2018</v>
      </c>
      <c r="H13" s="63">
        <f t="shared" si="1"/>
        <v>43160</v>
      </c>
      <c r="I13" s="63">
        <f t="shared" si="2"/>
        <v>4</v>
      </c>
      <c r="J13" s="84">
        <f t="shared" si="3"/>
        <v>31</v>
      </c>
      <c r="K13" s="116" t="s">
        <v>203</v>
      </c>
      <c r="L13" s="63" t="str">
        <f>CONCATENATE("310 - ",BatchList[First and Last Name]," - ",LEFT(BatchList[Month],3),"_",BatchList[Year])</f>
        <v>310 - Julia Melikhova - Mar_2018</v>
      </c>
      <c r="M13" s="63">
        <v>3</v>
      </c>
      <c r="N13" s="84" t="str">
        <f>CONCATENATE(BatchList[Folder Location],"\",BatchList[FileName],".xlsx")</f>
        <v>\\p09x\E\Dropbox (BEST)\016 MD_TX_CA\310 - Julia Melikhova - Mar_2018.xlsx</v>
      </c>
      <c r="O13" s="84" t="str">
        <f>CONCATENATE(BatchList[Folder Location],"\",BatchList[FileName],"_NEWLY_ADDED",".xlsx")</f>
        <v>\\p09x\E\Dropbox (BEST)\016 MD_TX_CA\310 - Julia Melikhova - Mar_2018_NEWLY_ADDED.xlsx</v>
      </c>
      <c r="P13" s="78">
        <v>1</v>
      </c>
    </row>
    <row r="14" spans="2:16" ht="16.5" thickBot="1" x14ac:dyDescent="0.3">
      <c r="B14" s="87" t="s">
        <v>135</v>
      </c>
      <c r="C14" s="63" t="s">
        <v>44</v>
      </c>
      <c r="D14" s="63">
        <v>2018</v>
      </c>
      <c r="E14" s="63" t="s">
        <v>69</v>
      </c>
      <c r="F14" s="78">
        <f>MATCH(C14,MAIN!$S$77:$S$88,0)</f>
        <v>3</v>
      </c>
      <c r="G14" s="78" t="str">
        <f t="shared" si="0"/>
        <v>3/01/2018</v>
      </c>
      <c r="H14" s="78">
        <f t="shared" si="1"/>
        <v>43160</v>
      </c>
      <c r="I14" s="78">
        <f t="shared" si="2"/>
        <v>4</v>
      </c>
      <c r="J14" s="79">
        <f t="shared" si="3"/>
        <v>31</v>
      </c>
      <c r="K14" s="116" t="s">
        <v>204</v>
      </c>
      <c r="L14" s="78" t="str">
        <f>CONCATENATE("310 - ",BatchList[First and Last Name]," - ",LEFT(BatchList[Month],3),"_",BatchList[Year])</f>
        <v>310 - Angela Gorcea - Mar_2018</v>
      </c>
      <c r="M14" s="78">
        <v>2</v>
      </c>
      <c r="N14" s="79" t="str">
        <f>CONCATENATE(BatchList[Folder Location],"\",BatchList[FileName],".xlsx")</f>
        <v>\\p09x\E\Dropbox (BEST)\002 data base\0300 Data base - Bureaucracy\Moldova Branch\002 md database\0300 md_data base_bureacracy\310\310_angela gorcea\310 - Angela Gorcea - Mar_2018.xlsx</v>
      </c>
      <c r="O14" s="79" t="str">
        <f>CONCATENATE(BatchList[Folder Location],"\",BatchList[FileName],"_NEWLY_ADDED",".xlsx")</f>
        <v>\\p09x\E\Dropbox (BEST)\002 data base\0300 Data base - Bureaucracy\Moldova Branch\002 md database\0300 md_data base_bureacracy\310\310_angela gorcea\310 - Angela Gorcea - Mar_2018_NEWLY_ADDED.xlsx</v>
      </c>
      <c r="P14" s="78">
        <v>2</v>
      </c>
    </row>
    <row r="15" spans="2:16" ht="16.5" thickBot="1" x14ac:dyDescent="0.3">
      <c r="B15" s="87" t="s">
        <v>136</v>
      </c>
      <c r="C15" s="63" t="s">
        <v>44</v>
      </c>
      <c r="D15" s="63">
        <v>2018</v>
      </c>
      <c r="E15" s="63" t="s">
        <v>69</v>
      </c>
      <c r="F15" s="78">
        <f>MATCH(C15,MAIN!$S$77:$S$88,0)</f>
        <v>3</v>
      </c>
      <c r="G15" s="78" t="str">
        <f t="shared" si="0"/>
        <v>3/01/2018</v>
      </c>
      <c r="H15" s="78">
        <f t="shared" si="1"/>
        <v>43160</v>
      </c>
      <c r="I15" s="78">
        <f t="shared" si="2"/>
        <v>4</v>
      </c>
      <c r="J15" s="79">
        <f t="shared" si="3"/>
        <v>31</v>
      </c>
      <c r="K15" s="116" t="s">
        <v>205</v>
      </c>
      <c r="L15" s="78" t="str">
        <f>CONCATENATE("310 - ",BatchList[First and Last Name]," - ",LEFT(BatchList[Month],3),"_",BatchList[Year])</f>
        <v>310 - Ecaterina Gurenco - Mar_2018</v>
      </c>
      <c r="M15" s="78">
        <v>2</v>
      </c>
      <c r="N15" s="79" t="str">
        <f>CONCATENATE(BatchList[Folder Location],"\",BatchList[FileName],".xlsx")</f>
        <v>\\p09x\E\Dropbox (BEST)\002 data base\0300 Data base - Bureaucracy\Moldova Branch\002 md database\0300 md_data base_bureacracy\310\310_ecaterina gurenco\310 - Ecaterina Gurenco - Mar_2018.xlsx</v>
      </c>
      <c r="O15" s="79" t="str">
        <f>CONCATENATE(BatchList[Folder Location],"\",BatchList[FileName],"_NEWLY_ADDED",".xlsx")</f>
        <v>\\p09x\E\Dropbox (BEST)\002 data base\0300 Data base - Bureaucracy\Moldova Branch\002 md database\0300 md_data base_bureacracy\310\310_ecaterina gurenco\310 - Ecaterina Gurenco - Mar_2018_NEWLY_ADDED.xlsx</v>
      </c>
      <c r="P15" s="78">
        <v>2</v>
      </c>
    </row>
    <row r="16" spans="2:16" ht="16.5" thickBot="1" x14ac:dyDescent="0.3">
      <c r="B16" s="83" t="s">
        <v>137</v>
      </c>
      <c r="C16" s="63" t="s">
        <v>44</v>
      </c>
      <c r="D16" s="63">
        <v>2018</v>
      </c>
      <c r="E16" s="63" t="s">
        <v>69</v>
      </c>
      <c r="F16" s="78">
        <f>MATCH(C16,MAIN!$S$77:$S$88,0)</f>
        <v>3</v>
      </c>
      <c r="G16" s="78" t="str">
        <f t="shared" si="0"/>
        <v>3/01/2018</v>
      </c>
      <c r="H16" s="78">
        <f t="shared" si="1"/>
        <v>43160</v>
      </c>
      <c r="I16" s="78">
        <f t="shared" si="2"/>
        <v>4</v>
      </c>
      <c r="J16" s="79">
        <f t="shared" si="3"/>
        <v>31</v>
      </c>
      <c r="K16" s="116" t="s">
        <v>206</v>
      </c>
      <c r="L16" s="78" t="str">
        <f>CONCATENATE("310 - ",BatchList[First and Last Name]," - ",LEFT(BatchList[Month],3),"_",BatchList[Year])</f>
        <v>310 - Irina Caldare - Mar_2018</v>
      </c>
      <c r="M16" s="78">
        <v>2</v>
      </c>
      <c r="N16" s="79" t="str">
        <f>CONCATENATE(BatchList[Folder Location],"\",BatchList[FileName],".xlsx")</f>
        <v>\\p09x\E\Dropbox (BEST)\002 data base\0300 Data base - Bureaucracy\Moldova Branch\002 md database\0300 md_data base_bureacracy\310\310_irina caldare\310 - Irina Caldare - Mar_2018.xlsx</v>
      </c>
      <c r="O16" s="79" t="str">
        <f>CONCATENATE(BatchList[Folder Location],"\",BatchList[FileName],"_NEWLY_ADDED",".xlsx")</f>
        <v>\\p09x\E\Dropbox (BEST)\002 data base\0300 Data base - Bureaucracy\Moldova Branch\002 md database\0300 md_data base_bureacracy\310\310_irina caldare\310 - Irina Caldare - Mar_2018_NEWLY_ADDED.xlsx</v>
      </c>
      <c r="P16" s="78">
        <v>2</v>
      </c>
    </row>
    <row r="17" spans="2:16" ht="16.5" thickBot="1" x14ac:dyDescent="0.3">
      <c r="B17" s="83" t="s">
        <v>138</v>
      </c>
      <c r="C17" s="63" t="s">
        <v>44</v>
      </c>
      <c r="D17" s="63">
        <v>2018</v>
      </c>
      <c r="E17" s="63" t="s">
        <v>69</v>
      </c>
      <c r="F17" s="63">
        <f>MATCH(C17,MAIN!$S$77:$S$88,0)</f>
        <v>3</v>
      </c>
      <c r="G17" s="63" t="str">
        <f t="shared" si="0"/>
        <v>3/01/2018</v>
      </c>
      <c r="H17" s="63">
        <f t="shared" si="1"/>
        <v>43160</v>
      </c>
      <c r="I17" s="63">
        <f t="shared" si="2"/>
        <v>4</v>
      </c>
      <c r="J17" s="84">
        <f t="shared" si="3"/>
        <v>31</v>
      </c>
      <c r="K17" s="117" t="s">
        <v>207</v>
      </c>
      <c r="L17" s="63" t="str">
        <f>CONCATENATE("310 - ",BatchList[First and Last Name]," - ",LEFT(BatchList[Month],3),"_",BatchList[Year])</f>
        <v>310 - Natalia Protiuc - Mar_2018</v>
      </c>
      <c r="M17" s="78">
        <v>2</v>
      </c>
      <c r="N17" s="84" t="str">
        <f>CONCATENATE(BatchList[Folder Location],"\",BatchList[FileName],".xlsx")</f>
        <v>\\p09x\E\Dropbox (BEST)\002 data base\0300 Data base - Bureaucracy\Moldova Branch\002 md database\0300 md_data base_bureacracy\310\310_natalia protiuc\310 - Natalia Protiuc - Mar_2018.xlsx</v>
      </c>
      <c r="O17" s="84" t="str">
        <f>CONCATENATE(BatchList[Folder Location],"\",BatchList[FileName],"_NEWLY_ADDED",".xlsx")</f>
        <v>\\p09x\E\Dropbox (BEST)\002 data base\0300 Data base - Bureaucracy\Moldova Branch\002 md database\0300 md_data base_bureacracy\310\310_natalia protiuc\310 - Natalia Protiuc - Mar_2018_NEWLY_ADDED.xlsx</v>
      </c>
      <c r="P17" s="78">
        <v>2</v>
      </c>
    </row>
    <row r="18" spans="2:16" ht="16.5" thickBot="1" x14ac:dyDescent="0.3">
      <c r="B18" s="83" t="s">
        <v>139</v>
      </c>
      <c r="C18" s="63" t="s">
        <v>44</v>
      </c>
      <c r="D18" s="63">
        <v>2018</v>
      </c>
      <c r="E18" s="63" t="s">
        <v>69</v>
      </c>
      <c r="F18" s="78">
        <f>MATCH(C18,MAIN!$S$77:$S$88,0)</f>
        <v>3</v>
      </c>
      <c r="G18" s="78" t="str">
        <f t="shared" si="0"/>
        <v>3/01/2018</v>
      </c>
      <c r="H18" s="78">
        <f t="shared" si="1"/>
        <v>43160</v>
      </c>
      <c r="I18" s="78">
        <f t="shared" si="2"/>
        <v>4</v>
      </c>
      <c r="J18" s="79">
        <f t="shared" si="3"/>
        <v>31</v>
      </c>
      <c r="K18" s="116" t="s">
        <v>208</v>
      </c>
      <c r="L18" s="78" t="str">
        <f>CONCATENATE("310 - ",BatchList[First and Last Name]," - ",LEFT(BatchList[Month],3),"_",BatchList[Year])</f>
        <v>310 - Natalia Slobozeanu - Mar_2018</v>
      </c>
      <c r="M18" s="78">
        <v>2</v>
      </c>
      <c r="N18" s="79" t="str">
        <f>CONCATENATE(BatchList[Folder Location],"\",BatchList[FileName],".xlsx")</f>
        <v>\\p09x\E\Dropbox (BEST)\002 data base\0300 Data base - Bureaucracy\Moldova Branch\002 md database\0300 md_data base_bureacracy\310\310_natalia slobozeanu\310 - Natalia Slobozeanu - Mar_2018.xlsx</v>
      </c>
      <c r="O18" s="79" t="str">
        <f>CONCATENATE(BatchList[Folder Location],"\",BatchList[FileName],"_NEWLY_ADDED",".xlsx")</f>
        <v>\\p09x\E\Dropbox (BEST)\002 data base\0300 Data base - Bureaucracy\Moldova Branch\002 md database\0300 md_data base_bureacracy\310\310_natalia slobozeanu\310 - Natalia Slobozeanu - Mar_2018_NEWLY_ADDED.xlsx</v>
      </c>
      <c r="P18" s="78">
        <v>2</v>
      </c>
    </row>
    <row r="19" spans="2:16" ht="16.5" thickBot="1" x14ac:dyDescent="0.3">
      <c r="B19" s="83" t="s">
        <v>140</v>
      </c>
      <c r="C19" s="63" t="s">
        <v>44</v>
      </c>
      <c r="D19" s="63">
        <v>2018</v>
      </c>
      <c r="E19" s="63" t="s">
        <v>69</v>
      </c>
      <c r="F19" s="63">
        <f>MATCH(C19,MAIN!$S$77:$S$88,0)</f>
        <v>3</v>
      </c>
      <c r="G19" s="63" t="str">
        <f t="shared" si="0"/>
        <v>3/01/2018</v>
      </c>
      <c r="H19" s="63">
        <f t="shared" si="1"/>
        <v>43160</v>
      </c>
      <c r="I19" s="63">
        <f t="shared" si="2"/>
        <v>4</v>
      </c>
      <c r="J19" s="84">
        <f t="shared" si="3"/>
        <v>31</v>
      </c>
      <c r="K19" s="117" t="s">
        <v>209</v>
      </c>
      <c r="L19" s="63" t="str">
        <f>CONCATENATE("310 - ",BatchList[First and Last Name]," - ",LEFT(BatchList[Month],3),"_",BatchList[Year])</f>
        <v>310 - Oxana Radzievici - Mar_2018</v>
      </c>
      <c r="M19" s="78">
        <v>2</v>
      </c>
      <c r="N19" s="84" t="str">
        <f>CONCATENATE(BatchList[Folder Location],"\",BatchList[FileName],".xlsx")</f>
        <v>\\p09x\E\Dropbox (BEST)\002 data base\0300 Data base - Bureaucracy\Moldova Branch\002 md database\0300 md_data base_bureacracy\310\310_Oxana Radzievici\310 - Oxana Radzievici - Mar_2018.xlsx</v>
      </c>
      <c r="O19" s="84" t="str">
        <f>CONCATENATE(BatchList[Folder Location],"\",BatchList[FileName],"_NEWLY_ADDED",".xlsx")</f>
        <v>\\p09x\E\Dropbox (BEST)\002 data base\0300 Data base - Bureaucracy\Moldova Branch\002 md database\0300 md_data base_bureacracy\310\310_Oxana Radzievici\310 - Oxana Radzievici - Mar_2018_NEWLY_ADDED.xlsx</v>
      </c>
      <c r="P19" s="78">
        <v>2</v>
      </c>
    </row>
    <row r="20" spans="2:16" ht="16.5" thickBot="1" x14ac:dyDescent="0.3">
      <c r="B20" s="82" t="s">
        <v>141</v>
      </c>
      <c r="C20" s="63" t="s">
        <v>44</v>
      </c>
      <c r="D20" s="63">
        <v>2018</v>
      </c>
      <c r="E20" s="63" t="s">
        <v>69</v>
      </c>
      <c r="F20" s="78">
        <f>MATCH(C20,MAIN!$S$77:$S$88,0)</f>
        <v>3</v>
      </c>
      <c r="G20" s="78" t="str">
        <f t="shared" si="0"/>
        <v>3/01/2018</v>
      </c>
      <c r="H20" s="78">
        <f t="shared" si="1"/>
        <v>43160</v>
      </c>
      <c r="I20" s="78">
        <f t="shared" si="2"/>
        <v>4</v>
      </c>
      <c r="J20" s="79">
        <f t="shared" si="3"/>
        <v>31</v>
      </c>
      <c r="K20" s="116" t="s">
        <v>210</v>
      </c>
      <c r="L20" s="78" t="str">
        <f>CONCATENATE("310 - ",BatchList[First and Last Name]," - ",LEFT(BatchList[Month],3),"_",BatchList[Year])</f>
        <v>310 - Petru Zatic - Mar_2018</v>
      </c>
      <c r="M20" s="78">
        <v>2</v>
      </c>
      <c r="N20" s="79" t="str">
        <f>CONCATENATE(BatchList[Folder Location],"\",BatchList[FileName],".xlsx")</f>
        <v>\\p09x\E\Dropbox (BEST)\002 data base\0300 Data base - Bureaucracy\Moldova Branch\002 md database\0300 md_data base_bureacracy\310\310_Petru Zatic\310 - Petru Zatic - Mar_2018.xlsx</v>
      </c>
      <c r="O20" s="79" t="str">
        <f>CONCATENATE(BatchList[Folder Location],"\",BatchList[FileName],"_NEWLY_ADDED",".xlsx")</f>
        <v>\\p09x\E\Dropbox (BEST)\002 data base\0300 Data base - Bureaucracy\Moldova Branch\002 md database\0300 md_data base_bureacracy\310\310_Petru Zatic\310 - Petru Zatic - Mar_2018_NEWLY_ADDED.xlsx</v>
      </c>
      <c r="P20" s="78">
        <v>2</v>
      </c>
    </row>
    <row r="21" spans="2:16" ht="16.5" thickBot="1" x14ac:dyDescent="0.3">
      <c r="B21" s="88" t="s">
        <v>177</v>
      </c>
      <c r="C21" s="63" t="s">
        <v>44</v>
      </c>
      <c r="D21" s="63">
        <v>2018</v>
      </c>
      <c r="E21" s="63" t="s">
        <v>68</v>
      </c>
      <c r="F21" s="78">
        <f>MATCH(C21,MAIN!$S$77:$S$88,0)</f>
        <v>3</v>
      </c>
      <c r="G21" s="78" t="str">
        <f t="shared" ref="G21:G27" si="4">CONCATENATE(F21,"/","01","/",D21)</f>
        <v>3/01/2018</v>
      </c>
      <c r="H21" s="78">
        <f t="shared" ref="H21:H27" si="5">DATEVALUE(G21)</f>
        <v>43160</v>
      </c>
      <c r="I21" s="78">
        <f t="shared" ref="I21:I27" si="6">WEEKDAY(H21,2)</f>
        <v>4</v>
      </c>
      <c r="J21" s="79">
        <f t="shared" ref="J21:J27" si="7">DAY(EOMONTH($H21,0))</f>
        <v>31</v>
      </c>
      <c r="K21" s="116" t="s">
        <v>203</v>
      </c>
      <c r="L21" s="78" t="str">
        <f>CONCATENATE("310 - ",BatchList[First and Last Name]," - ",LEFT(BatchList[Month],3),"_",BatchList[Year])</f>
        <v>310 - Mike Gheneralov - Mar_2018</v>
      </c>
      <c r="M21" s="78">
        <v>2</v>
      </c>
      <c r="N21" s="79" t="str">
        <f>CONCATENATE(BatchList[Folder Location],"\",BatchList[FileName],".xlsx")</f>
        <v>\\p09x\E\Dropbox (BEST)\016 MD_TX_CA\310 - Mike Gheneralov - Mar_2018.xlsx</v>
      </c>
      <c r="O21" s="79" t="str">
        <f>CONCATENATE(BatchList[Folder Location],"\",BatchList[FileName],"_NEWLY_ADDED",".xlsx")</f>
        <v>\\p09x\E\Dropbox (BEST)\016 MD_TX_CA\310 - Mike Gheneralov - Mar_2018_NEWLY_ADDED.xlsx</v>
      </c>
      <c r="P21" s="78">
        <v>2</v>
      </c>
    </row>
    <row r="22" spans="2:16" ht="16.5" thickBot="1" x14ac:dyDescent="0.3">
      <c r="B22" s="82" t="s">
        <v>142</v>
      </c>
      <c r="C22" s="63" t="s">
        <v>44</v>
      </c>
      <c r="D22" s="63">
        <v>2018</v>
      </c>
      <c r="E22" s="63" t="s">
        <v>68</v>
      </c>
      <c r="F22" s="78">
        <f>MATCH(C22,MAIN!$S$77:$S$88,0)</f>
        <v>3</v>
      </c>
      <c r="G22" s="78" t="str">
        <f t="shared" si="4"/>
        <v>3/01/2018</v>
      </c>
      <c r="H22" s="78">
        <f t="shared" si="5"/>
        <v>43160</v>
      </c>
      <c r="I22" s="78">
        <f t="shared" si="6"/>
        <v>4</v>
      </c>
      <c r="J22" s="79">
        <f t="shared" si="7"/>
        <v>31</v>
      </c>
      <c r="K22" s="116" t="s">
        <v>203</v>
      </c>
      <c r="L22" s="78" t="str">
        <f>CONCATENATE("310 - ",BatchList[First and Last Name]," - ",LEFT(BatchList[Month],3),"_",BatchList[Year])</f>
        <v>310 - Olga Tiju - Mar_2018</v>
      </c>
      <c r="M22" s="78">
        <v>2</v>
      </c>
      <c r="N22" s="79" t="str">
        <f>CONCATENATE(BatchList[Folder Location],"\",BatchList[FileName],".xlsx")</f>
        <v>\\p09x\E\Dropbox (BEST)\016 MD_TX_CA\310 - Olga Tiju - Mar_2018.xlsx</v>
      </c>
      <c r="O22" s="79" t="str">
        <f>CONCATENATE(BatchList[Folder Location],"\",BatchList[FileName],"_NEWLY_ADDED",".xlsx")</f>
        <v>\\p09x\E\Dropbox (BEST)\016 MD_TX_CA\310 - Olga Tiju - Mar_2018_NEWLY_ADDED.xlsx</v>
      </c>
      <c r="P22" s="78">
        <v>2</v>
      </c>
    </row>
    <row r="23" spans="2:16" ht="16.5" thickBot="1" x14ac:dyDescent="0.3">
      <c r="B23" s="82" t="s">
        <v>143</v>
      </c>
      <c r="C23" s="63" t="s">
        <v>44</v>
      </c>
      <c r="D23" s="63">
        <v>2018</v>
      </c>
      <c r="E23" s="63" t="s">
        <v>68</v>
      </c>
      <c r="F23" s="78">
        <f>MATCH(C23,MAIN!$S$77:$S$88,0)</f>
        <v>3</v>
      </c>
      <c r="G23" s="78" t="str">
        <f t="shared" si="4"/>
        <v>3/01/2018</v>
      </c>
      <c r="H23" s="78">
        <f t="shared" si="5"/>
        <v>43160</v>
      </c>
      <c r="I23" s="78">
        <f t="shared" si="6"/>
        <v>4</v>
      </c>
      <c r="J23" s="79">
        <f t="shared" si="7"/>
        <v>31</v>
      </c>
      <c r="K23" s="116" t="s">
        <v>203</v>
      </c>
      <c r="L23" s="78" t="str">
        <f>CONCATENATE("310 - ",BatchList[First and Last Name]," - ",LEFT(BatchList[Month],3),"_",BatchList[Year])</f>
        <v>310 - Sergiu Racu - Mar_2018</v>
      </c>
      <c r="M23" s="78">
        <v>2</v>
      </c>
      <c r="N23" s="79" t="str">
        <f>CONCATENATE(BatchList[Folder Location],"\",BatchList[FileName],".xlsx")</f>
        <v>\\p09x\E\Dropbox (BEST)\016 MD_TX_CA\310 - Sergiu Racu - Mar_2018.xlsx</v>
      </c>
      <c r="O23" s="79" t="str">
        <f>CONCATENATE(BatchList[Folder Location],"\",BatchList[FileName],"_NEWLY_ADDED",".xlsx")</f>
        <v>\\p09x\E\Dropbox (BEST)\016 MD_TX_CA\310 - Sergiu Racu - Mar_2018_NEWLY_ADDED.xlsx</v>
      </c>
      <c r="P23" s="78">
        <v>2</v>
      </c>
    </row>
    <row r="24" spans="2:16" ht="16.5" thickBot="1" x14ac:dyDescent="0.3">
      <c r="B24" s="82" t="s">
        <v>144</v>
      </c>
      <c r="C24" s="63" t="s">
        <v>44</v>
      </c>
      <c r="D24" s="63">
        <v>2018</v>
      </c>
      <c r="E24" s="63" t="s">
        <v>69</v>
      </c>
      <c r="F24" s="78">
        <f>MATCH(C24,MAIN!$S$77:$S$88,0)</f>
        <v>3</v>
      </c>
      <c r="G24" s="78" t="str">
        <f t="shared" si="4"/>
        <v>3/01/2018</v>
      </c>
      <c r="H24" s="78">
        <f t="shared" si="5"/>
        <v>43160</v>
      </c>
      <c r="I24" s="78">
        <f t="shared" si="6"/>
        <v>4</v>
      </c>
      <c r="J24" s="79">
        <f t="shared" si="7"/>
        <v>31</v>
      </c>
      <c r="K24" s="116" t="s">
        <v>211</v>
      </c>
      <c r="L24" s="78" t="str">
        <f>CONCATENATE("310 - ",BatchList[First and Last Name]," - ",LEFT(BatchList[Month],3),"_",BatchList[Year])</f>
        <v>310 - Walter Aldana - Mar_2018</v>
      </c>
      <c r="M24" s="78">
        <v>0</v>
      </c>
      <c r="N24" s="79" t="str">
        <f>CONCATENATE(BatchList[Folder Location],"\",BatchList[FileName],".xlsx")</f>
        <v>\\p09x\E\Dropbox (BEST)\002 data base\0300 Data base - Bureaucracy\310\310-Walter Aldana\310 - Walter Aldana - Mar_2018.xlsx</v>
      </c>
      <c r="O24" s="79" t="str">
        <f>CONCATENATE(BatchList[Folder Location],"\",BatchList[FileName],"_NEWLY_ADDED",".xlsx")</f>
        <v>\\p09x\E\Dropbox (BEST)\002 data base\0300 Data base - Bureaucracy\310\310-Walter Aldana\310 - Walter Aldana - Mar_2018_NEWLY_ADDED.xlsx</v>
      </c>
      <c r="P24" s="78">
        <v>3</v>
      </c>
    </row>
    <row r="25" spans="2:16" ht="16.5" thickBot="1" x14ac:dyDescent="0.3">
      <c r="B25" s="89" t="s">
        <v>145</v>
      </c>
      <c r="C25" s="63" t="s">
        <v>44</v>
      </c>
      <c r="D25" s="63">
        <v>2018</v>
      </c>
      <c r="E25" s="63" t="s">
        <v>69</v>
      </c>
      <c r="F25" s="78">
        <f>MATCH(C25,MAIN!$S$77:$S$88,0)</f>
        <v>3</v>
      </c>
      <c r="G25" s="78" t="str">
        <f t="shared" si="4"/>
        <v>3/01/2018</v>
      </c>
      <c r="H25" s="78">
        <f t="shared" si="5"/>
        <v>43160</v>
      </c>
      <c r="I25" s="78">
        <f t="shared" si="6"/>
        <v>4</v>
      </c>
      <c r="J25" s="79">
        <f t="shared" si="7"/>
        <v>31</v>
      </c>
      <c r="K25" s="116" t="s">
        <v>212</v>
      </c>
      <c r="L25" s="78" t="str">
        <f>CONCATENATE("310 - ",BatchList[First and Last Name]," - ",LEFT(BatchList[Month],3),"_",BatchList[Year])</f>
        <v>310 - Sonia Arias - Mar_2018</v>
      </c>
      <c r="M25" s="78">
        <v>0</v>
      </c>
      <c r="N25" s="79" t="str">
        <f>CONCATENATE(BatchList[Folder Location],"\",BatchList[FileName],".xlsx")</f>
        <v>\\p09x\E\Dropbox (BEST)\002 data base\0300 Data base - Bureaucracy\310\310-Sonia Arias\310 - Sonia Arias - Mar_2018.xlsx</v>
      </c>
      <c r="O25" s="79" t="str">
        <f>CONCATENATE(BatchList[Folder Location],"\",BatchList[FileName],"_NEWLY_ADDED",".xlsx")</f>
        <v>\\p09x\E\Dropbox (BEST)\002 data base\0300 Data base - Bureaucracy\310\310-Sonia Arias\310 - Sonia Arias - Mar_2018_NEWLY_ADDED.xlsx</v>
      </c>
      <c r="P25" s="78">
        <v>3</v>
      </c>
    </row>
    <row r="26" spans="2:16" ht="16.5" thickBot="1" x14ac:dyDescent="0.3">
      <c r="B26" s="89" t="s">
        <v>146</v>
      </c>
      <c r="C26" s="63" t="s">
        <v>44</v>
      </c>
      <c r="D26" s="63">
        <v>2018</v>
      </c>
      <c r="E26" s="63" t="s">
        <v>69</v>
      </c>
      <c r="F26" s="78">
        <f>MATCH(C26,MAIN!$S$77:$S$88,0)</f>
        <v>3</v>
      </c>
      <c r="G26" s="78" t="str">
        <f t="shared" si="4"/>
        <v>3/01/2018</v>
      </c>
      <c r="H26" s="78">
        <f t="shared" si="5"/>
        <v>43160</v>
      </c>
      <c r="I26" s="78">
        <f t="shared" si="6"/>
        <v>4</v>
      </c>
      <c r="J26" s="79">
        <f t="shared" si="7"/>
        <v>31</v>
      </c>
      <c r="K26" s="116" t="s">
        <v>213</v>
      </c>
      <c r="L26" s="78" t="str">
        <f>CONCATENATE("310 - ",BatchList[First and Last Name]," - ",LEFT(BatchList[Month],3),"_",BatchList[Year])</f>
        <v>310 - Jaleen Dunston - Mar_2018</v>
      </c>
      <c r="M26" s="78">
        <v>0</v>
      </c>
      <c r="N26" s="79" t="str">
        <f>CONCATENATE(BatchList[Folder Location],"\",BatchList[FileName],".xlsx")</f>
        <v>\\p09x\E\Dropbox (BEST)\002 data base\0300 Data base - Bureaucracy\310\310- jaleen dunston\2018\310 - Jaleen Dunston - Mar_2018.xlsx</v>
      </c>
      <c r="O26" s="79" t="str">
        <f>CONCATENATE(BatchList[Folder Location],"\",BatchList[FileName],"_NEWLY_ADDED",".xlsx")</f>
        <v>\\p09x\E\Dropbox (BEST)\002 data base\0300 Data base - Bureaucracy\310\310- jaleen dunston\2018\310 - Jaleen Dunston - Mar_2018_NEWLY_ADDED.xlsx</v>
      </c>
      <c r="P26" s="78">
        <v>3</v>
      </c>
    </row>
    <row r="27" spans="2:16" ht="16.5" thickBot="1" x14ac:dyDescent="0.3">
      <c r="B27" s="89" t="s">
        <v>147</v>
      </c>
      <c r="C27" s="63" t="s">
        <v>44</v>
      </c>
      <c r="D27" s="63">
        <v>2018</v>
      </c>
      <c r="E27" s="63" t="s">
        <v>69</v>
      </c>
      <c r="F27" s="78">
        <f>MATCH(C27,MAIN!$S$77:$S$88,0)</f>
        <v>3</v>
      </c>
      <c r="G27" s="78" t="str">
        <f t="shared" si="4"/>
        <v>3/01/2018</v>
      </c>
      <c r="H27" s="78">
        <f t="shared" si="5"/>
        <v>43160</v>
      </c>
      <c r="I27" s="78">
        <f t="shared" si="6"/>
        <v>4</v>
      </c>
      <c r="J27" s="79">
        <f t="shared" si="7"/>
        <v>31</v>
      </c>
      <c r="K27" s="116" t="s">
        <v>214</v>
      </c>
      <c r="L27" s="78" t="str">
        <f>CONCATENATE("310 - ",BatchList[First and Last Name]," - ",LEFT(BatchList[Month],3),"_",BatchList[Year])</f>
        <v>310 - Rita Zelaya - Mar_2018</v>
      </c>
      <c r="M27" s="78">
        <v>0</v>
      </c>
      <c r="N27" s="79" t="str">
        <f>CONCATENATE(BatchList[Folder Location],"\",BatchList[FileName],".xlsx")</f>
        <v>\\p09x\E\Dropbox (BEST)\002 data base\0300 Data base - Bureaucracy\310\310-Rita Zelaya\310 - Rita Zelaya - Mar_2018.xlsx</v>
      </c>
      <c r="O27" s="79" t="str">
        <f>CONCATENATE(BatchList[Folder Location],"\",BatchList[FileName],"_NEWLY_ADDED",".xlsx")</f>
        <v>\\p09x\E\Dropbox (BEST)\002 data base\0300 Data base - Bureaucracy\310\310-Rita Zelaya\310 - Rita Zelaya - Mar_2018_NEWLY_ADDED.xlsx</v>
      </c>
      <c r="P27" s="78">
        <v>3</v>
      </c>
    </row>
    <row r="28" spans="2:16" ht="16.5" thickBot="1" x14ac:dyDescent="0.3">
      <c r="B28" s="89" t="s">
        <v>159</v>
      </c>
      <c r="C28" s="63" t="s">
        <v>44</v>
      </c>
      <c r="D28" s="63">
        <v>2018</v>
      </c>
      <c r="E28" s="78" t="s">
        <v>69</v>
      </c>
      <c r="F28" s="78">
        <f>MATCH(C28,MAIN!$S$77:$S$88,0)</f>
        <v>3</v>
      </c>
      <c r="G28" s="78" t="str">
        <f t="shared" ref="G28:G32" si="8">CONCATENATE(F28,"/","01","/",D28)</f>
        <v>3/01/2018</v>
      </c>
      <c r="H28" s="78">
        <f t="shared" ref="H28:H32" si="9">DATEVALUE(G28)</f>
        <v>43160</v>
      </c>
      <c r="I28" s="78">
        <f t="shared" ref="I28:I32" si="10">WEEKDAY(H28,2)</f>
        <v>4</v>
      </c>
      <c r="J28" s="79">
        <f t="shared" ref="J28:J32" si="11">DAY(EOMONTH($H28,0))</f>
        <v>31</v>
      </c>
      <c r="K28" s="116" t="s">
        <v>215</v>
      </c>
      <c r="L28" s="78" t="str">
        <f>CONCATENATE("310 - ",BatchList[First and Last Name]," - ",LEFT(BatchList[Month],3),"_",BatchList[Year])</f>
        <v>310 - Victor Boleac - Mar_2018</v>
      </c>
      <c r="M28" s="78">
        <v>2</v>
      </c>
      <c r="N28" s="79" t="str">
        <f>CONCATENATE(BatchList[Folder Location],"\",BatchList[FileName],".xlsx")</f>
        <v>\\p09x\E\Dropbox (BEST)\002 data base\0300 Data base - Bureaucracy\Moldova Branch\002 md database\0300 md_data base_bureacracy\310\310_Victor Boleac\310 - Victor Boleac - Mar_2018.xlsx</v>
      </c>
      <c r="O28" s="79" t="str">
        <f>CONCATENATE(BatchList[Folder Location],"\",BatchList[FileName],"_NEWLY_ADDED",".xlsx")</f>
        <v>\\p09x\E\Dropbox (BEST)\002 data base\0300 Data base - Bureaucracy\Moldova Branch\002 md database\0300 md_data base_bureacracy\310\310_Victor Boleac\310 - Victor Boleac - Mar_2018_NEWLY_ADDED.xlsx</v>
      </c>
      <c r="P28" s="78">
        <v>2</v>
      </c>
    </row>
    <row r="29" spans="2:16" ht="16.5" thickBot="1" x14ac:dyDescent="0.3">
      <c r="B29" s="89" t="s">
        <v>160</v>
      </c>
      <c r="C29" s="63" t="s">
        <v>44</v>
      </c>
      <c r="D29" s="63">
        <v>2018</v>
      </c>
      <c r="E29" s="78" t="s">
        <v>69</v>
      </c>
      <c r="F29" s="78">
        <f>MATCH(C29,MAIN!$S$77:$S$88,0)</f>
        <v>3</v>
      </c>
      <c r="G29" s="78" t="str">
        <f t="shared" si="8"/>
        <v>3/01/2018</v>
      </c>
      <c r="H29" s="78">
        <f t="shared" si="9"/>
        <v>43160</v>
      </c>
      <c r="I29" s="78">
        <f t="shared" si="10"/>
        <v>4</v>
      </c>
      <c r="J29" s="79">
        <f t="shared" si="11"/>
        <v>31</v>
      </c>
      <c r="K29" s="116" t="s">
        <v>216</v>
      </c>
      <c r="L29" s="78" t="str">
        <f>CONCATENATE("310 - ",BatchList[First and Last Name]," - ",LEFT(BatchList[Month],3),"_",BatchList[Year])</f>
        <v>310 - Nancy Loziienko - Mar_2018</v>
      </c>
      <c r="M29" s="78">
        <v>3</v>
      </c>
      <c r="N29" s="79" t="str">
        <f>CONCATENATE(BatchList[Folder Location],"\",BatchList[FileName],".xlsx")</f>
        <v>\\p09x\E\Dropbox (BEST)\002 data base\0300 Data base - Bureaucracy\Odessa Branch\310\310_Nancy Loziienko\310 - Nancy Loziienko - Mar_2018.xlsx</v>
      </c>
      <c r="O29" s="79" t="str">
        <f>CONCATENATE(BatchList[Folder Location],"\",BatchList[FileName],"_NEWLY_ADDED",".xlsx")</f>
        <v>\\p09x\E\Dropbox (BEST)\002 data base\0300 Data base - Bureaucracy\Odessa Branch\310\310_Nancy Loziienko\310 - Nancy Loziienko - Mar_2018_NEWLY_ADDED.xlsx</v>
      </c>
      <c r="P29" s="78">
        <v>1</v>
      </c>
    </row>
    <row r="30" spans="2:16" ht="16.5" thickBot="1" x14ac:dyDescent="0.3">
      <c r="B30" s="89" t="s">
        <v>179</v>
      </c>
      <c r="C30" s="63" t="s">
        <v>44</v>
      </c>
      <c r="D30" s="63">
        <v>2018</v>
      </c>
      <c r="E30" s="78" t="s">
        <v>68</v>
      </c>
      <c r="F30" s="78">
        <f>MATCH(C30,MAIN!$S$77:$S$88,0)</f>
        <v>3</v>
      </c>
      <c r="G30" s="78" t="str">
        <f t="shared" si="8"/>
        <v>3/01/2018</v>
      </c>
      <c r="H30" s="78">
        <f t="shared" si="9"/>
        <v>43160</v>
      </c>
      <c r="I30" s="78">
        <f t="shared" si="10"/>
        <v>4</v>
      </c>
      <c r="J30" s="79">
        <f t="shared" si="11"/>
        <v>31</v>
      </c>
      <c r="K30" s="116" t="s">
        <v>203</v>
      </c>
      <c r="L30" s="78" t="str">
        <f>CONCATENATE("310 - ",BatchList[First and Last Name]," - ",LEFT(BatchList[Month],3),"_",BatchList[Year])</f>
        <v>310 - Gerson Barrera - Mar_2018</v>
      </c>
      <c r="M30" s="78">
        <v>0</v>
      </c>
      <c r="N30" s="79" t="str">
        <f>CONCATENATE(BatchList[Folder Location],"\",BatchList[FileName],".xlsx")</f>
        <v>\\p09x\E\Dropbox (BEST)\016 MD_TX_CA\310 - Gerson Barrera - Mar_2018.xlsx</v>
      </c>
      <c r="O30" s="79" t="str">
        <f>CONCATENATE(BatchList[Folder Location],"\",BatchList[FileName],"_NEWLY_ADDED",".xlsx")</f>
        <v>\\p09x\E\Dropbox (BEST)\016 MD_TX_CA\310 - Gerson Barrera - Mar_2018_NEWLY_ADDED.xlsx</v>
      </c>
      <c r="P30" s="78">
        <v>2</v>
      </c>
    </row>
    <row r="31" spans="2:16" ht="16.5" thickBot="1" x14ac:dyDescent="0.3">
      <c r="B31" s="89" t="s">
        <v>180</v>
      </c>
      <c r="C31" s="63" t="s">
        <v>44</v>
      </c>
      <c r="D31" s="63">
        <v>2018</v>
      </c>
      <c r="E31" s="78" t="s">
        <v>68</v>
      </c>
      <c r="F31" s="78">
        <f>MATCH(C31,MAIN!$S$77:$S$88,0)</f>
        <v>3</v>
      </c>
      <c r="G31" s="78" t="str">
        <f t="shared" si="8"/>
        <v>3/01/2018</v>
      </c>
      <c r="H31" s="78">
        <f t="shared" si="9"/>
        <v>43160</v>
      </c>
      <c r="I31" s="78">
        <f t="shared" si="10"/>
        <v>4</v>
      </c>
      <c r="J31" s="79">
        <f t="shared" si="11"/>
        <v>31</v>
      </c>
      <c r="K31" s="116" t="s">
        <v>217</v>
      </c>
      <c r="L31" s="78" t="str">
        <f>CONCATENATE("310 - ",BatchList[First and Last Name]," - ",LEFT(BatchList[Month],3),"_",BatchList[Year])</f>
        <v>310 - Max Tanskiy - Mar_2018</v>
      </c>
      <c r="M31" s="78">
        <v>3</v>
      </c>
      <c r="N31" s="79" t="str">
        <f>CONCATENATE(BatchList[Folder Location],"\",BatchList[FileName],".xlsx")</f>
        <v>\\p09x\E\Dropbox (BEST)\002 data base\0300 Data base - Bureaucracy\Odessa Branch\310\310_Max Tanskyi\310 - Max Tanskiy - Mar_2018.xlsx</v>
      </c>
      <c r="O31" s="79" t="str">
        <f>CONCATENATE(BatchList[Folder Location],"\",BatchList[FileName],"_NEWLY_ADDED",".xlsx")</f>
        <v>\\p09x\E\Dropbox (BEST)\002 data base\0300 Data base - Bureaucracy\Odessa Branch\310\310_Max Tanskyi\310 - Max Tanskiy - Mar_2018_NEWLY_ADDED.xlsx</v>
      </c>
      <c r="P31" s="78">
        <v>1</v>
      </c>
    </row>
    <row r="32" spans="2:16" ht="16.5" thickBot="1" x14ac:dyDescent="0.3">
      <c r="B32" s="89" t="s">
        <v>181</v>
      </c>
      <c r="C32" s="63" t="s">
        <v>44</v>
      </c>
      <c r="D32" s="78">
        <v>2018</v>
      </c>
      <c r="E32" s="78" t="s">
        <v>69</v>
      </c>
      <c r="F32" s="78">
        <f>MATCH(C32,MAIN!$S$77:$S$88,0)</f>
        <v>3</v>
      </c>
      <c r="G32" s="78" t="str">
        <f t="shared" si="8"/>
        <v>3/01/2018</v>
      </c>
      <c r="H32" s="78">
        <f t="shared" si="9"/>
        <v>43160</v>
      </c>
      <c r="I32" s="78">
        <f t="shared" si="10"/>
        <v>4</v>
      </c>
      <c r="J32" s="79">
        <f t="shared" si="11"/>
        <v>31</v>
      </c>
      <c r="K32" s="116" t="s">
        <v>218</v>
      </c>
      <c r="L32" s="78" t="str">
        <f>CONCATENATE("310 - ",BatchList[First and Last Name]," - ",LEFT(BatchList[Month],3),"_",BatchList[Year])</f>
        <v>310 - Anna Andreeva - Mar_2018</v>
      </c>
      <c r="M32" s="78">
        <v>3</v>
      </c>
      <c r="N32" s="79" t="str">
        <f>CONCATENATE(BatchList[Folder Location],"\",BatchList[FileName],".xlsx")</f>
        <v>\\p09x\E\Dropbox (BEST)\002 data base\0300 Data base - Bureaucracy\Odessa Branch\310\310_Anna Andreeva\310 - Anna Andreeva - Mar_2018.xlsx</v>
      </c>
      <c r="O32" s="79" t="str">
        <f>CONCATENATE(BatchList[Folder Location],"\",BatchList[FileName],"_NEWLY_ADDED",".xlsx")</f>
        <v>\\p09x\E\Dropbox (BEST)\002 data base\0300 Data base - Bureaucracy\Odessa Branch\310\310_Anna Andreeva\310 - Anna Andreeva - Mar_2018_NEWLY_ADDED.xlsx</v>
      </c>
      <c r="P32" s="78">
        <v>1</v>
      </c>
    </row>
  </sheetData>
  <dataValidations count="1"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D3:D32">
      <formula1>2016</formula1>
      <formula2>2030</formula2>
    </dataValidation>
  </dataValidations>
  <hyperlinks>
    <hyperlink ref="K3" r:id="rId1"/>
    <hyperlink ref="K4" r:id="rId2"/>
    <hyperlink ref="K5" r:id="rId3"/>
    <hyperlink ref="K6" r:id="rId4"/>
    <hyperlink ref="K7" r:id="rId5"/>
    <hyperlink ref="K8" r:id="rId6"/>
    <hyperlink ref="K9" r:id="rId7"/>
    <hyperlink ref="K10" r:id="rId8"/>
    <hyperlink ref="K11" r:id="rId9"/>
    <hyperlink ref="K12" r:id="rId10"/>
    <hyperlink ref="K13" r:id="rId11"/>
    <hyperlink ref="K14" r:id="rId12"/>
    <hyperlink ref="K15" r:id="rId13"/>
    <hyperlink ref="K16" r:id="rId14"/>
    <hyperlink ref="K17" r:id="rId15"/>
    <hyperlink ref="K18" r:id="rId16"/>
    <hyperlink ref="K19" r:id="rId17"/>
    <hyperlink ref="K20" r:id="rId18"/>
    <hyperlink ref="K21" r:id="rId19"/>
    <hyperlink ref="K22" r:id="rId20"/>
    <hyperlink ref="K23" r:id="rId21"/>
    <hyperlink ref="K24" r:id="rId22"/>
    <hyperlink ref="K25" r:id="rId23"/>
    <hyperlink ref="K26" r:id="rId24"/>
    <hyperlink ref="K27" r:id="rId25"/>
    <hyperlink ref="K28" r:id="rId26"/>
    <hyperlink ref="K29" r:id="rId27"/>
    <hyperlink ref="K30" r:id="rId28"/>
    <hyperlink ref="K31" r:id="rId29"/>
    <hyperlink ref="K32" r:id="rId30"/>
  </hyperlinks>
  <pageMargins left="0.7" right="0.7" top="0.75" bottom="0.75" header="0.3" footer="0.3"/>
  <pageSetup paperSize="9" orientation="portrait" horizontalDpi="300" verticalDpi="1200" r:id="rId31"/>
  <drawing r:id="rId32"/>
  <legacyDrawing r:id="rId3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4" name="Button 1">
              <controlPr defaultSize="0" print="0" autoFill="0" autoPict="0" macro="[0]!main_initial.BatchCreate">
                <anchor moveWithCells="1" sizeWithCells="1">
                  <from>
                    <xdr:col>16</xdr:col>
                    <xdr:colOff>95250</xdr:colOff>
                    <xdr:row>4</xdr:row>
                    <xdr:rowOff>19050</xdr:rowOff>
                  </from>
                  <to>
                    <xdr:col>18</xdr:col>
                    <xdr:colOff>104775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" name="Button 2">
              <controlPr defaultSize="0" print="0" autoFill="0" autoPict="0" macro="[0]!SelectDirectoriesForBatch">
                <anchor moveWithCells="1" sizeWithCells="1">
                  <from>
                    <xdr:col>16</xdr:col>
                    <xdr:colOff>104775</xdr:colOff>
                    <xdr:row>6</xdr:row>
                    <xdr:rowOff>180975</xdr:rowOff>
                  </from>
                  <to>
                    <xdr:col>18</xdr:col>
                    <xdr:colOff>95250</xdr:colOff>
                    <xdr:row>8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3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MAIN!$S$77:$S$88</xm:f>
          </x14:formula1>
          <xm:sqref>C3:C32</xm:sqref>
        </x14:dataValidation>
        <x14:dataValidation type="list" allowBlank="1" showInputMessage="1" showErrorMessage="1">
          <x14:formula1>
            <xm:f>Categories!$A$10:$A$11</xm:f>
          </x14:formula1>
          <xm:sqref>E3:E32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S88"/>
  <sheetViews>
    <sheetView workbookViewId="0">
      <selection activeCell="F9" sqref="F9"/>
    </sheetView>
  </sheetViews>
  <sheetFormatPr defaultRowHeight="15" x14ac:dyDescent="0.25"/>
  <cols>
    <col min="15" max="15" width="33.85546875" customWidth="1"/>
  </cols>
  <sheetData>
    <row r="1" spans="2:18" ht="15.75" x14ac:dyDescent="0.25">
      <c r="C1" s="61"/>
      <c r="D1" s="61"/>
      <c r="E1" s="61"/>
      <c r="F1" s="61"/>
      <c r="G1" s="61"/>
      <c r="H1" s="61"/>
      <c r="I1" s="61"/>
    </row>
    <row r="2" spans="2:18" ht="16.5" thickBot="1" x14ac:dyDescent="0.3">
      <c r="C2" s="61"/>
      <c r="D2" s="61"/>
      <c r="E2" s="61"/>
      <c r="F2" s="61"/>
      <c r="G2" s="61"/>
      <c r="H2" s="61"/>
      <c r="I2" s="61"/>
    </row>
    <row r="3" spans="2:18" ht="16.5" thickBot="1" x14ac:dyDescent="0.3">
      <c r="C3" s="107" t="s">
        <v>40</v>
      </c>
      <c r="D3" s="107"/>
      <c r="E3" s="107"/>
      <c r="F3" s="108" t="s">
        <v>219</v>
      </c>
      <c r="G3" s="109"/>
      <c r="H3" s="109"/>
      <c r="I3" s="110"/>
      <c r="K3" s="111" t="s">
        <v>55</v>
      </c>
      <c r="L3" s="112"/>
      <c r="M3" s="112"/>
      <c r="N3" s="112"/>
      <c r="O3" s="112"/>
      <c r="P3" s="112"/>
      <c r="Q3" s="112"/>
      <c r="R3" s="113"/>
    </row>
    <row r="4" spans="2:18" ht="16.5" thickBot="1" x14ac:dyDescent="0.3">
      <c r="C4" s="61"/>
      <c r="D4" s="61"/>
      <c r="E4" s="61"/>
      <c r="F4" s="61"/>
      <c r="G4" s="61"/>
      <c r="H4" s="61"/>
      <c r="I4" s="61"/>
      <c r="K4" s="101" t="s">
        <v>56</v>
      </c>
      <c r="L4" s="102"/>
      <c r="M4" s="102"/>
      <c r="N4" s="102"/>
      <c r="O4" s="102"/>
      <c r="P4" s="102"/>
      <c r="Q4" s="102"/>
      <c r="R4" s="103"/>
    </row>
    <row r="5" spans="2:18" ht="16.5" thickBot="1" x14ac:dyDescent="0.3">
      <c r="C5" s="62" t="s">
        <v>41</v>
      </c>
      <c r="D5" s="63" t="s">
        <v>43</v>
      </c>
      <c r="E5" s="64" t="s">
        <v>54</v>
      </c>
      <c r="F5" s="63">
        <v>2018</v>
      </c>
      <c r="G5" s="64" t="s">
        <v>67</v>
      </c>
      <c r="H5" s="63" t="s">
        <v>69</v>
      </c>
      <c r="I5" s="61"/>
      <c r="K5" s="101" t="s">
        <v>57</v>
      </c>
      <c r="L5" s="102"/>
      <c r="M5" s="102"/>
      <c r="N5" s="102"/>
      <c r="O5" s="102"/>
      <c r="P5" s="102"/>
      <c r="Q5" s="102"/>
      <c r="R5" s="103"/>
    </row>
    <row r="6" spans="2:18" ht="15.75" x14ac:dyDescent="0.25">
      <c r="C6" s="61"/>
      <c r="D6" s="61"/>
      <c r="E6" s="61"/>
      <c r="F6" s="61"/>
      <c r="G6" s="61"/>
      <c r="H6" s="61"/>
      <c r="I6" s="61"/>
      <c r="K6" s="101" t="s">
        <v>58</v>
      </c>
      <c r="L6" s="102"/>
      <c r="M6" s="102"/>
      <c r="N6" s="102"/>
      <c r="O6" s="102"/>
      <c r="P6" s="102"/>
      <c r="Q6" s="102"/>
      <c r="R6" s="103"/>
    </row>
    <row r="7" spans="2:18" ht="16.5" thickBot="1" x14ac:dyDescent="0.3">
      <c r="C7" s="61"/>
      <c r="D7" s="61"/>
      <c r="E7" s="61"/>
      <c r="F7" s="61"/>
      <c r="G7" s="61"/>
      <c r="H7" s="61"/>
      <c r="I7" s="61"/>
      <c r="K7" s="101" t="s">
        <v>59</v>
      </c>
      <c r="L7" s="102"/>
      <c r="M7" s="102"/>
      <c r="N7" s="102"/>
      <c r="O7" s="102"/>
      <c r="P7" s="102"/>
      <c r="Q7" s="102"/>
      <c r="R7" s="103"/>
    </row>
    <row r="8" spans="2:18" ht="16.5" thickBot="1" x14ac:dyDescent="0.3">
      <c r="C8" s="61"/>
      <c r="D8" s="61"/>
      <c r="E8" s="61"/>
      <c r="F8" s="61"/>
      <c r="G8" s="114" t="s">
        <v>113</v>
      </c>
      <c r="H8" s="114"/>
      <c r="I8" s="63">
        <v>3</v>
      </c>
      <c r="K8" s="101" t="s">
        <v>60</v>
      </c>
      <c r="L8" s="102"/>
      <c r="M8" s="102"/>
      <c r="N8" s="102"/>
      <c r="O8" s="102"/>
      <c r="P8" s="102"/>
      <c r="Q8" s="102"/>
      <c r="R8" s="103"/>
    </row>
    <row r="9" spans="2:18" ht="16.5" thickBot="1" x14ac:dyDescent="0.3">
      <c r="C9" s="61"/>
      <c r="D9" s="61"/>
      <c r="E9" s="61"/>
      <c r="F9" s="61"/>
      <c r="G9" s="61"/>
      <c r="H9" s="61"/>
      <c r="I9" s="61"/>
      <c r="K9" s="104" t="s">
        <v>61</v>
      </c>
      <c r="L9" s="105"/>
      <c r="M9" s="105"/>
      <c r="N9" s="105"/>
      <c r="O9" s="105"/>
      <c r="P9" s="105"/>
      <c r="Q9" s="105"/>
      <c r="R9" s="106"/>
    </row>
    <row r="10" spans="2:18" ht="16.5" thickBot="1" x14ac:dyDescent="0.3">
      <c r="C10" s="61"/>
      <c r="D10" s="61"/>
      <c r="E10" s="61"/>
      <c r="F10" s="61"/>
      <c r="G10" s="61"/>
    </row>
    <row r="11" spans="2:18" ht="16.5" thickBot="1" x14ac:dyDescent="0.3">
      <c r="B11" t="s">
        <v>111</v>
      </c>
      <c r="C11" s="98" t="str">
        <f>CONCATENATE("310 - ",F3," - ",LEFT(D5,3),"_",F5)</f>
        <v>310 - vasya - Feb_2018</v>
      </c>
      <c r="D11" s="99"/>
      <c r="E11" s="99"/>
      <c r="F11" s="100"/>
      <c r="G11" s="61"/>
    </row>
    <row r="12" spans="2:18" ht="15.75" x14ac:dyDescent="0.25">
      <c r="C12" s="61"/>
      <c r="D12" s="61"/>
      <c r="E12" s="61"/>
      <c r="F12" s="61"/>
      <c r="G12" s="61"/>
      <c r="H12" s="61"/>
      <c r="I12" s="61"/>
    </row>
    <row r="76" spans="4:19" ht="15.75" thickBot="1" x14ac:dyDescent="0.3">
      <c r="N76" s="69" t="s">
        <v>66</v>
      </c>
      <c r="O76" t="s">
        <v>65</v>
      </c>
    </row>
    <row r="77" spans="4:19" ht="15.75" thickBot="1" x14ac:dyDescent="0.3">
      <c r="D77">
        <f>MATCH(D5,S77:S88,0)</f>
        <v>2</v>
      </c>
      <c r="F77" s="65" t="str">
        <f>CONCATENATE(D77,"/","01","/",F5)</f>
        <v>2/01/2018</v>
      </c>
      <c r="G77">
        <f>DATEVALUE(F77)</f>
        <v>43132</v>
      </c>
      <c r="H77">
        <f>WEEKDAY(G77,2)</f>
        <v>4</v>
      </c>
      <c r="O77" t="s">
        <v>39</v>
      </c>
      <c r="S77" t="s">
        <v>42</v>
      </c>
    </row>
    <row r="78" spans="4:19" ht="15.75" x14ac:dyDescent="0.25">
      <c r="F78" s="66">
        <f>DAY(EOMONTH(F77,0))</f>
        <v>28</v>
      </c>
      <c r="S78" t="s">
        <v>43</v>
      </c>
    </row>
    <row r="79" spans="4:19" x14ac:dyDescent="0.25">
      <c r="S79" t="s">
        <v>44</v>
      </c>
    </row>
    <row r="80" spans="4:19" x14ac:dyDescent="0.25">
      <c r="S80" t="s">
        <v>45</v>
      </c>
    </row>
    <row r="81" spans="19:19" x14ac:dyDescent="0.25">
      <c r="S81" t="s">
        <v>46</v>
      </c>
    </row>
    <row r="82" spans="19:19" x14ac:dyDescent="0.25">
      <c r="S82" t="s">
        <v>47</v>
      </c>
    </row>
    <row r="83" spans="19:19" x14ac:dyDescent="0.25">
      <c r="S83" t="s">
        <v>48</v>
      </c>
    </row>
    <row r="84" spans="19:19" x14ac:dyDescent="0.25">
      <c r="S84" t="s">
        <v>49</v>
      </c>
    </row>
    <row r="85" spans="19:19" x14ac:dyDescent="0.25">
      <c r="S85" t="s">
        <v>50</v>
      </c>
    </row>
    <row r="86" spans="19:19" x14ac:dyDescent="0.25">
      <c r="S86" t="s">
        <v>51</v>
      </c>
    </row>
    <row r="87" spans="19:19" x14ac:dyDescent="0.25">
      <c r="S87" t="s">
        <v>52</v>
      </c>
    </row>
    <row r="88" spans="19:19" x14ac:dyDescent="0.25">
      <c r="S88" t="s">
        <v>53</v>
      </c>
    </row>
  </sheetData>
  <mergeCells count="11">
    <mergeCell ref="C11:F11"/>
    <mergeCell ref="K7:R7"/>
    <mergeCell ref="K8:R8"/>
    <mergeCell ref="K9:R9"/>
    <mergeCell ref="C3:E3"/>
    <mergeCell ref="F3:I3"/>
    <mergeCell ref="K3:R3"/>
    <mergeCell ref="K4:R4"/>
    <mergeCell ref="K5:R5"/>
    <mergeCell ref="K6:R6"/>
    <mergeCell ref="G8:H8"/>
  </mergeCells>
  <dataValidations count="2">
    <dataValidation type="list" allowBlank="1" showInputMessage="1" showErrorMessage="1" sqref="D5">
      <formula1>$S$77:$S$88</formula1>
    </dataValidation>
    <dataValidation type="decimal" errorStyle="warning" allowBlank="1" showInputMessage="1" showErrorMessage="1" errorTitle="Wrong value" error="Please, enter value between 2016 and 2030" promptTitle="Please enter the year" prompt="The year should be specified as a 4-digit value, e.g. 2017. Works till 2030. Leg godt!" sqref="F5">
      <formula1>2016</formula1>
      <formula2>2030</formula2>
    </dataValidation>
  </dataValidations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ngleCreate_Click">
                <anchor moveWithCells="1" sizeWithCells="1">
                  <from>
                    <xdr:col>2</xdr:col>
                    <xdr:colOff>0</xdr:colOff>
                    <xdr:row>6</xdr:row>
                    <xdr:rowOff>9525</xdr:rowOff>
                  </from>
                  <to>
                    <xdr:col>5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310">
                <anchor moveWithCells="1" sizeWithCells="1">
                  <from>
                    <xdr:col>1</xdr:col>
                    <xdr:colOff>19050</xdr:colOff>
                    <xdr:row>36</xdr:row>
                    <xdr:rowOff>9525</xdr:rowOff>
                  </from>
                  <to>
                    <xdr:col>4</xdr:col>
                    <xdr:colOff>19050</xdr:colOff>
                    <xdr:row>39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Categories!A10:A11</xm:f>
          </x14:formula1>
          <xm:sqref>H5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4"/>
  <sheetViews>
    <sheetView workbookViewId="0">
      <selection activeCell="D22" sqref="D22"/>
    </sheetView>
  </sheetViews>
  <sheetFormatPr defaultRowHeight="15" x14ac:dyDescent="0.25"/>
  <cols>
    <col min="1" max="1" width="15" bestFit="1" customWidth="1"/>
    <col min="4" max="4" width="31.85546875" customWidth="1"/>
    <col min="5" max="5" width="10.7109375" customWidth="1"/>
    <col min="257" max="257" width="15" bestFit="1" customWidth="1"/>
    <col min="260" max="260" width="31.85546875" customWidth="1"/>
    <col min="513" max="513" width="15" bestFit="1" customWidth="1"/>
    <col min="516" max="516" width="31.85546875" customWidth="1"/>
    <col min="769" max="769" width="15" bestFit="1" customWidth="1"/>
    <col min="772" max="772" width="31.85546875" customWidth="1"/>
    <col min="1025" max="1025" width="15" bestFit="1" customWidth="1"/>
    <col min="1028" max="1028" width="31.85546875" customWidth="1"/>
    <col min="1281" max="1281" width="15" bestFit="1" customWidth="1"/>
    <col min="1284" max="1284" width="31.85546875" customWidth="1"/>
    <col min="1537" max="1537" width="15" bestFit="1" customWidth="1"/>
    <col min="1540" max="1540" width="31.85546875" customWidth="1"/>
    <col min="1793" max="1793" width="15" bestFit="1" customWidth="1"/>
    <col min="1796" max="1796" width="31.85546875" customWidth="1"/>
    <col min="2049" max="2049" width="15" bestFit="1" customWidth="1"/>
    <col min="2052" max="2052" width="31.85546875" customWidth="1"/>
    <col min="2305" max="2305" width="15" bestFit="1" customWidth="1"/>
    <col min="2308" max="2308" width="31.85546875" customWidth="1"/>
    <col min="2561" max="2561" width="15" bestFit="1" customWidth="1"/>
    <col min="2564" max="2564" width="31.85546875" customWidth="1"/>
    <col min="2817" max="2817" width="15" bestFit="1" customWidth="1"/>
    <col min="2820" max="2820" width="31.85546875" customWidth="1"/>
    <col min="3073" max="3073" width="15" bestFit="1" customWidth="1"/>
    <col min="3076" max="3076" width="31.85546875" customWidth="1"/>
    <col min="3329" max="3329" width="15" bestFit="1" customWidth="1"/>
    <col min="3332" max="3332" width="31.85546875" customWidth="1"/>
    <col min="3585" max="3585" width="15" bestFit="1" customWidth="1"/>
    <col min="3588" max="3588" width="31.85546875" customWidth="1"/>
    <col min="3841" max="3841" width="15" bestFit="1" customWidth="1"/>
    <col min="3844" max="3844" width="31.85546875" customWidth="1"/>
    <col min="4097" max="4097" width="15" bestFit="1" customWidth="1"/>
    <col min="4100" max="4100" width="31.85546875" customWidth="1"/>
    <col min="4353" max="4353" width="15" bestFit="1" customWidth="1"/>
    <col min="4356" max="4356" width="31.85546875" customWidth="1"/>
    <col min="4609" max="4609" width="15" bestFit="1" customWidth="1"/>
    <col min="4612" max="4612" width="31.85546875" customWidth="1"/>
    <col min="4865" max="4865" width="15" bestFit="1" customWidth="1"/>
    <col min="4868" max="4868" width="31.85546875" customWidth="1"/>
    <col min="5121" max="5121" width="15" bestFit="1" customWidth="1"/>
    <col min="5124" max="5124" width="31.85546875" customWidth="1"/>
    <col min="5377" max="5377" width="15" bestFit="1" customWidth="1"/>
    <col min="5380" max="5380" width="31.85546875" customWidth="1"/>
    <col min="5633" max="5633" width="15" bestFit="1" customWidth="1"/>
    <col min="5636" max="5636" width="31.85546875" customWidth="1"/>
    <col min="5889" max="5889" width="15" bestFit="1" customWidth="1"/>
    <col min="5892" max="5892" width="31.85546875" customWidth="1"/>
    <col min="6145" max="6145" width="15" bestFit="1" customWidth="1"/>
    <col min="6148" max="6148" width="31.85546875" customWidth="1"/>
    <col min="6401" max="6401" width="15" bestFit="1" customWidth="1"/>
    <col min="6404" max="6404" width="31.85546875" customWidth="1"/>
    <col min="6657" max="6657" width="15" bestFit="1" customWidth="1"/>
    <col min="6660" max="6660" width="31.85546875" customWidth="1"/>
    <col min="6913" max="6913" width="15" bestFit="1" customWidth="1"/>
    <col min="6916" max="6916" width="31.85546875" customWidth="1"/>
    <col min="7169" max="7169" width="15" bestFit="1" customWidth="1"/>
    <col min="7172" max="7172" width="31.85546875" customWidth="1"/>
    <col min="7425" max="7425" width="15" bestFit="1" customWidth="1"/>
    <col min="7428" max="7428" width="31.85546875" customWidth="1"/>
    <col min="7681" max="7681" width="15" bestFit="1" customWidth="1"/>
    <col min="7684" max="7684" width="31.85546875" customWidth="1"/>
    <col min="7937" max="7937" width="15" bestFit="1" customWidth="1"/>
    <col min="7940" max="7940" width="31.85546875" customWidth="1"/>
    <col min="8193" max="8193" width="15" bestFit="1" customWidth="1"/>
    <col min="8196" max="8196" width="31.85546875" customWidth="1"/>
    <col min="8449" max="8449" width="15" bestFit="1" customWidth="1"/>
    <col min="8452" max="8452" width="31.85546875" customWidth="1"/>
    <col min="8705" max="8705" width="15" bestFit="1" customWidth="1"/>
    <col min="8708" max="8708" width="31.85546875" customWidth="1"/>
    <col min="8961" max="8961" width="15" bestFit="1" customWidth="1"/>
    <col min="8964" max="8964" width="31.85546875" customWidth="1"/>
    <col min="9217" max="9217" width="15" bestFit="1" customWidth="1"/>
    <col min="9220" max="9220" width="31.85546875" customWidth="1"/>
    <col min="9473" max="9473" width="15" bestFit="1" customWidth="1"/>
    <col min="9476" max="9476" width="31.85546875" customWidth="1"/>
    <col min="9729" max="9729" width="15" bestFit="1" customWidth="1"/>
    <col min="9732" max="9732" width="31.85546875" customWidth="1"/>
    <col min="9985" max="9985" width="15" bestFit="1" customWidth="1"/>
    <col min="9988" max="9988" width="31.85546875" customWidth="1"/>
    <col min="10241" max="10241" width="15" bestFit="1" customWidth="1"/>
    <col min="10244" max="10244" width="31.85546875" customWidth="1"/>
    <col min="10497" max="10497" width="15" bestFit="1" customWidth="1"/>
    <col min="10500" max="10500" width="31.85546875" customWidth="1"/>
    <col min="10753" max="10753" width="15" bestFit="1" customWidth="1"/>
    <col min="10756" max="10756" width="31.85546875" customWidth="1"/>
    <col min="11009" max="11009" width="15" bestFit="1" customWidth="1"/>
    <col min="11012" max="11012" width="31.85546875" customWidth="1"/>
    <col min="11265" max="11265" width="15" bestFit="1" customWidth="1"/>
    <col min="11268" max="11268" width="31.85546875" customWidth="1"/>
    <col min="11521" max="11521" width="15" bestFit="1" customWidth="1"/>
    <col min="11524" max="11524" width="31.85546875" customWidth="1"/>
    <col min="11777" max="11777" width="15" bestFit="1" customWidth="1"/>
    <col min="11780" max="11780" width="31.85546875" customWidth="1"/>
    <col min="12033" max="12033" width="15" bestFit="1" customWidth="1"/>
    <col min="12036" max="12036" width="31.85546875" customWidth="1"/>
    <col min="12289" max="12289" width="15" bestFit="1" customWidth="1"/>
    <col min="12292" max="12292" width="31.85546875" customWidth="1"/>
    <col min="12545" max="12545" width="15" bestFit="1" customWidth="1"/>
    <col min="12548" max="12548" width="31.85546875" customWidth="1"/>
    <col min="12801" max="12801" width="15" bestFit="1" customWidth="1"/>
    <col min="12804" max="12804" width="31.85546875" customWidth="1"/>
    <col min="13057" max="13057" width="15" bestFit="1" customWidth="1"/>
    <col min="13060" max="13060" width="31.85546875" customWidth="1"/>
    <col min="13313" max="13313" width="15" bestFit="1" customWidth="1"/>
    <col min="13316" max="13316" width="31.85546875" customWidth="1"/>
    <col min="13569" max="13569" width="15" bestFit="1" customWidth="1"/>
    <col min="13572" max="13572" width="31.85546875" customWidth="1"/>
    <col min="13825" max="13825" width="15" bestFit="1" customWidth="1"/>
    <col min="13828" max="13828" width="31.85546875" customWidth="1"/>
    <col min="14081" max="14081" width="15" bestFit="1" customWidth="1"/>
    <col min="14084" max="14084" width="31.85546875" customWidth="1"/>
    <col min="14337" max="14337" width="15" bestFit="1" customWidth="1"/>
    <col min="14340" max="14340" width="31.85546875" customWidth="1"/>
    <col min="14593" max="14593" width="15" bestFit="1" customWidth="1"/>
    <col min="14596" max="14596" width="31.85546875" customWidth="1"/>
    <col min="14849" max="14849" width="15" bestFit="1" customWidth="1"/>
    <col min="14852" max="14852" width="31.85546875" customWidth="1"/>
    <col min="15105" max="15105" width="15" bestFit="1" customWidth="1"/>
    <col min="15108" max="15108" width="31.85546875" customWidth="1"/>
    <col min="15361" max="15361" width="15" bestFit="1" customWidth="1"/>
    <col min="15364" max="15364" width="31.85546875" customWidth="1"/>
    <col min="15617" max="15617" width="15" bestFit="1" customWidth="1"/>
    <col min="15620" max="15620" width="31.85546875" customWidth="1"/>
    <col min="15873" max="15873" width="15" bestFit="1" customWidth="1"/>
    <col min="15876" max="15876" width="31.85546875" customWidth="1"/>
    <col min="16129" max="16129" width="15" bestFit="1" customWidth="1"/>
    <col min="16132" max="16132" width="31.85546875" customWidth="1"/>
  </cols>
  <sheetData>
    <row r="1" spans="1:12" ht="15.75" thickBot="1" x14ac:dyDescent="0.3">
      <c r="A1" t="s">
        <v>0</v>
      </c>
      <c r="D1" s="1" t="s">
        <v>1</v>
      </c>
      <c r="E1" s="2"/>
    </row>
    <row r="2" spans="1:12" x14ac:dyDescent="0.25">
      <c r="A2" s="3" t="e">
        <f>0+#REF!+#REF!+#REF!+#REF!+#REF!+#REF!+#REF!+#REF!+#REF!+#REF!+#REF!+#REF!+#REF!+#REF!+#REF!+#REF!+#REF!+#REF!+#REF!+#REF!+#REF!+#REF!+#REF!+#REF!+#REF!+#REF!+#REF!+#REF!+#REF!+#REF!</f>
        <v>#REF!</v>
      </c>
      <c r="D2" s="59" t="s">
        <v>2</v>
      </c>
      <c r="E2" s="4" t="e">
        <f>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SUMIF(#REF!,D2,#REF!)+0</f>
        <v>#REF!</v>
      </c>
      <c r="F2" s="97" t="e">
        <f>E2/$E$24</f>
        <v>#REF!</v>
      </c>
    </row>
    <row r="3" spans="1:12" x14ac:dyDescent="0.25">
      <c r="A3" s="5" t="e">
        <f>(SUM(E2:E-1))*24</f>
        <v>#NAME?</v>
      </c>
      <c r="D3" s="60" t="s">
        <v>3</v>
      </c>
      <c r="E3" s="4" t="e">
        <f>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SUMIF(#REF!,D3,#REF!)+0</f>
        <v>#REF!</v>
      </c>
      <c r="F3" s="97" t="e">
        <f t="shared" ref="F3:F23" si="0">E3/$E$24</f>
        <v>#REF!</v>
      </c>
    </row>
    <row r="4" spans="1:12" x14ac:dyDescent="0.25">
      <c r="D4" s="60" t="s">
        <v>4</v>
      </c>
      <c r="E4" s="4" t="e">
        <f>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SUMIF(#REF!,D4,#REF!)+0</f>
        <v>#REF!</v>
      </c>
      <c r="F4" s="97" t="e">
        <f t="shared" si="0"/>
        <v>#REF!</v>
      </c>
    </row>
    <row r="5" spans="1:12" x14ac:dyDescent="0.25">
      <c r="D5" s="60" t="s">
        <v>5</v>
      </c>
      <c r="E5" s="4" t="e">
        <f>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SUMIF(#REF!,D5,#REF!)+0</f>
        <v>#REF!</v>
      </c>
      <c r="F5" s="97" t="e">
        <f t="shared" si="0"/>
        <v>#REF!</v>
      </c>
    </row>
    <row r="6" spans="1:12" x14ac:dyDescent="0.25">
      <c r="D6" s="60" t="s">
        <v>6</v>
      </c>
      <c r="E6" s="4" t="e">
        <f>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SUMIF(#REF!,D6,#REF!)+0</f>
        <v>#REF!</v>
      </c>
      <c r="F6" s="97" t="e">
        <f t="shared" si="0"/>
        <v>#REF!</v>
      </c>
    </row>
    <row r="7" spans="1:12" x14ac:dyDescent="0.25">
      <c r="D7" s="60" t="s">
        <v>7</v>
      </c>
      <c r="E7" s="4" t="e">
        <f>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SUMIF(#REF!,D7,#REF!)+0</f>
        <v>#REF!</v>
      </c>
      <c r="F7" s="97" t="e">
        <f t="shared" si="0"/>
        <v>#REF!</v>
      </c>
    </row>
    <row r="8" spans="1:12" x14ac:dyDescent="0.25">
      <c r="D8" s="60" t="s">
        <v>8</v>
      </c>
      <c r="E8" s="4" t="e">
        <f>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SUMIF(#REF!,D8,#REF!)+0</f>
        <v>#REF!</v>
      </c>
      <c r="F8" s="97" t="e">
        <f t="shared" si="0"/>
        <v>#REF!</v>
      </c>
    </row>
    <row r="9" spans="1:12" x14ac:dyDescent="0.25">
      <c r="D9" s="60" t="s">
        <v>9</v>
      </c>
      <c r="E9" s="4" t="e">
        <f>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SUMIF(#REF!,D9,#REF!)+0</f>
        <v>#REF!</v>
      </c>
      <c r="F9" s="97" t="e">
        <f t="shared" si="0"/>
        <v>#REF!</v>
      </c>
      <c r="L9" s="2"/>
    </row>
    <row r="10" spans="1:12" x14ac:dyDescent="0.25">
      <c r="D10" s="60" t="s">
        <v>10</v>
      </c>
      <c r="E10" s="4" t="e">
        <f>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SUMIF(#REF!,D10,#REF!)+0</f>
        <v>#REF!</v>
      </c>
      <c r="F10" s="97" t="e">
        <f t="shared" si="0"/>
        <v>#REF!</v>
      </c>
    </row>
    <row r="11" spans="1:12" x14ac:dyDescent="0.25">
      <c r="D11" s="60" t="s">
        <v>11</v>
      </c>
      <c r="E11" s="4" t="e">
        <f>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SUMIF(#REF!,D11,#REF!)+0</f>
        <v>#REF!</v>
      </c>
      <c r="F11" s="97" t="e">
        <f t="shared" si="0"/>
        <v>#REF!</v>
      </c>
    </row>
    <row r="12" spans="1:12" x14ac:dyDescent="0.25">
      <c r="D12" s="60" t="s">
        <v>12</v>
      </c>
      <c r="E12" s="4" t="e">
        <f>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SUMIF(#REF!,D12,#REF!)+0</f>
        <v>#REF!</v>
      </c>
      <c r="F12" s="97" t="e">
        <f t="shared" si="0"/>
        <v>#REF!</v>
      </c>
    </row>
    <row r="13" spans="1:12" x14ac:dyDescent="0.25">
      <c r="D13" s="60" t="s">
        <v>13</v>
      </c>
      <c r="E13" s="4" t="e">
        <f>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SUMIF(#REF!,D13,#REF!)+0</f>
        <v>#REF!</v>
      </c>
      <c r="F13" s="97" t="e">
        <f t="shared" si="0"/>
        <v>#REF!</v>
      </c>
    </row>
    <row r="14" spans="1:12" x14ac:dyDescent="0.25">
      <c r="D14" s="60" t="s">
        <v>14</v>
      </c>
      <c r="E14" s="4" t="e">
        <f>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SUMIF(#REF!,D14,#REF!)+0</f>
        <v>#REF!</v>
      </c>
      <c r="F14" s="97" t="e">
        <f t="shared" si="0"/>
        <v>#REF!</v>
      </c>
    </row>
    <row r="15" spans="1:12" x14ac:dyDescent="0.25">
      <c r="D15" s="60" t="s">
        <v>15</v>
      </c>
      <c r="E15" s="4" t="e">
        <f>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SUMIF(#REF!,D15,#REF!)+0</f>
        <v>#REF!</v>
      </c>
      <c r="F15" s="97" t="e">
        <f t="shared" si="0"/>
        <v>#REF!</v>
      </c>
    </row>
    <row r="16" spans="1:12" x14ac:dyDescent="0.25">
      <c r="D16" s="60" t="s">
        <v>16</v>
      </c>
      <c r="E16" s="4" t="e">
        <f>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SUMIF(#REF!,D16,#REF!)+0</f>
        <v>#REF!</v>
      </c>
      <c r="F16" s="97" t="e">
        <f t="shared" si="0"/>
        <v>#REF!</v>
      </c>
    </row>
    <row r="17" spans="4:6" x14ac:dyDescent="0.25">
      <c r="D17" s="60" t="s">
        <v>17</v>
      </c>
      <c r="E17" s="4" t="e">
        <f>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SUMIF(#REF!,D17,#REF!)+0</f>
        <v>#REF!</v>
      </c>
      <c r="F17" s="97" t="e">
        <f t="shared" si="0"/>
        <v>#REF!</v>
      </c>
    </row>
    <row r="18" spans="4:6" x14ac:dyDescent="0.25">
      <c r="D18" s="60" t="s">
        <v>18</v>
      </c>
      <c r="E18" s="4" t="e">
        <f>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SUMIF(#REF!,D18,#REF!)+0</f>
        <v>#REF!</v>
      </c>
      <c r="F18" s="97" t="e">
        <f t="shared" si="0"/>
        <v>#REF!</v>
      </c>
    </row>
    <row r="19" spans="4:6" x14ac:dyDescent="0.25">
      <c r="D19" s="60" t="s">
        <v>19</v>
      </c>
      <c r="E19" s="4" t="e">
        <f>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SUMIF(#REF!,D19,#REF!)+0</f>
        <v>#REF!</v>
      </c>
      <c r="F19" s="97" t="e">
        <f t="shared" si="0"/>
        <v>#REF!</v>
      </c>
    </row>
    <row r="20" spans="4:6" x14ac:dyDescent="0.25">
      <c r="D20" s="67" t="s">
        <v>62</v>
      </c>
      <c r="E20" s="4" t="e">
        <f>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SUMIF(#REF!,D20,#REF!)+0</f>
        <v>#REF!</v>
      </c>
      <c r="F20" s="97" t="e">
        <f t="shared" si="0"/>
        <v>#REF!</v>
      </c>
    </row>
    <row r="21" spans="4:6" x14ac:dyDescent="0.25">
      <c r="D21" s="67" t="s">
        <v>63</v>
      </c>
      <c r="E21" s="4" t="e">
        <f>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SUMIF(#REF!,D21,#REF!)+0</f>
        <v>#REF!</v>
      </c>
      <c r="F21" s="97" t="e">
        <f t="shared" si="0"/>
        <v>#REF!</v>
      </c>
    </row>
    <row r="22" spans="4:6" ht="15.75" thickBot="1" x14ac:dyDescent="0.3">
      <c r="D22" s="68" t="s">
        <v>64</v>
      </c>
      <c r="E22" s="4" t="e">
        <f>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SUMIF(#REF!,D22,#REF!)+0</f>
        <v>#REF!</v>
      </c>
      <c r="F22" s="97" t="e">
        <f t="shared" si="0"/>
        <v>#REF!</v>
      </c>
    </row>
    <row r="23" spans="4:6" ht="15.75" thickBot="1" x14ac:dyDescent="0.3">
      <c r="D23" s="73" t="s">
        <v>102</v>
      </c>
      <c r="E23" s="4" t="e">
        <f>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SUMIF(#REF!,D23,#REF!)+0</f>
        <v>#REF!</v>
      </c>
      <c r="F23" s="97" t="e">
        <f t="shared" si="0"/>
        <v>#REF!</v>
      </c>
    </row>
    <row r="24" spans="4:6" x14ac:dyDescent="0.25">
      <c r="D24" s="70" t="s">
        <v>20</v>
      </c>
      <c r="E24" s="4" t="e">
        <f>SUM(E2:E23)</f>
        <v>#REF!</v>
      </c>
    </row>
  </sheetData>
  <sheetProtection selectLockedCells="1" selectUnlockedCells="1"/>
  <conditionalFormatting sqref="A3">
    <cfRule type="expression" dxfId="1" priority="3" stopIfTrue="1">
      <formula>$E$20=$A$2</formula>
    </cfRule>
  </conditionalFormatting>
  <conditionalFormatting sqref="F2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R34"/>
  <sheetViews>
    <sheetView topLeftCell="A4" zoomScaleNormal="100" zoomScalePageLayoutView="55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27" customWidth="1"/>
    <col min="12" max="12" width="8.140625" style="11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7" style="27" customWidth="1"/>
    <col min="18" max="256" width="9.140625" style="27"/>
    <col min="257" max="257" width="3" style="27" bestFit="1" customWidth="1"/>
    <col min="258" max="259" width="39.42578125" style="27" customWidth="1"/>
    <col min="260" max="266" width="4.140625" style="27" customWidth="1"/>
    <col min="267" max="268" width="8.140625" style="27" customWidth="1"/>
    <col min="269" max="269" width="9" style="27" customWidth="1"/>
    <col min="270" max="270" width="4.5703125" style="27" customWidth="1"/>
    <col min="271" max="271" width="6.28515625" style="27" bestFit="1" customWidth="1"/>
    <col min="272" max="272" width="3.7109375" style="27" bestFit="1" customWidth="1"/>
    <col min="273" max="273" width="28.140625" style="27" customWidth="1"/>
    <col min="274" max="512" width="9.140625" style="27"/>
    <col min="513" max="513" width="3" style="27" bestFit="1" customWidth="1"/>
    <col min="514" max="515" width="39.42578125" style="27" customWidth="1"/>
    <col min="516" max="522" width="4.140625" style="27" customWidth="1"/>
    <col min="523" max="524" width="8.140625" style="27" customWidth="1"/>
    <col min="525" max="525" width="9" style="27" customWidth="1"/>
    <col min="526" max="526" width="4.5703125" style="27" customWidth="1"/>
    <col min="527" max="527" width="6.28515625" style="27" bestFit="1" customWidth="1"/>
    <col min="528" max="528" width="3.7109375" style="27" bestFit="1" customWidth="1"/>
    <col min="529" max="529" width="28.140625" style="27" customWidth="1"/>
    <col min="530" max="768" width="9.140625" style="27"/>
    <col min="769" max="769" width="3" style="27" bestFit="1" customWidth="1"/>
    <col min="770" max="771" width="39.42578125" style="27" customWidth="1"/>
    <col min="772" max="778" width="4.140625" style="27" customWidth="1"/>
    <col min="779" max="780" width="8.140625" style="27" customWidth="1"/>
    <col min="781" max="781" width="9" style="27" customWidth="1"/>
    <col min="782" max="782" width="4.5703125" style="27" customWidth="1"/>
    <col min="783" max="783" width="6.28515625" style="27" bestFit="1" customWidth="1"/>
    <col min="784" max="784" width="3.7109375" style="27" bestFit="1" customWidth="1"/>
    <col min="785" max="785" width="28.140625" style="27" customWidth="1"/>
    <col min="786" max="1024" width="9.140625" style="27"/>
    <col min="1025" max="1025" width="3" style="27" bestFit="1" customWidth="1"/>
    <col min="1026" max="1027" width="39.42578125" style="27" customWidth="1"/>
    <col min="1028" max="1034" width="4.140625" style="27" customWidth="1"/>
    <col min="1035" max="1036" width="8.140625" style="27" customWidth="1"/>
    <col min="1037" max="1037" width="9" style="27" customWidth="1"/>
    <col min="1038" max="1038" width="4.5703125" style="27" customWidth="1"/>
    <col min="1039" max="1039" width="6.28515625" style="27" bestFit="1" customWidth="1"/>
    <col min="1040" max="1040" width="3.7109375" style="27" bestFit="1" customWidth="1"/>
    <col min="1041" max="1041" width="28.140625" style="27" customWidth="1"/>
    <col min="1042" max="1280" width="9.140625" style="27"/>
    <col min="1281" max="1281" width="3" style="27" bestFit="1" customWidth="1"/>
    <col min="1282" max="1283" width="39.42578125" style="27" customWidth="1"/>
    <col min="1284" max="1290" width="4.140625" style="27" customWidth="1"/>
    <col min="1291" max="1292" width="8.140625" style="27" customWidth="1"/>
    <col min="1293" max="1293" width="9" style="27" customWidth="1"/>
    <col min="1294" max="1294" width="4.5703125" style="27" customWidth="1"/>
    <col min="1295" max="1295" width="6.28515625" style="27" bestFit="1" customWidth="1"/>
    <col min="1296" max="1296" width="3.7109375" style="27" bestFit="1" customWidth="1"/>
    <col min="1297" max="1297" width="28.140625" style="27" customWidth="1"/>
    <col min="1298" max="1536" width="9.140625" style="27"/>
    <col min="1537" max="1537" width="3" style="27" bestFit="1" customWidth="1"/>
    <col min="1538" max="1539" width="39.42578125" style="27" customWidth="1"/>
    <col min="1540" max="1546" width="4.140625" style="27" customWidth="1"/>
    <col min="1547" max="1548" width="8.140625" style="27" customWidth="1"/>
    <col min="1549" max="1549" width="9" style="27" customWidth="1"/>
    <col min="1550" max="1550" width="4.5703125" style="27" customWidth="1"/>
    <col min="1551" max="1551" width="6.28515625" style="27" bestFit="1" customWidth="1"/>
    <col min="1552" max="1552" width="3.7109375" style="27" bestFit="1" customWidth="1"/>
    <col min="1553" max="1553" width="28.140625" style="27" customWidth="1"/>
    <col min="1554" max="1792" width="9.140625" style="27"/>
    <col min="1793" max="1793" width="3" style="27" bestFit="1" customWidth="1"/>
    <col min="1794" max="1795" width="39.42578125" style="27" customWidth="1"/>
    <col min="1796" max="1802" width="4.140625" style="27" customWidth="1"/>
    <col min="1803" max="1804" width="8.140625" style="27" customWidth="1"/>
    <col min="1805" max="1805" width="9" style="27" customWidth="1"/>
    <col min="1806" max="1806" width="4.5703125" style="27" customWidth="1"/>
    <col min="1807" max="1807" width="6.28515625" style="27" bestFit="1" customWidth="1"/>
    <col min="1808" max="1808" width="3.7109375" style="27" bestFit="1" customWidth="1"/>
    <col min="1809" max="1809" width="28.140625" style="27" customWidth="1"/>
    <col min="1810" max="2048" width="9.140625" style="27"/>
    <col min="2049" max="2049" width="3" style="27" bestFit="1" customWidth="1"/>
    <col min="2050" max="2051" width="39.42578125" style="27" customWidth="1"/>
    <col min="2052" max="2058" width="4.140625" style="27" customWidth="1"/>
    <col min="2059" max="2060" width="8.140625" style="27" customWidth="1"/>
    <col min="2061" max="2061" width="9" style="27" customWidth="1"/>
    <col min="2062" max="2062" width="4.5703125" style="27" customWidth="1"/>
    <col min="2063" max="2063" width="6.28515625" style="27" bestFit="1" customWidth="1"/>
    <col min="2064" max="2064" width="3.7109375" style="27" bestFit="1" customWidth="1"/>
    <col min="2065" max="2065" width="28.140625" style="27" customWidth="1"/>
    <col min="2066" max="2304" width="9.140625" style="27"/>
    <col min="2305" max="2305" width="3" style="27" bestFit="1" customWidth="1"/>
    <col min="2306" max="2307" width="39.42578125" style="27" customWidth="1"/>
    <col min="2308" max="2314" width="4.140625" style="27" customWidth="1"/>
    <col min="2315" max="2316" width="8.140625" style="27" customWidth="1"/>
    <col min="2317" max="2317" width="9" style="27" customWidth="1"/>
    <col min="2318" max="2318" width="4.5703125" style="27" customWidth="1"/>
    <col min="2319" max="2319" width="6.28515625" style="27" bestFit="1" customWidth="1"/>
    <col min="2320" max="2320" width="3.7109375" style="27" bestFit="1" customWidth="1"/>
    <col min="2321" max="2321" width="28.140625" style="27" customWidth="1"/>
    <col min="2322" max="2560" width="9.140625" style="27"/>
    <col min="2561" max="2561" width="3" style="27" bestFit="1" customWidth="1"/>
    <col min="2562" max="2563" width="39.42578125" style="27" customWidth="1"/>
    <col min="2564" max="2570" width="4.140625" style="27" customWidth="1"/>
    <col min="2571" max="2572" width="8.140625" style="27" customWidth="1"/>
    <col min="2573" max="2573" width="9" style="27" customWidth="1"/>
    <col min="2574" max="2574" width="4.5703125" style="27" customWidth="1"/>
    <col min="2575" max="2575" width="6.28515625" style="27" bestFit="1" customWidth="1"/>
    <col min="2576" max="2576" width="3.7109375" style="27" bestFit="1" customWidth="1"/>
    <col min="2577" max="2577" width="28.140625" style="27" customWidth="1"/>
    <col min="2578" max="2816" width="9.140625" style="27"/>
    <col min="2817" max="2817" width="3" style="27" bestFit="1" customWidth="1"/>
    <col min="2818" max="2819" width="39.42578125" style="27" customWidth="1"/>
    <col min="2820" max="2826" width="4.140625" style="27" customWidth="1"/>
    <col min="2827" max="2828" width="8.140625" style="27" customWidth="1"/>
    <col min="2829" max="2829" width="9" style="27" customWidth="1"/>
    <col min="2830" max="2830" width="4.5703125" style="27" customWidth="1"/>
    <col min="2831" max="2831" width="6.28515625" style="27" bestFit="1" customWidth="1"/>
    <col min="2832" max="2832" width="3.7109375" style="27" bestFit="1" customWidth="1"/>
    <col min="2833" max="2833" width="28.140625" style="27" customWidth="1"/>
    <col min="2834" max="3072" width="9.140625" style="27"/>
    <col min="3073" max="3073" width="3" style="27" bestFit="1" customWidth="1"/>
    <col min="3074" max="3075" width="39.42578125" style="27" customWidth="1"/>
    <col min="3076" max="3082" width="4.140625" style="27" customWidth="1"/>
    <col min="3083" max="3084" width="8.140625" style="27" customWidth="1"/>
    <col min="3085" max="3085" width="9" style="27" customWidth="1"/>
    <col min="3086" max="3086" width="4.5703125" style="27" customWidth="1"/>
    <col min="3087" max="3087" width="6.28515625" style="27" bestFit="1" customWidth="1"/>
    <col min="3088" max="3088" width="3.7109375" style="27" bestFit="1" customWidth="1"/>
    <col min="3089" max="3089" width="28.140625" style="27" customWidth="1"/>
    <col min="3090" max="3328" width="9.140625" style="27"/>
    <col min="3329" max="3329" width="3" style="27" bestFit="1" customWidth="1"/>
    <col min="3330" max="3331" width="39.42578125" style="27" customWidth="1"/>
    <col min="3332" max="3338" width="4.140625" style="27" customWidth="1"/>
    <col min="3339" max="3340" width="8.140625" style="27" customWidth="1"/>
    <col min="3341" max="3341" width="9" style="27" customWidth="1"/>
    <col min="3342" max="3342" width="4.5703125" style="27" customWidth="1"/>
    <col min="3343" max="3343" width="6.28515625" style="27" bestFit="1" customWidth="1"/>
    <col min="3344" max="3344" width="3.7109375" style="27" bestFit="1" customWidth="1"/>
    <col min="3345" max="3345" width="28.140625" style="27" customWidth="1"/>
    <col min="3346" max="3584" width="9.140625" style="27"/>
    <col min="3585" max="3585" width="3" style="27" bestFit="1" customWidth="1"/>
    <col min="3586" max="3587" width="39.42578125" style="27" customWidth="1"/>
    <col min="3588" max="3594" width="4.140625" style="27" customWidth="1"/>
    <col min="3595" max="3596" width="8.140625" style="27" customWidth="1"/>
    <col min="3597" max="3597" width="9" style="27" customWidth="1"/>
    <col min="3598" max="3598" width="4.5703125" style="27" customWidth="1"/>
    <col min="3599" max="3599" width="6.28515625" style="27" bestFit="1" customWidth="1"/>
    <col min="3600" max="3600" width="3.7109375" style="27" bestFit="1" customWidth="1"/>
    <col min="3601" max="3601" width="28.140625" style="27" customWidth="1"/>
    <col min="3602" max="3840" width="9.140625" style="27"/>
    <col min="3841" max="3841" width="3" style="27" bestFit="1" customWidth="1"/>
    <col min="3842" max="3843" width="39.42578125" style="27" customWidth="1"/>
    <col min="3844" max="3850" width="4.140625" style="27" customWidth="1"/>
    <col min="3851" max="3852" width="8.140625" style="27" customWidth="1"/>
    <col min="3853" max="3853" width="9" style="27" customWidth="1"/>
    <col min="3854" max="3854" width="4.5703125" style="27" customWidth="1"/>
    <col min="3855" max="3855" width="6.28515625" style="27" bestFit="1" customWidth="1"/>
    <col min="3856" max="3856" width="3.7109375" style="27" bestFit="1" customWidth="1"/>
    <col min="3857" max="3857" width="28.140625" style="27" customWidth="1"/>
    <col min="3858" max="4096" width="9.140625" style="27"/>
    <col min="4097" max="4097" width="3" style="27" bestFit="1" customWidth="1"/>
    <col min="4098" max="4099" width="39.42578125" style="27" customWidth="1"/>
    <col min="4100" max="4106" width="4.140625" style="27" customWidth="1"/>
    <col min="4107" max="4108" width="8.140625" style="27" customWidth="1"/>
    <col min="4109" max="4109" width="9" style="27" customWidth="1"/>
    <col min="4110" max="4110" width="4.5703125" style="27" customWidth="1"/>
    <col min="4111" max="4111" width="6.28515625" style="27" bestFit="1" customWidth="1"/>
    <col min="4112" max="4112" width="3.7109375" style="27" bestFit="1" customWidth="1"/>
    <col min="4113" max="4113" width="28.140625" style="27" customWidth="1"/>
    <col min="4114" max="4352" width="9.140625" style="27"/>
    <col min="4353" max="4353" width="3" style="27" bestFit="1" customWidth="1"/>
    <col min="4354" max="4355" width="39.42578125" style="27" customWidth="1"/>
    <col min="4356" max="4362" width="4.140625" style="27" customWidth="1"/>
    <col min="4363" max="4364" width="8.140625" style="27" customWidth="1"/>
    <col min="4365" max="4365" width="9" style="27" customWidth="1"/>
    <col min="4366" max="4366" width="4.5703125" style="27" customWidth="1"/>
    <col min="4367" max="4367" width="6.28515625" style="27" bestFit="1" customWidth="1"/>
    <col min="4368" max="4368" width="3.7109375" style="27" bestFit="1" customWidth="1"/>
    <col min="4369" max="4369" width="28.140625" style="27" customWidth="1"/>
    <col min="4370" max="4608" width="9.140625" style="27"/>
    <col min="4609" max="4609" width="3" style="27" bestFit="1" customWidth="1"/>
    <col min="4610" max="4611" width="39.42578125" style="27" customWidth="1"/>
    <col min="4612" max="4618" width="4.140625" style="27" customWidth="1"/>
    <col min="4619" max="4620" width="8.140625" style="27" customWidth="1"/>
    <col min="4621" max="4621" width="9" style="27" customWidth="1"/>
    <col min="4622" max="4622" width="4.5703125" style="27" customWidth="1"/>
    <col min="4623" max="4623" width="6.28515625" style="27" bestFit="1" customWidth="1"/>
    <col min="4624" max="4624" width="3.7109375" style="27" bestFit="1" customWidth="1"/>
    <col min="4625" max="4625" width="28.140625" style="27" customWidth="1"/>
    <col min="4626" max="4864" width="9.140625" style="27"/>
    <col min="4865" max="4865" width="3" style="27" bestFit="1" customWidth="1"/>
    <col min="4866" max="4867" width="39.42578125" style="27" customWidth="1"/>
    <col min="4868" max="4874" width="4.140625" style="27" customWidth="1"/>
    <col min="4875" max="4876" width="8.140625" style="27" customWidth="1"/>
    <col min="4877" max="4877" width="9" style="27" customWidth="1"/>
    <col min="4878" max="4878" width="4.5703125" style="27" customWidth="1"/>
    <col min="4879" max="4879" width="6.28515625" style="27" bestFit="1" customWidth="1"/>
    <col min="4880" max="4880" width="3.7109375" style="27" bestFit="1" customWidth="1"/>
    <col min="4881" max="4881" width="28.140625" style="27" customWidth="1"/>
    <col min="4882" max="5120" width="9.140625" style="27"/>
    <col min="5121" max="5121" width="3" style="27" bestFit="1" customWidth="1"/>
    <col min="5122" max="5123" width="39.42578125" style="27" customWidth="1"/>
    <col min="5124" max="5130" width="4.140625" style="27" customWidth="1"/>
    <col min="5131" max="5132" width="8.140625" style="27" customWidth="1"/>
    <col min="5133" max="5133" width="9" style="27" customWidth="1"/>
    <col min="5134" max="5134" width="4.5703125" style="27" customWidth="1"/>
    <col min="5135" max="5135" width="6.28515625" style="27" bestFit="1" customWidth="1"/>
    <col min="5136" max="5136" width="3.7109375" style="27" bestFit="1" customWidth="1"/>
    <col min="5137" max="5137" width="28.140625" style="27" customWidth="1"/>
    <col min="5138" max="5376" width="9.140625" style="27"/>
    <col min="5377" max="5377" width="3" style="27" bestFit="1" customWidth="1"/>
    <col min="5378" max="5379" width="39.42578125" style="27" customWidth="1"/>
    <col min="5380" max="5386" width="4.140625" style="27" customWidth="1"/>
    <col min="5387" max="5388" width="8.140625" style="27" customWidth="1"/>
    <col min="5389" max="5389" width="9" style="27" customWidth="1"/>
    <col min="5390" max="5390" width="4.5703125" style="27" customWidth="1"/>
    <col min="5391" max="5391" width="6.28515625" style="27" bestFit="1" customWidth="1"/>
    <col min="5392" max="5392" width="3.7109375" style="27" bestFit="1" customWidth="1"/>
    <col min="5393" max="5393" width="28.140625" style="27" customWidth="1"/>
    <col min="5394" max="5632" width="9.140625" style="27"/>
    <col min="5633" max="5633" width="3" style="27" bestFit="1" customWidth="1"/>
    <col min="5634" max="5635" width="39.42578125" style="27" customWidth="1"/>
    <col min="5636" max="5642" width="4.140625" style="27" customWidth="1"/>
    <col min="5643" max="5644" width="8.140625" style="27" customWidth="1"/>
    <col min="5645" max="5645" width="9" style="27" customWidth="1"/>
    <col min="5646" max="5646" width="4.5703125" style="27" customWidth="1"/>
    <col min="5647" max="5647" width="6.28515625" style="27" bestFit="1" customWidth="1"/>
    <col min="5648" max="5648" width="3.7109375" style="27" bestFit="1" customWidth="1"/>
    <col min="5649" max="5649" width="28.140625" style="27" customWidth="1"/>
    <col min="5650" max="5888" width="9.140625" style="27"/>
    <col min="5889" max="5889" width="3" style="27" bestFit="1" customWidth="1"/>
    <col min="5890" max="5891" width="39.42578125" style="27" customWidth="1"/>
    <col min="5892" max="5898" width="4.140625" style="27" customWidth="1"/>
    <col min="5899" max="5900" width="8.140625" style="27" customWidth="1"/>
    <col min="5901" max="5901" width="9" style="27" customWidth="1"/>
    <col min="5902" max="5902" width="4.5703125" style="27" customWidth="1"/>
    <col min="5903" max="5903" width="6.28515625" style="27" bestFit="1" customWidth="1"/>
    <col min="5904" max="5904" width="3.7109375" style="27" bestFit="1" customWidth="1"/>
    <col min="5905" max="5905" width="28.140625" style="27" customWidth="1"/>
    <col min="5906" max="6144" width="9.140625" style="27"/>
    <col min="6145" max="6145" width="3" style="27" bestFit="1" customWidth="1"/>
    <col min="6146" max="6147" width="39.42578125" style="27" customWidth="1"/>
    <col min="6148" max="6154" width="4.140625" style="27" customWidth="1"/>
    <col min="6155" max="6156" width="8.140625" style="27" customWidth="1"/>
    <col min="6157" max="6157" width="9" style="27" customWidth="1"/>
    <col min="6158" max="6158" width="4.5703125" style="27" customWidth="1"/>
    <col min="6159" max="6159" width="6.28515625" style="27" bestFit="1" customWidth="1"/>
    <col min="6160" max="6160" width="3.7109375" style="27" bestFit="1" customWidth="1"/>
    <col min="6161" max="6161" width="28.140625" style="27" customWidth="1"/>
    <col min="6162" max="6400" width="9.140625" style="27"/>
    <col min="6401" max="6401" width="3" style="27" bestFit="1" customWidth="1"/>
    <col min="6402" max="6403" width="39.42578125" style="27" customWidth="1"/>
    <col min="6404" max="6410" width="4.140625" style="27" customWidth="1"/>
    <col min="6411" max="6412" width="8.140625" style="27" customWidth="1"/>
    <col min="6413" max="6413" width="9" style="27" customWidth="1"/>
    <col min="6414" max="6414" width="4.5703125" style="27" customWidth="1"/>
    <col min="6415" max="6415" width="6.28515625" style="27" bestFit="1" customWidth="1"/>
    <col min="6416" max="6416" width="3.7109375" style="27" bestFit="1" customWidth="1"/>
    <col min="6417" max="6417" width="28.140625" style="27" customWidth="1"/>
    <col min="6418" max="6656" width="9.140625" style="27"/>
    <col min="6657" max="6657" width="3" style="27" bestFit="1" customWidth="1"/>
    <col min="6658" max="6659" width="39.42578125" style="27" customWidth="1"/>
    <col min="6660" max="6666" width="4.140625" style="27" customWidth="1"/>
    <col min="6667" max="6668" width="8.140625" style="27" customWidth="1"/>
    <col min="6669" max="6669" width="9" style="27" customWidth="1"/>
    <col min="6670" max="6670" width="4.5703125" style="27" customWidth="1"/>
    <col min="6671" max="6671" width="6.28515625" style="27" bestFit="1" customWidth="1"/>
    <col min="6672" max="6672" width="3.7109375" style="27" bestFit="1" customWidth="1"/>
    <col min="6673" max="6673" width="28.140625" style="27" customWidth="1"/>
    <col min="6674" max="6912" width="9.140625" style="27"/>
    <col min="6913" max="6913" width="3" style="27" bestFit="1" customWidth="1"/>
    <col min="6914" max="6915" width="39.42578125" style="27" customWidth="1"/>
    <col min="6916" max="6922" width="4.140625" style="27" customWidth="1"/>
    <col min="6923" max="6924" width="8.140625" style="27" customWidth="1"/>
    <col min="6925" max="6925" width="9" style="27" customWidth="1"/>
    <col min="6926" max="6926" width="4.5703125" style="27" customWidth="1"/>
    <col min="6927" max="6927" width="6.28515625" style="27" bestFit="1" customWidth="1"/>
    <col min="6928" max="6928" width="3.7109375" style="27" bestFit="1" customWidth="1"/>
    <col min="6929" max="6929" width="28.140625" style="27" customWidth="1"/>
    <col min="6930" max="7168" width="9.140625" style="27"/>
    <col min="7169" max="7169" width="3" style="27" bestFit="1" customWidth="1"/>
    <col min="7170" max="7171" width="39.42578125" style="27" customWidth="1"/>
    <col min="7172" max="7178" width="4.140625" style="27" customWidth="1"/>
    <col min="7179" max="7180" width="8.140625" style="27" customWidth="1"/>
    <col min="7181" max="7181" width="9" style="27" customWidth="1"/>
    <col min="7182" max="7182" width="4.5703125" style="27" customWidth="1"/>
    <col min="7183" max="7183" width="6.28515625" style="27" bestFit="1" customWidth="1"/>
    <col min="7184" max="7184" width="3.7109375" style="27" bestFit="1" customWidth="1"/>
    <col min="7185" max="7185" width="28.140625" style="27" customWidth="1"/>
    <col min="7186" max="7424" width="9.140625" style="27"/>
    <col min="7425" max="7425" width="3" style="27" bestFit="1" customWidth="1"/>
    <col min="7426" max="7427" width="39.42578125" style="27" customWidth="1"/>
    <col min="7428" max="7434" width="4.140625" style="27" customWidth="1"/>
    <col min="7435" max="7436" width="8.140625" style="27" customWidth="1"/>
    <col min="7437" max="7437" width="9" style="27" customWidth="1"/>
    <col min="7438" max="7438" width="4.5703125" style="27" customWidth="1"/>
    <col min="7439" max="7439" width="6.28515625" style="27" bestFit="1" customWidth="1"/>
    <col min="7440" max="7440" width="3.7109375" style="27" bestFit="1" customWidth="1"/>
    <col min="7441" max="7441" width="28.140625" style="27" customWidth="1"/>
    <col min="7442" max="7680" width="9.140625" style="27"/>
    <col min="7681" max="7681" width="3" style="27" bestFit="1" customWidth="1"/>
    <col min="7682" max="7683" width="39.42578125" style="27" customWidth="1"/>
    <col min="7684" max="7690" width="4.140625" style="27" customWidth="1"/>
    <col min="7691" max="7692" width="8.140625" style="27" customWidth="1"/>
    <col min="7693" max="7693" width="9" style="27" customWidth="1"/>
    <col min="7694" max="7694" width="4.5703125" style="27" customWidth="1"/>
    <col min="7695" max="7695" width="6.28515625" style="27" bestFit="1" customWidth="1"/>
    <col min="7696" max="7696" width="3.7109375" style="27" bestFit="1" customWidth="1"/>
    <col min="7697" max="7697" width="28.140625" style="27" customWidth="1"/>
    <col min="7698" max="7936" width="9.140625" style="27"/>
    <col min="7937" max="7937" width="3" style="27" bestFit="1" customWidth="1"/>
    <col min="7938" max="7939" width="39.42578125" style="27" customWidth="1"/>
    <col min="7940" max="7946" width="4.140625" style="27" customWidth="1"/>
    <col min="7947" max="7948" width="8.140625" style="27" customWidth="1"/>
    <col min="7949" max="7949" width="9" style="27" customWidth="1"/>
    <col min="7950" max="7950" width="4.5703125" style="27" customWidth="1"/>
    <col min="7951" max="7951" width="6.28515625" style="27" bestFit="1" customWidth="1"/>
    <col min="7952" max="7952" width="3.7109375" style="27" bestFit="1" customWidth="1"/>
    <col min="7953" max="7953" width="28.140625" style="27" customWidth="1"/>
    <col min="7954" max="8192" width="9.140625" style="27"/>
    <col min="8193" max="8193" width="3" style="27" bestFit="1" customWidth="1"/>
    <col min="8194" max="8195" width="39.42578125" style="27" customWidth="1"/>
    <col min="8196" max="8202" width="4.140625" style="27" customWidth="1"/>
    <col min="8203" max="8204" width="8.140625" style="27" customWidth="1"/>
    <col min="8205" max="8205" width="9" style="27" customWidth="1"/>
    <col min="8206" max="8206" width="4.5703125" style="27" customWidth="1"/>
    <col min="8207" max="8207" width="6.28515625" style="27" bestFit="1" customWidth="1"/>
    <col min="8208" max="8208" width="3.7109375" style="27" bestFit="1" customWidth="1"/>
    <col min="8209" max="8209" width="28.140625" style="27" customWidth="1"/>
    <col min="8210" max="8448" width="9.140625" style="27"/>
    <col min="8449" max="8449" width="3" style="27" bestFit="1" customWidth="1"/>
    <col min="8450" max="8451" width="39.42578125" style="27" customWidth="1"/>
    <col min="8452" max="8458" width="4.140625" style="27" customWidth="1"/>
    <col min="8459" max="8460" width="8.140625" style="27" customWidth="1"/>
    <col min="8461" max="8461" width="9" style="27" customWidth="1"/>
    <col min="8462" max="8462" width="4.5703125" style="27" customWidth="1"/>
    <col min="8463" max="8463" width="6.28515625" style="27" bestFit="1" customWidth="1"/>
    <col min="8464" max="8464" width="3.7109375" style="27" bestFit="1" customWidth="1"/>
    <col min="8465" max="8465" width="28.140625" style="27" customWidth="1"/>
    <col min="8466" max="8704" width="9.140625" style="27"/>
    <col min="8705" max="8705" width="3" style="27" bestFit="1" customWidth="1"/>
    <col min="8706" max="8707" width="39.42578125" style="27" customWidth="1"/>
    <col min="8708" max="8714" width="4.140625" style="27" customWidth="1"/>
    <col min="8715" max="8716" width="8.140625" style="27" customWidth="1"/>
    <col min="8717" max="8717" width="9" style="27" customWidth="1"/>
    <col min="8718" max="8718" width="4.5703125" style="27" customWidth="1"/>
    <col min="8719" max="8719" width="6.28515625" style="27" bestFit="1" customWidth="1"/>
    <col min="8720" max="8720" width="3.7109375" style="27" bestFit="1" customWidth="1"/>
    <col min="8721" max="8721" width="28.140625" style="27" customWidth="1"/>
    <col min="8722" max="8960" width="9.140625" style="27"/>
    <col min="8961" max="8961" width="3" style="27" bestFit="1" customWidth="1"/>
    <col min="8962" max="8963" width="39.42578125" style="27" customWidth="1"/>
    <col min="8964" max="8970" width="4.140625" style="27" customWidth="1"/>
    <col min="8971" max="8972" width="8.140625" style="27" customWidth="1"/>
    <col min="8973" max="8973" width="9" style="27" customWidth="1"/>
    <col min="8974" max="8974" width="4.5703125" style="27" customWidth="1"/>
    <col min="8975" max="8975" width="6.28515625" style="27" bestFit="1" customWidth="1"/>
    <col min="8976" max="8976" width="3.7109375" style="27" bestFit="1" customWidth="1"/>
    <col min="8977" max="8977" width="28.140625" style="27" customWidth="1"/>
    <col min="8978" max="9216" width="9.140625" style="27"/>
    <col min="9217" max="9217" width="3" style="27" bestFit="1" customWidth="1"/>
    <col min="9218" max="9219" width="39.42578125" style="27" customWidth="1"/>
    <col min="9220" max="9226" width="4.140625" style="27" customWidth="1"/>
    <col min="9227" max="9228" width="8.140625" style="27" customWidth="1"/>
    <col min="9229" max="9229" width="9" style="27" customWidth="1"/>
    <col min="9230" max="9230" width="4.5703125" style="27" customWidth="1"/>
    <col min="9231" max="9231" width="6.28515625" style="27" bestFit="1" customWidth="1"/>
    <col min="9232" max="9232" width="3.7109375" style="27" bestFit="1" customWidth="1"/>
    <col min="9233" max="9233" width="28.140625" style="27" customWidth="1"/>
    <col min="9234" max="9472" width="9.140625" style="27"/>
    <col min="9473" max="9473" width="3" style="27" bestFit="1" customWidth="1"/>
    <col min="9474" max="9475" width="39.42578125" style="27" customWidth="1"/>
    <col min="9476" max="9482" width="4.140625" style="27" customWidth="1"/>
    <col min="9483" max="9484" width="8.140625" style="27" customWidth="1"/>
    <col min="9485" max="9485" width="9" style="27" customWidth="1"/>
    <col min="9486" max="9486" width="4.5703125" style="27" customWidth="1"/>
    <col min="9487" max="9487" width="6.28515625" style="27" bestFit="1" customWidth="1"/>
    <col min="9488" max="9488" width="3.7109375" style="27" bestFit="1" customWidth="1"/>
    <col min="9489" max="9489" width="28.140625" style="27" customWidth="1"/>
    <col min="9490" max="9728" width="9.140625" style="27"/>
    <col min="9729" max="9729" width="3" style="27" bestFit="1" customWidth="1"/>
    <col min="9730" max="9731" width="39.42578125" style="27" customWidth="1"/>
    <col min="9732" max="9738" width="4.140625" style="27" customWidth="1"/>
    <col min="9739" max="9740" width="8.140625" style="27" customWidth="1"/>
    <col min="9741" max="9741" width="9" style="27" customWidth="1"/>
    <col min="9742" max="9742" width="4.5703125" style="27" customWidth="1"/>
    <col min="9743" max="9743" width="6.28515625" style="27" bestFit="1" customWidth="1"/>
    <col min="9744" max="9744" width="3.7109375" style="27" bestFit="1" customWidth="1"/>
    <col min="9745" max="9745" width="28.140625" style="27" customWidth="1"/>
    <col min="9746" max="9984" width="9.140625" style="27"/>
    <col min="9985" max="9985" width="3" style="27" bestFit="1" customWidth="1"/>
    <col min="9986" max="9987" width="39.42578125" style="27" customWidth="1"/>
    <col min="9988" max="9994" width="4.140625" style="27" customWidth="1"/>
    <col min="9995" max="9996" width="8.140625" style="27" customWidth="1"/>
    <col min="9997" max="9997" width="9" style="27" customWidth="1"/>
    <col min="9998" max="9998" width="4.5703125" style="27" customWidth="1"/>
    <col min="9999" max="9999" width="6.28515625" style="27" bestFit="1" customWidth="1"/>
    <col min="10000" max="10000" width="3.7109375" style="27" bestFit="1" customWidth="1"/>
    <col min="10001" max="10001" width="28.140625" style="27" customWidth="1"/>
    <col min="10002" max="10240" width="9.140625" style="27"/>
    <col min="10241" max="10241" width="3" style="27" bestFit="1" customWidth="1"/>
    <col min="10242" max="10243" width="39.42578125" style="27" customWidth="1"/>
    <col min="10244" max="10250" width="4.140625" style="27" customWidth="1"/>
    <col min="10251" max="10252" width="8.140625" style="27" customWidth="1"/>
    <col min="10253" max="10253" width="9" style="27" customWidth="1"/>
    <col min="10254" max="10254" width="4.5703125" style="27" customWidth="1"/>
    <col min="10255" max="10255" width="6.28515625" style="27" bestFit="1" customWidth="1"/>
    <col min="10256" max="10256" width="3.7109375" style="27" bestFit="1" customWidth="1"/>
    <col min="10257" max="10257" width="28.140625" style="27" customWidth="1"/>
    <col min="10258" max="10496" width="9.140625" style="27"/>
    <col min="10497" max="10497" width="3" style="27" bestFit="1" customWidth="1"/>
    <col min="10498" max="10499" width="39.42578125" style="27" customWidth="1"/>
    <col min="10500" max="10506" width="4.140625" style="27" customWidth="1"/>
    <col min="10507" max="10508" width="8.140625" style="27" customWidth="1"/>
    <col min="10509" max="10509" width="9" style="27" customWidth="1"/>
    <col min="10510" max="10510" width="4.5703125" style="27" customWidth="1"/>
    <col min="10511" max="10511" width="6.28515625" style="27" bestFit="1" customWidth="1"/>
    <col min="10512" max="10512" width="3.7109375" style="27" bestFit="1" customWidth="1"/>
    <col min="10513" max="10513" width="28.140625" style="27" customWidth="1"/>
    <col min="10514" max="10752" width="9.140625" style="27"/>
    <col min="10753" max="10753" width="3" style="27" bestFit="1" customWidth="1"/>
    <col min="10754" max="10755" width="39.42578125" style="27" customWidth="1"/>
    <col min="10756" max="10762" width="4.140625" style="27" customWidth="1"/>
    <col min="10763" max="10764" width="8.140625" style="27" customWidth="1"/>
    <col min="10765" max="10765" width="9" style="27" customWidth="1"/>
    <col min="10766" max="10766" width="4.5703125" style="27" customWidth="1"/>
    <col min="10767" max="10767" width="6.28515625" style="27" bestFit="1" customWidth="1"/>
    <col min="10768" max="10768" width="3.7109375" style="27" bestFit="1" customWidth="1"/>
    <col min="10769" max="10769" width="28.140625" style="27" customWidth="1"/>
    <col min="10770" max="11008" width="9.140625" style="27"/>
    <col min="11009" max="11009" width="3" style="27" bestFit="1" customWidth="1"/>
    <col min="11010" max="11011" width="39.42578125" style="27" customWidth="1"/>
    <col min="11012" max="11018" width="4.140625" style="27" customWidth="1"/>
    <col min="11019" max="11020" width="8.140625" style="27" customWidth="1"/>
    <col min="11021" max="11021" width="9" style="27" customWidth="1"/>
    <col min="11022" max="11022" width="4.5703125" style="27" customWidth="1"/>
    <col min="11023" max="11023" width="6.28515625" style="27" bestFit="1" customWidth="1"/>
    <col min="11024" max="11024" width="3.7109375" style="27" bestFit="1" customWidth="1"/>
    <col min="11025" max="11025" width="28.140625" style="27" customWidth="1"/>
    <col min="11026" max="11264" width="9.140625" style="27"/>
    <col min="11265" max="11265" width="3" style="27" bestFit="1" customWidth="1"/>
    <col min="11266" max="11267" width="39.42578125" style="27" customWidth="1"/>
    <col min="11268" max="11274" width="4.140625" style="27" customWidth="1"/>
    <col min="11275" max="11276" width="8.140625" style="27" customWidth="1"/>
    <col min="11277" max="11277" width="9" style="27" customWidth="1"/>
    <col min="11278" max="11278" width="4.5703125" style="27" customWidth="1"/>
    <col min="11279" max="11279" width="6.28515625" style="27" bestFit="1" customWidth="1"/>
    <col min="11280" max="11280" width="3.7109375" style="27" bestFit="1" customWidth="1"/>
    <col min="11281" max="11281" width="28.140625" style="27" customWidth="1"/>
    <col min="11282" max="11520" width="9.140625" style="27"/>
    <col min="11521" max="11521" width="3" style="27" bestFit="1" customWidth="1"/>
    <col min="11522" max="11523" width="39.42578125" style="27" customWidth="1"/>
    <col min="11524" max="11530" width="4.140625" style="27" customWidth="1"/>
    <col min="11531" max="11532" width="8.140625" style="27" customWidth="1"/>
    <col min="11533" max="11533" width="9" style="27" customWidth="1"/>
    <col min="11534" max="11534" width="4.5703125" style="27" customWidth="1"/>
    <col min="11535" max="11535" width="6.28515625" style="27" bestFit="1" customWidth="1"/>
    <col min="11536" max="11536" width="3.7109375" style="27" bestFit="1" customWidth="1"/>
    <col min="11537" max="11537" width="28.140625" style="27" customWidth="1"/>
    <col min="11538" max="11776" width="9.140625" style="27"/>
    <col min="11777" max="11777" width="3" style="27" bestFit="1" customWidth="1"/>
    <col min="11778" max="11779" width="39.42578125" style="27" customWidth="1"/>
    <col min="11780" max="11786" width="4.140625" style="27" customWidth="1"/>
    <col min="11787" max="11788" width="8.140625" style="27" customWidth="1"/>
    <col min="11789" max="11789" width="9" style="27" customWidth="1"/>
    <col min="11790" max="11790" width="4.5703125" style="27" customWidth="1"/>
    <col min="11791" max="11791" width="6.28515625" style="27" bestFit="1" customWidth="1"/>
    <col min="11792" max="11792" width="3.7109375" style="27" bestFit="1" customWidth="1"/>
    <col min="11793" max="11793" width="28.140625" style="27" customWidth="1"/>
    <col min="11794" max="12032" width="9.140625" style="27"/>
    <col min="12033" max="12033" width="3" style="27" bestFit="1" customWidth="1"/>
    <col min="12034" max="12035" width="39.42578125" style="27" customWidth="1"/>
    <col min="12036" max="12042" width="4.140625" style="27" customWidth="1"/>
    <col min="12043" max="12044" width="8.140625" style="27" customWidth="1"/>
    <col min="12045" max="12045" width="9" style="27" customWidth="1"/>
    <col min="12046" max="12046" width="4.5703125" style="27" customWidth="1"/>
    <col min="12047" max="12047" width="6.28515625" style="27" bestFit="1" customWidth="1"/>
    <col min="12048" max="12048" width="3.7109375" style="27" bestFit="1" customWidth="1"/>
    <col min="12049" max="12049" width="28.140625" style="27" customWidth="1"/>
    <col min="12050" max="12288" width="9.140625" style="27"/>
    <col min="12289" max="12289" width="3" style="27" bestFit="1" customWidth="1"/>
    <col min="12290" max="12291" width="39.42578125" style="27" customWidth="1"/>
    <col min="12292" max="12298" width="4.140625" style="27" customWidth="1"/>
    <col min="12299" max="12300" width="8.140625" style="27" customWidth="1"/>
    <col min="12301" max="12301" width="9" style="27" customWidth="1"/>
    <col min="12302" max="12302" width="4.5703125" style="27" customWidth="1"/>
    <col min="12303" max="12303" width="6.28515625" style="27" bestFit="1" customWidth="1"/>
    <col min="12304" max="12304" width="3.7109375" style="27" bestFit="1" customWidth="1"/>
    <col min="12305" max="12305" width="28.140625" style="27" customWidth="1"/>
    <col min="12306" max="12544" width="9.140625" style="27"/>
    <col min="12545" max="12545" width="3" style="27" bestFit="1" customWidth="1"/>
    <col min="12546" max="12547" width="39.42578125" style="27" customWidth="1"/>
    <col min="12548" max="12554" width="4.140625" style="27" customWidth="1"/>
    <col min="12555" max="12556" width="8.140625" style="27" customWidth="1"/>
    <col min="12557" max="12557" width="9" style="27" customWidth="1"/>
    <col min="12558" max="12558" width="4.5703125" style="27" customWidth="1"/>
    <col min="12559" max="12559" width="6.28515625" style="27" bestFit="1" customWidth="1"/>
    <col min="12560" max="12560" width="3.7109375" style="27" bestFit="1" customWidth="1"/>
    <col min="12561" max="12561" width="28.140625" style="27" customWidth="1"/>
    <col min="12562" max="12800" width="9.140625" style="27"/>
    <col min="12801" max="12801" width="3" style="27" bestFit="1" customWidth="1"/>
    <col min="12802" max="12803" width="39.42578125" style="27" customWidth="1"/>
    <col min="12804" max="12810" width="4.140625" style="27" customWidth="1"/>
    <col min="12811" max="12812" width="8.140625" style="27" customWidth="1"/>
    <col min="12813" max="12813" width="9" style="27" customWidth="1"/>
    <col min="12814" max="12814" width="4.5703125" style="27" customWidth="1"/>
    <col min="12815" max="12815" width="6.28515625" style="27" bestFit="1" customWidth="1"/>
    <col min="12816" max="12816" width="3.7109375" style="27" bestFit="1" customWidth="1"/>
    <col min="12817" max="12817" width="28.140625" style="27" customWidth="1"/>
    <col min="12818" max="13056" width="9.140625" style="27"/>
    <col min="13057" max="13057" width="3" style="27" bestFit="1" customWidth="1"/>
    <col min="13058" max="13059" width="39.42578125" style="27" customWidth="1"/>
    <col min="13060" max="13066" width="4.140625" style="27" customWidth="1"/>
    <col min="13067" max="13068" width="8.140625" style="27" customWidth="1"/>
    <col min="13069" max="13069" width="9" style="27" customWidth="1"/>
    <col min="13070" max="13070" width="4.5703125" style="27" customWidth="1"/>
    <col min="13071" max="13071" width="6.28515625" style="27" bestFit="1" customWidth="1"/>
    <col min="13072" max="13072" width="3.7109375" style="27" bestFit="1" customWidth="1"/>
    <col min="13073" max="13073" width="28.140625" style="27" customWidth="1"/>
    <col min="13074" max="13312" width="9.140625" style="27"/>
    <col min="13313" max="13313" width="3" style="27" bestFit="1" customWidth="1"/>
    <col min="13314" max="13315" width="39.42578125" style="27" customWidth="1"/>
    <col min="13316" max="13322" width="4.140625" style="27" customWidth="1"/>
    <col min="13323" max="13324" width="8.140625" style="27" customWidth="1"/>
    <col min="13325" max="13325" width="9" style="27" customWidth="1"/>
    <col min="13326" max="13326" width="4.5703125" style="27" customWidth="1"/>
    <col min="13327" max="13327" width="6.28515625" style="27" bestFit="1" customWidth="1"/>
    <col min="13328" max="13328" width="3.7109375" style="27" bestFit="1" customWidth="1"/>
    <col min="13329" max="13329" width="28.140625" style="27" customWidth="1"/>
    <col min="13330" max="13568" width="9.140625" style="27"/>
    <col min="13569" max="13569" width="3" style="27" bestFit="1" customWidth="1"/>
    <col min="13570" max="13571" width="39.42578125" style="27" customWidth="1"/>
    <col min="13572" max="13578" width="4.140625" style="27" customWidth="1"/>
    <col min="13579" max="13580" width="8.140625" style="27" customWidth="1"/>
    <col min="13581" max="13581" width="9" style="27" customWidth="1"/>
    <col min="13582" max="13582" width="4.5703125" style="27" customWidth="1"/>
    <col min="13583" max="13583" width="6.28515625" style="27" bestFit="1" customWidth="1"/>
    <col min="13584" max="13584" width="3.7109375" style="27" bestFit="1" customWidth="1"/>
    <col min="13585" max="13585" width="28.140625" style="27" customWidth="1"/>
    <col min="13586" max="13824" width="9.140625" style="27"/>
    <col min="13825" max="13825" width="3" style="27" bestFit="1" customWidth="1"/>
    <col min="13826" max="13827" width="39.42578125" style="27" customWidth="1"/>
    <col min="13828" max="13834" width="4.140625" style="27" customWidth="1"/>
    <col min="13835" max="13836" width="8.140625" style="27" customWidth="1"/>
    <col min="13837" max="13837" width="9" style="27" customWidth="1"/>
    <col min="13838" max="13838" width="4.5703125" style="27" customWidth="1"/>
    <col min="13839" max="13839" width="6.28515625" style="27" bestFit="1" customWidth="1"/>
    <col min="13840" max="13840" width="3.7109375" style="27" bestFit="1" customWidth="1"/>
    <col min="13841" max="13841" width="28.140625" style="27" customWidth="1"/>
    <col min="13842" max="14080" width="9.140625" style="27"/>
    <col min="14081" max="14081" width="3" style="27" bestFit="1" customWidth="1"/>
    <col min="14082" max="14083" width="39.42578125" style="27" customWidth="1"/>
    <col min="14084" max="14090" width="4.140625" style="27" customWidth="1"/>
    <col min="14091" max="14092" width="8.140625" style="27" customWidth="1"/>
    <col min="14093" max="14093" width="9" style="27" customWidth="1"/>
    <col min="14094" max="14094" width="4.5703125" style="27" customWidth="1"/>
    <col min="14095" max="14095" width="6.28515625" style="27" bestFit="1" customWidth="1"/>
    <col min="14096" max="14096" width="3.7109375" style="27" bestFit="1" customWidth="1"/>
    <col min="14097" max="14097" width="28.140625" style="27" customWidth="1"/>
    <col min="14098" max="14336" width="9.140625" style="27"/>
    <col min="14337" max="14337" width="3" style="27" bestFit="1" customWidth="1"/>
    <col min="14338" max="14339" width="39.42578125" style="27" customWidth="1"/>
    <col min="14340" max="14346" width="4.140625" style="27" customWidth="1"/>
    <col min="14347" max="14348" width="8.140625" style="27" customWidth="1"/>
    <col min="14349" max="14349" width="9" style="27" customWidth="1"/>
    <col min="14350" max="14350" width="4.5703125" style="27" customWidth="1"/>
    <col min="14351" max="14351" width="6.28515625" style="27" bestFit="1" customWidth="1"/>
    <col min="14352" max="14352" width="3.7109375" style="27" bestFit="1" customWidth="1"/>
    <col min="14353" max="14353" width="28.140625" style="27" customWidth="1"/>
    <col min="14354" max="14592" width="9.140625" style="27"/>
    <col min="14593" max="14593" width="3" style="27" bestFit="1" customWidth="1"/>
    <col min="14594" max="14595" width="39.42578125" style="27" customWidth="1"/>
    <col min="14596" max="14602" width="4.140625" style="27" customWidth="1"/>
    <col min="14603" max="14604" width="8.140625" style="27" customWidth="1"/>
    <col min="14605" max="14605" width="9" style="27" customWidth="1"/>
    <col min="14606" max="14606" width="4.5703125" style="27" customWidth="1"/>
    <col min="14607" max="14607" width="6.28515625" style="27" bestFit="1" customWidth="1"/>
    <col min="14608" max="14608" width="3.7109375" style="27" bestFit="1" customWidth="1"/>
    <col min="14609" max="14609" width="28.140625" style="27" customWidth="1"/>
    <col min="14610" max="14848" width="9.140625" style="27"/>
    <col min="14849" max="14849" width="3" style="27" bestFit="1" customWidth="1"/>
    <col min="14850" max="14851" width="39.42578125" style="27" customWidth="1"/>
    <col min="14852" max="14858" width="4.140625" style="27" customWidth="1"/>
    <col min="14859" max="14860" width="8.140625" style="27" customWidth="1"/>
    <col min="14861" max="14861" width="9" style="27" customWidth="1"/>
    <col min="14862" max="14862" width="4.5703125" style="27" customWidth="1"/>
    <col min="14863" max="14863" width="6.28515625" style="27" bestFit="1" customWidth="1"/>
    <col min="14864" max="14864" width="3.7109375" style="27" bestFit="1" customWidth="1"/>
    <col min="14865" max="14865" width="28.140625" style="27" customWidth="1"/>
    <col min="14866" max="15104" width="9.140625" style="27"/>
    <col min="15105" max="15105" width="3" style="27" bestFit="1" customWidth="1"/>
    <col min="15106" max="15107" width="39.42578125" style="27" customWidth="1"/>
    <col min="15108" max="15114" width="4.140625" style="27" customWidth="1"/>
    <col min="15115" max="15116" width="8.140625" style="27" customWidth="1"/>
    <col min="15117" max="15117" width="9" style="27" customWidth="1"/>
    <col min="15118" max="15118" width="4.5703125" style="27" customWidth="1"/>
    <col min="15119" max="15119" width="6.28515625" style="27" bestFit="1" customWidth="1"/>
    <col min="15120" max="15120" width="3.7109375" style="27" bestFit="1" customWidth="1"/>
    <col min="15121" max="15121" width="28.140625" style="27" customWidth="1"/>
    <col min="15122" max="15360" width="9.140625" style="27"/>
    <col min="15361" max="15361" width="3" style="27" bestFit="1" customWidth="1"/>
    <col min="15362" max="15363" width="39.42578125" style="27" customWidth="1"/>
    <col min="15364" max="15370" width="4.140625" style="27" customWidth="1"/>
    <col min="15371" max="15372" width="8.140625" style="27" customWidth="1"/>
    <col min="15373" max="15373" width="9" style="27" customWidth="1"/>
    <col min="15374" max="15374" width="4.5703125" style="27" customWidth="1"/>
    <col min="15375" max="15375" width="6.28515625" style="27" bestFit="1" customWidth="1"/>
    <col min="15376" max="15376" width="3.7109375" style="27" bestFit="1" customWidth="1"/>
    <col min="15377" max="15377" width="28.140625" style="27" customWidth="1"/>
    <col min="15378" max="15616" width="9.140625" style="27"/>
    <col min="15617" max="15617" width="3" style="27" bestFit="1" customWidth="1"/>
    <col min="15618" max="15619" width="39.42578125" style="27" customWidth="1"/>
    <col min="15620" max="15626" width="4.140625" style="27" customWidth="1"/>
    <col min="15627" max="15628" width="8.140625" style="27" customWidth="1"/>
    <col min="15629" max="15629" width="9" style="27" customWidth="1"/>
    <col min="15630" max="15630" width="4.5703125" style="27" customWidth="1"/>
    <col min="15631" max="15631" width="6.28515625" style="27" bestFit="1" customWidth="1"/>
    <col min="15632" max="15632" width="3.7109375" style="27" bestFit="1" customWidth="1"/>
    <col min="15633" max="15633" width="28.140625" style="27" customWidth="1"/>
    <col min="15634" max="15872" width="9.140625" style="27"/>
    <col min="15873" max="15873" width="3" style="27" bestFit="1" customWidth="1"/>
    <col min="15874" max="15875" width="39.42578125" style="27" customWidth="1"/>
    <col min="15876" max="15882" width="4.140625" style="27" customWidth="1"/>
    <col min="15883" max="15884" width="8.140625" style="27" customWidth="1"/>
    <col min="15885" max="15885" width="9" style="27" customWidth="1"/>
    <col min="15886" max="15886" width="4.5703125" style="27" customWidth="1"/>
    <col min="15887" max="15887" width="6.28515625" style="27" bestFit="1" customWidth="1"/>
    <col min="15888" max="15888" width="3.7109375" style="27" bestFit="1" customWidth="1"/>
    <col min="15889" max="15889" width="28.140625" style="27" customWidth="1"/>
    <col min="15890" max="16128" width="9.140625" style="27"/>
    <col min="16129" max="16129" width="3" style="27" bestFit="1" customWidth="1"/>
    <col min="16130" max="16131" width="39.42578125" style="27" customWidth="1"/>
    <col min="16132" max="16138" width="4.140625" style="27" customWidth="1"/>
    <col min="16139" max="16140" width="8.140625" style="27" customWidth="1"/>
    <col min="16141" max="16141" width="9" style="27" customWidth="1"/>
    <col min="16142" max="16142" width="4.5703125" style="27" customWidth="1"/>
    <col min="16143" max="16143" width="6.28515625" style="27" bestFit="1" customWidth="1"/>
    <col min="16144" max="16144" width="3.7109375" style="27" bestFit="1" customWidth="1"/>
    <col min="16145" max="16145" width="28.140625" style="27" customWidth="1"/>
    <col min="16146" max="16384" width="9.140625" style="27"/>
  </cols>
  <sheetData>
    <row r="1" spans="1:18" s="6" customFormat="1" ht="26.25" thickBot="1" x14ac:dyDescent="0.4">
      <c r="B1" s="7" t="s">
        <v>21</v>
      </c>
      <c r="C1" s="7"/>
      <c r="D1" s="8"/>
      <c r="E1" s="8"/>
      <c r="F1" s="8"/>
      <c r="G1" s="8"/>
      <c r="H1" s="8"/>
      <c r="I1" s="8"/>
      <c r="J1" s="9"/>
      <c r="K1" s="10"/>
      <c r="L1" s="11"/>
      <c r="M1" s="12">
        <v>310</v>
      </c>
      <c r="N1" s="8"/>
      <c r="O1" s="8"/>
      <c r="P1" s="8"/>
      <c r="Q1" s="74"/>
    </row>
    <row r="2" spans="1:18" s="6" customFormat="1" ht="16.5" thickBot="1" x14ac:dyDescent="0.3">
      <c r="A2" s="10"/>
      <c r="B2" s="14">
        <f>[1]Master!B2</f>
        <v>42979</v>
      </c>
      <c r="C2" s="14"/>
      <c r="D2" s="15"/>
      <c r="E2" s="15"/>
      <c r="F2" s="15"/>
      <c r="G2" s="15"/>
      <c r="H2" s="15"/>
      <c r="I2" s="15"/>
      <c r="J2" s="10"/>
      <c r="K2" s="10" t="s">
        <v>22</v>
      </c>
      <c r="L2" s="16" t="s">
        <v>23</v>
      </c>
      <c r="M2" s="17"/>
      <c r="N2" s="10"/>
      <c r="O2" s="10"/>
      <c r="P2" s="10"/>
      <c r="Q2" s="10"/>
    </row>
    <row r="3" spans="1:18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8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 t="shared" ref="L4:L28" si="0">IF(J4="x",K4,IF(ISBLANK(K5),0,K5))</f>
        <v>0</v>
      </c>
      <c r="M4" s="24">
        <f t="array" ref="M4">IF(J4="x",0,IF(ISBLANK(K4),0,IF(K5=0,MOD(INDEX(K5:$K$30, MATCH(FALSE, ISBLANK(K5:$K$30), 0))-K4,1),MOD(L4-K4,1))))</f>
        <v>0</v>
      </c>
      <c r="N4" s="25"/>
      <c r="O4" s="25"/>
      <c r="P4" s="25"/>
      <c r="Q4" s="26"/>
    </row>
    <row r="5" spans="1:18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si="0"/>
        <v>0</v>
      </c>
      <c r="M5" s="24">
        <f t="array" ref="M5">IF(J5="x",0,IF(ISBLANK(K5),0,IF(K6=0,MOD(INDEX(K6:$K$30, MATCH(FALSE, ISBLANK(K6:$K$30), 0))-K5,1),MOD(L5-K5,1))))</f>
        <v>0</v>
      </c>
      <c r="N5" s="25"/>
      <c r="O5" s="25"/>
      <c r="P5" s="25"/>
      <c r="Q5" s="26"/>
    </row>
    <row r="6" spans="1:18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IF(J6="x",0,IF(ISBLANK(K6),0,IF(K7=0,MOD(INDEX(K7:$K$30, MATCH(FALSE, ISBLANK(K7:$K$30), 0))-K6,1),MOD(L6-K6,1))))</f>
        <v>0</v>
      </c>
      <c r="N6" s="25"/>
      <c r="O6" s="25"/>
      <c r="P6" s="25"/>
      <c r="Q6" s="26"/>
      <c r="R6" s="56"/>
    </row>
    <row r="7" spans="1:18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IF(J7="x",0,IF(ISBLANK(K7),0,IF(K8=0,MOD(INDEX(K8:$K$30, MATCH(FALSE, ISBLANK(K8:$K$30), 0))-K7,1),MOD(L7-K7,1))))</f>
        <v>0</v>
      </c>
      <c r="N7" s="25"/>
      <c r="O7" s="25"/>
      <c r="P7" s="25"/>
      <c r="Q7" s="26"/>
      <c r="R7" s="56"/>
    </row>
    <row r="8" spans="1:18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IF(J8="x",0,IF(ISBLANK(K8),0,IF(K9=0,MOD(INDEX(K9:$K$30, MATCH(FALSE, ISBLANK(K9:$K$30), 0))-K8,1),MOD(L8-K8,1))))</f>
        <v>0</v>
      </c>
      <c r="N8" s="25"/>
      <c r="O8" s="25"/>
      <c r="P8" s="25"/>
      <c r="Q8" s="29"/>
    </row>
    <row r="9" spans="1:18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IF(J9="x",0,IF(ISBLANK(K9),0,IF(K10=0,MOD(INDEX(K10:$K$30, MATCH(FALSE, ISBLANK(K10:$K$30), 0))-K9,1),MOD(L9-K9,1))))</f>
        <v>0</v>
      </c>
      <c r="N9" s="25"/>
      <c r="O9" s="25"/>
      <c r="P9" s="25"/>
      <c r="Q9" s="26"/>
    </row>
    <row r="10" spans="1:18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IF(J10="x",0,IF(ISBLANK(K10),0,IF(K11=0,MOD(INDEX(K11:$K$30, MATCH(FALSE, ISBLANK(K11:$K$30), 0))-K10,1),MOD(L10-K10,1))))</f>
        <v>0</v>
      </c>
      <c r="N10" s="25"/>
      <c r="O10" s="25"/>
      <c r="P10" s="25"/>
      <c r="Q10" s="26"/>
    </row>
    <row r="11" spans="1:18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IF(J11="x",0,IF(ISBLANK(K11),0,IF(K12=0,MOD(INDEX(K12:$K$30, MATCH(FALSE, ISBLANK(K12:$K$30), 0))-K11,1),MOD(L11-K11,1))))</f>
        <v>0</v>
      </c>
      <c r="N11" s="25"/>
      <c r="O11" s="25"/>
      <c r="P11" s="25"/>
      <c r="Q11" s="26"/>
    </row>
    <row r="12" spans="1:18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IF(J12="x",0,IF(ISBLANK(K12),0,IF(K13=0,MOD(INDEX(K13:$K$30, MATCH(FALSE, ISBLANK(K13:$K$30), 0))-K12,1),MOD(L12-K12,1))))</f>
        <v>0</v>
      </c>
      <c r="N12" s="25"/>
      <c r="O12" s="25"/>
      <c r="P12" s="25"/>
      <c r="Q12" s="26"/>
    </row>
    <row r="13" spans="1:18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IF(J13="x",0,IF(ISBLANK(K13),0,IF(K14=0,MOD(INDEX(K14:$K$30, MATCH(FALSE, ISBLANK(K14:$K$30), 0))-K13,1),MOD(L13-K13,1))))</f>
        <v>0</v>
      </c>
      <c r="N13" s="30"/>
      <c r="O13" s="30"/>
      <c r="P13" s="25"/>
      <c r="Q13" s="26"/>
    </row>
    <row r="14" spans="1:18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IF(J14="x",0,IF(ISBLANK(K14),0,IF(K15=0,MOD(INDEX(K15:$K$30, MATCH(FALSE, ISBLANK(K15:$K$30), 0))-K14,1),MOD(L14-K14,1))))</f>
        <v>0</v>
      </c>
      <c r="N14" s="30"/>
      <c r="O14" s="30"/>
      <c r="P14" s="25"/>
      <c r="Q14" s="26"/>
    </row>
    <row r="15" spans="1:18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 t="shared" si="0"/>
        <v>0</v>
      </c>
      <c r="M15" s="24">
        <f t="array" ref="M15">IF(J15="x",0,IF(ISBLANK(K15),0,IF(K16=0,MOD(INDEX(K16:$K$30, MATCH(FALSE, ISBLANK(K16:$K$30), 0))-K15,1),MOD(L15-K15,1))))</f>
        <v>0</v>
      </c>
      <c r="N15" s="25"/>
      <c r="O15" s="25"/>
      <c r="P15" s="25"/>
      <c r="Q15" s="26"/>
    </row>
    <row r="16" spans="1:18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 t="shared" si="0"/>
        <v>0</v>
      </c>
      <c r="M16" s="24">
        <f t="array" ref="M16">IF(J16="x",0,IF(ISBLANK(K16),0,IF(K17=0,MOD(INDEX(K17:$K$30, MATCH(FALSE, ISBLANK(K17:$K$30),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 t="shared" si="0"/>
        <v>0</v>
      </c>
      <c r="M17" s="24">
        <f t="array" ref="M17">IF(J17="x",0,IF(ISBLANK(K17),0,IF(K18=0,MOD(INDEX(K18:$K$30, MATCH(FALSE, ISBLANK(K18:$K$30),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si="0"/>
        <v>0</v>
      </c>
      <c r="M18" s="24">
        <f t="array" ref="M18">IF(J18="x",0,IF(ISBLANK(K18),0,IF(K19=0,MOD(INDEX(K19:$K$30, MATCH(FALSE, ISBLANK(K19:$K$30),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0"/>
        <v>0</v>
      </c>
      <c r="M19" s="24">
        <f t="array" ref="M19">IF(J19="x",0,IF(ISBLANK(K19),0,IF(K20=0,MOD(INDEX(K20:$K$30, MATCH(FALSE, ISBLANK(K20:$K$30),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0"/>
        <v>0</v>
      </c>
      <c r="M20" s="24">
        <f t="array" ref="M20">IF(J20="x",0,IF(ISBLANK(K20),0,IF(K21=0,MOD(INDEX(K21:$K$30, MATCH(FALSE, ISBLANK(K21:$K$30),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0"/>
        <v>0</v>
      </c>
      <c r="M21" s="24">
        <f t="array" ref="M21">IF(J21="x",0,IF(ISBLANK(K21),0,IF(K22=0,MOD(INDEX(K22:$K$30, MATCH(FALSE, ISBLANK(K22:$K$30),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0"/>
        <v>0</v>
      </c>
      <c r="M22" s="24">
        <f t="array" ref="M22">IF(J22="x",0,IF(ISBLANK(K22),0,IF(K23=0,MOD(INDEX(K23:$K$30, MATCH(FALSE, ISBLANK(K23:$K$30),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0"/>
        <v>0</v>
      </c>
      <c r="M23" s="24">
        <f t="array" ref="M23">IF(J23="x",0,IF(ISBLANK(K23),0,IF(K24=0,MOD(INDEX(K24:$K$30, MATCH(FALSE, ISBLANK(K24:$K$30),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0"/>
        <v>0</v>
      </c>
      <c r="M24" s="24">
        <f t="array" ref="M24">IF(J24="x",0,IF(ISBLANK(K24),0,IF(K25=0,MOD(INDEX(K25:$K$30, MATCH(FALSE, ISBLANK(K25:$K$30),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0"/>
        <v>0</v>
      </c>
      <c r="M25" s="24">
        <f t="array" ref="M25">IF(J25="x",0,IF(ISBLANK(K25),0,IF(K26=0,MOD(INDEX(K26:$K$30, MATCH(FALSE, ISBLANK(K26:$K$30),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0"/>
        <v>0</v>
      </c>
      <c r="M26" s="24">
        <f t="array" ref="M26">IF(J26="x",0,IF(ISBLANK(K26),0,IF(K27=0,MOD(INDEX(K27:$K$30, MATCH(FALSE, ISBLANK(K27:$K$30),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0"/>
        <v>0</v>
      </c>
      <c r="M27" s="24">
        <f t="array" ref="M27">IF(J27="x",0,IF(ISBLANK(K27),0,IF(K28=0,MOD(INDEX(K28:$K$30, MATCH(FALSE, ISBLANK(K28:$K$30),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 t="shared" si="0"/>
        <v>0</v>
      </c>
      <c r="M28" s="24">
        <f t="array" ref="M28">IF(J28="x",0,IF(ISBLANK(K28),0,IF(K29=0,MOD(INDEX(K29:$K$30, MATCH(FALSE, ISBLANK(K29:$K$30),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33"/>
      <c r="D29" s="34" t="s">
        <v>32</v>
      </c>
      <c r="E29" s="35"/>
      <c r="F29" s="35"/>
      <c r="G29" s="35"/>
      <c r="H29" s="35"/>
      <c r="I29" s="35"/>
      <c r="J29" s="35"/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>
        <v>0</v>
      </c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39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39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19.5" customHeight="1" x14ac:dyDescent="0.2">
      <c r="A34" s="10"/>
      <c r="N34" s="57"/>
      <c r="O34" s="58"/>
      <c r="P34" s="58"/>
      <c r="Q34" s="10"/>
    </row>
  </sheetData>
  <protectedRanges>
    <protectedRange sqref="N4:Q28" name="Range1_4"/>
  </protectedRanges>
  <dataValidations count="2">
    <dataValidation type="list" showInputMessage="1" showErrorMessage="1" sqref="WVK983044:WVK983068 IY4:IY28 SU4:SU28 ACQ4:ACQ28 AMM4:AMM28 AWI4:AWI28 BGE4:BGE28 BQA4:BQA28 BZW4:BZW28 CJS4:CJS28 CTO4:CTO28 DDK4:DDK28 DNG4:DNG28 DXC4:DXC28 EGY4:EGY28 EQU4:EQU28 FAQ4:FAQ28 FKM4:FKM28 FUI4:FUI28 GEE4:GEE28 GOA4:GOA28 GXW4:GXW28 HHS4:HHS28 HRO4:HRO28 IBK4:IBK28 ILG4:ILG28 IVC4:IVC28 JEY4:JEY28 JOU4:JOU28 JYQ4:JYQ28 KIM4:KIM28 KSI4:KSI28 LCE4:LCE28 LMA4:LMA28 LVW4:LVW28 MFS4:MFS28 MPO4:MPO28 MZK4:MZK28 NJG4:NJG28 NTC4:NTC28 OCY4:OCY28 OMU4:OMU28 OWQ4:OWQ28 PGM4:PGM28 PQI4:PQI28 QAE4:QAE28 QKA4:QKA28 QTW4:QTW28 RDS4:RDS28 RNO4:RNO28 RXK4:RXK28 SHG4:SHG28 SRC4:SRC28 TAY4:TAY28 TKU4:TKU28 TUQ4:TUQ28 UEM4:UEM28 UOI4:UOI28 UYE4:UYE28 VIA4:VIA28 VRW4:VRW28 WBS4:WBS28 WLO4:WLO28 WVK4:WVK28 C65540:C65564 IY65540:IY65564 SU65540:SU65564 ACQ65540:ACQ65564 AMM65540:AMM65564 AWI65540:AWI65564 BGE65540:BGE65564 BQA65540:BQA65564 BZW65540:BZW65564 CJS65540:CJS65564 CTO65540:CTO65564 DDK65540:DDK65564 DNG65540:DNG65564 DXC65540:DXC65564 EGY65540:EGY65564 EQU65540:EQU65564 FAQ65540:FAQ65564 FKM65540:FKM65564 FUI65540:FUI65564 GEE65540:GEE65564 GOA65540:GOA65564 GXW65540:GXW65564 HHS65540:HHS65564 HRO65540:HRO65564 IBK65540:IBK65564 ILG65540:ILG65564 IVC65540:IVC65564 JEY65540:JEY65564 JOU65540:JOU65564 JYQ65540:JYQ65564 KIM65540:KIM65564 KSI65540:KSI65564 LCE65540:LCE65564 LMA65540:LMA65564 LVW65540:LVW65564 MFS65540:MFS65564 MPO65540:MPO65564 MZK65540:MZK65564 NJG65540:NJG65564 NTC65540:NTC65564 OCY65540:OCY65564 OMU65540:OMU65564 OWQ65540:OWQ65564 PGM65540:PGM65564 PQI65540:PQI65564 QAE65540:QAE65564 QKA65540:QKA65564 QTW65540:QTW65564 RDS65540:RDS65564 RNO65540:RNO65564 RXK65540:RXK65564 SHG65540:SHG65564 SRC65540:SRC65564 TAY65540:TAY65564 TKU65540:TKU65564 TUQ65540:TUQ65564 UEM65540:UEM65564 UOI65540:UOI65564 UYE65540:UYE65564 VIA65540:VIA65564 VRW65540:VRW65564 WBS65540:WBS65564 WLO65540:WLO65564 WVK65540:WVK65564 C131076:C131100 IY131076:IY131100 SU131076:SU131100 ACQ131076:ACQ131100 AMM131076:AMM131100 AWI131076:AWI131100 BGE131076:BGE131100 BQA131076:BQA131100 BZW131076:BZW131100 CJS131076:CJS131100 CTO131076:CTO131100 DDK131076:DDK131100 DNG131076:DNG131100 DXC131076:DXC131100 EGY131076:EGY131100 EQU131076:EQU131100 FAQ131076:FAQ131100 FKM131076:FKM131100 FUI131076:FUI131100 GEE131076:GEE131100 GOA131076:GOA131100 GXW131076:GXW131100 HHS131076:HHS131100 HRO131076:HRO131100 IBK131076:IBK131100 ILG131076:ILG131100 IVC131076:IVC131100 JEY131076:JEY131100 JOU131076:JOU131100 JYQ131076:JYQ131100 KIM131076:KIM131100 KSI131076:KSI131100 LCE131076:LCE131100 LMA131076:LMA131100 LVW131076:LVW131100 MFS131076:MFS131100 MPO131076:MPO131100 MZK131076:MZK131100 NJG131076:NJG131100 NTC131076:NTC131100 OCY131076:OCY131100 OMU131076:OMU131100 OWQ131076:OWQ131100 PGM131076:PGM131100 PQI131076:PQI131100 QAE131076:QAE131100 QKA131076:QKA131100 QTW131076:QTW131100 RDS131076:RDS131100 RNO131076:RNO131100 RXK131076:RXK131100 SHG131076:SHG131100 SRC131076:SRC131100 TAY131076:TAY131100 TKU131076:TKU131100 TUQ131076:TUQ131100 UEM131076:UEM131100 UOI131076:UOI131100 UYE131076:UYE131100 VIA131076:VIA131100 VRW131076:VRW131100 WBS131076:WBS131100 WLO131076:WLO131100 WVK131076:WVK131100 C196612:C196636 IY196612:IY196636 SU196612:SU196636 ACQ196612:ACQ196636 AMM196612:AMM196636 AWI196612:AWI196636 BGE196612:BGE196636 BQA196612:BQA196636 BZW196612:BZW196636 CJS196612:CJS196636 CTO196612:CTO196636 DDK196612:DDK196636 DNG196612:DNG196636 DXC196612:DXC196636 EGY196612:EGY196636 EQU196612:EQU196636 FAQ196612:FAQ196636 FKM196612:FKM196636 FUI196612:FUI196636 GEE196612:GEE196636 GOA196612:GOA196636 GXW196612:GXW196636 HHS196612:HHS196636 HRO196612:HRO196636 IBK196612:IBK196636 ILG196612:ILG196636 IVC196612:IVC196636 JEY196612:JEY196636 JOU196612:JOU196636 JYQ196612:JYQ196636 KIM196612:KIM196636 KSI196612:KSI196636 LCE196612:LCE196636 LMA196612:LMA196636 LVW196612:LVW196636 MFS196612:MFS196636 MPO196612:MPO196636 MZK196612:MZK196636 NJG196612:NJG196636 NTC196612:NTC196636 OCY196612:OCY196636 OMU196612:OMU196636 OWQ196612:OWQ196636 PGM196612:PGM196636 PQI196612:PQI196636 QAE196612:QAE196636 QKA196612:QKA196636 QTW196612:QTW196636 RDS196612:RDS196636 RNO196612:RNO196636 RXK196612:RXK196636 SHG196612:SHG196636 SRC196612:SRC196636 TAY196612:TAY196636 TKU196612:TKU196636 TUQ196612:TUQ196636 UEM196612:UEM196636 UOI196612:UOI196636 UYE196612:UYE196636 VIA196612:VIA196636 VRW196612:VRW196636 WBS196612:WBS196636 WLO196612:WLO196636 WVK196612:WVK196636 C262148:C262172 IY262148:IY262172 SU262148:SU262172 ACQ262148:ACQ262172 AMM262148:AMM262172 AWI262148:AWI262172 BGE262148:BGE262172 BQA262148:BQA262172 BZW262148:BZW262172 CJS262148:CJS262172 CTO262148:CTO262172 DDK262148:DDK262172 DNG262148:DNG262172 DXC262148:DXC262172 EGY262148:EGY262172 EQU262148:EQU262172 FAQ262148:FAQ262172 FKM262148:FKM262172 FUI262148:FUI262172 GEE262148:GEE262172 GOA262148:GOA262172 GXW262148:GXW262172 HHS262148:HHS262172 HRO262148:HRO262172 IBK262148:IBK262172 ILG262148:ILG262172 IVC262148:IVC262172 JEY262148:JEY262172 JOU262148:JOU262172 JYQ262148:JYQ262172 KIM262148:KIM262172 KSI262148:KSI262172 LCE262148:LCE262172 LMA262148:LMA262172 LVW262148:LVW262172 MFS262148:MFS262172 MPO262148:MPO262172 MZK262148:MZK262172 NJG262148:NJG262172 NTC262148:NTC262172 OCY262148:OCY262172 OMU262148:OMU262172 OWQ262148:OWQ262172 PGM262148:PGM262172 PQI262148:PQI262172 QAE262148:QAE262172 QKA262148:QKA262172 QTW262148:QTW262172 RDS262148:RDS262172 RNO262148:RNO262172 RXK262148:RXK262172 SHG262148:SHG262172 SRC262148:SRC262172 TAY262148:TAY262172 TKU262148:TKU262172 TUQ262148:TUQ262172 UEM262148:UEM262172 UOI262148:UOI262172 UYE262148:UYE262172 VIA262148:VIA262172 VRW262148:VRW262172 WBS262148:WBS262172 WLO262148:WLO262172 WVK262148:WVK262172 C327684:C327708 IY327684:IY327708 SU327684:SU327708 ACQ327684:ACQ327708 AMM327684:AMM327708 AWI327684:AWI327708 BGE327684:BGE327708 BQA327684:BQA327708 BZW327684:BZW327708 CJS327684:CJS327708 CTO327684:CTO327708 DDK327684:DDK327708 DNG327684:DNG327708 DXC327684:DXC327708 EGY327684:EGY327708 EQU327684:EQU327708 FAQ327684:FAQ327708 FKM327684:FKM327708 FUI327684:FUI327708 GEE327684:GEE327708 GOA327684:GOA327708 GXW327684:GXW327708 HHS327684:HHS327708 HRO327684:HRO327708 IBK327684:IBK327708 ILG327684:ILG327708 IVC327684:IVC327708 JEY327684:JEY327708 JOU327684:JOU327708 JYQ327684:JYQ327708 KIM327684:KIM327708 KSI327684:KSI327708 LCE327684:LCE327708 LMA327684:LMA327708 LVW327684:LVW327708 MFS327684:MFS327708 MPO327684:MPO327708 MZK327684:MZK327708 NJG327684:NJG327708 NTC327684:NTC327708 OCY327684:OCY327708 OMU327684:OMU327708 OWQ327684:OWQ327708 PGM327684:PGM327708 PQI327684:PQI327708 QAE327684:QAE327708 QKA327684:QKA327708 QTW327684:QTW327708 RDS327684:RDS327708 RNO327684:RNO327708 RXK327684:RXK327708 SHG327684:SHG327708 SRC327684:SRC327708 TAY327684:TAY327708 TKU327684:TKU327708 TUQ327684:TUQ327708 UEM327684:UEM327708 UOI327684:UOI327708 UYE327684:UYE327708 VIA327684:VIA327708 VRW327684:VRW327708 WBS327684:WBS327708 WLO327684:WLO327708 WVK327684:WVK327708 C393220:C393244 IY393220:IY393244 SU393220:SU393244 ACQ393220:ACQ393244 AMM393220:AMM393244 AWI393220:AWI393244 BGE393220:BGE393244 BQA393220:BQA393244 BZW393220:BZW393244 CJS393220:CJS393244 CTO393220:CTO393244 DDK393220:DDK393244 DNG393220:DNG393244 DXC393220:DXC393244 EGY393220:EGY393244 EQU393220:EQU393244 FAQ393220:FAQ393244 FKM393220:FKM393244 FUI393220:FUI393244 GEE393220:GEE393244 GOA393220:GOA393244 GXW393220:GXW393244 HHS393220:HHS393244 HRO393220:HRO393244 IBK393220:IBK393244 ILG393220:ILG393244 IVC393220:IVC393244 JEY393220:JEY393244 JOU393220:JOU393244 JYQ393220:JYQ393244 KIM393220:KIM393244 KSI393220:KSI393244 LCE393220:LCE393244 LMA393220:LMA393244 LVW393220:LVW393244 MFS393220:MFS393244 MPO393220:MPO393244 MZK393220:MZK393244 NJG393220:NJG393244 NTC393220:NTC393244 OCY393220:OCY393244 OMU393220:OMU393244 OWQ393220:OWQ393244 PGM393220:PGM393244 PQI393220:PQI393244 QAE393220:QAE393244 QKA393220:QKA393244 QTW393220:QTW393244 RDS393220:RDS393244 RNO393220:RNO393244 RXK393220:RXK393244 SHG393220:SHG393244 SRC393220:SRC393244 TAY393220:TAY393244 TKU393220:TKU393244 TUQ393220:TUQ393244 UEM393220:UEM393244 UOI393220:UOI393244 UYE393220:UYE393244 VIA393220:VIA393244 VRW393220:VRW393244 WBS393220:WBS393244 WLO393220:WLO393244 WVK393220:WVK393244 C458756:C458780 IY458756:IY458780 SU458756:SU458780 ACQ458756:ACQ458780 AMM458756:AMM458780 AWI458756:AWI458780 BGE458756:BGE458780 BQA458756:BQA458780 BZW458756:BZW458780 CJS458756:CJS458780 CTO458756:CTO458780 DDK458756:DDK458780 DNG458756:DNG458780 DXC458756:DXC458780 EGY458756:EGY458780 EQU458756:EQU458780 FAQ458756:FAQ458780 FKM458756:FKM458780 FUI458756:FUI458780 GEE458756:GEE458780 GOA458756:GOA458780 GXW458756:GXW458780 HHS458756:HHS458780 HRO458756:HRO458780 IBK458756:IBK458780 ILG458756:ILG458780 IVC458756:IVC458780 JEY458756:JEY458780 JOU458756:JOU458780 JYQ458756:JYQ458780 KIM458756:KIM458780 KSI458756:KSI458780 LCE458756:LCE458780 LMA458756:LMA458780 LVW458756:LVW458780 MFS458756:MFS458780 MPO458756:MPO458780 MZK458756:MZK458780 NJG458756:NJG458780 NTC458756:NTC458780 OCY458756:OCY458780 OMU458756:OMU458780 OWQ458756:OWQ458780 PGM458756:PGM458780 PQI458756:PQI458780 QAE458756:QAE458780 QKA458756:QKA458780 QTW458756:QTW458780 RDS458756:RDS458780 RNO458756:RNO458780 RXK458756:RXK458780 SHG458756:SHG458780 SRC458756:SRC458780 TAY458756:TAY458780 TKU458756:TKU458780 TUQ458756:TUQ458780 UEM458756:UEM458780 UOI458756:UOI458780 UYE458756:UYE458780 VIA458756:VIA458780 VRW458756:VRW458780 WBS458756:WBS458780 WLO458756:WLO458780 WVK458756:WVK458780 C524292:C524316 IY524292:IY524316 SU524292:SU524316 ACQ524292:ACQ524316 AMM524292:AMM524316 AWI524292:AWI524316 BGE524292:BGE524316 BQA524292:BQA524316 BZW524292:BZW524316 CJS524292:CJS524316 CTO524292:CTO524316 DDK524292:DDK524316 DNG524292:DNG524316 DXC524292:DXC524316 EGY524292:EGY524316 EQU524292:EQU524316 FAQ524292:FAQ524316 FKM524292:FKM524316 FUI524292:FUI524316 GEE524292:GEE524316 GOA524292:GOA524316 GXW524292:GXW524316 HHS524292:HHS524316 HRO524292:HRO524316 IBK524292:IBK524316 ILG524292:ILG524316 IVC524292:IVC524316 JEY524292:JEY524316 JOU524292:JOU524316 JYQ524292:JYQ524316 KIM524292:KIM524316 KSI524292:KSI524316 LCE524292:LCE524316 LMA524292:LMA524316 LVW524292:LVW524316 MFS524292:MFS524316 MPO524292:MPO524316 MZK524292:MZK524316 NJG524292:NJG524316 NTC524292:NTC524316 OCY524292:OCY524316 OMU524292:OMU524316 OWQ524292:OWQ524316 PGM524292:PGM524316 PQI524292:PQI524316 QAE524292:QAE524316 QKA524292:QKA524316 QTW524292:QTW524316 RDS524292:RDS524316 RNO524292:RNO524316 RXK524292:RXK524316 SHG524292:SHG524316 SRC524292:SRC524316 TAY524292:TAY524316 TKU524292:TKU524316 TUQ524292:TUQ524316 UEM524292:UEM524316 UOI524292:UOI524316 UYE524292:UYE524316 VIA524292:VIA524316 VRW524292:VRW524316 WBS524292:WBS524316 WLO524292:WLO524316 WVK524292:WVK524316 C589828:C589852 IY589828:IY589852 SU589828:SU589852 ACQ589828:ACQ589852 AMM589828:AMM589852 AWI589828:AWI589852 BGE589828:BGE589852 BQA589828:BQA589852 BZW589828:BZW589852 CJS589828:CJS589852 CTO589828:CTO589852 DDK589828:DDK589852 DNG589828:DNG589852 DXC589828:DXC589852 EGY589828:EGY589852 EQU589828:EQU589852 FAQ589828:FAQ589852 FKM589828:FKM589852 FUI589828:FUI589852 GEE589828:GEE589852 GOA589828:GOA589852 GXW589828:GXW589852 HHS589828:HHS589852 HRO589828:HRO589852 IBK589828:IBK589852 ILG589828:ILG589852 IVC589828:IVC589852 JEY589828:JEY589852 JOU589828:JOU589852 JYQ589828:JYQ589852 KIM589828:KIM589852 KSI589828:KSI589852 LCE589828:LCE589852 LMA589828:LMA589852 LVW589828:LVW589852 MFS589828:MFS589852 MPO589828:MPO589852 MZK589828:MZK589852 NJG589828:NJG589852 NTC589828:NTC589852 OCY589828:OCY589852 OMU589828:OMU589852 OWQ589828:OWQ589852 PGM589828:PGM589852 PQI589828:PQI589852 QAE589828:QAE589852 QKA589828:QKA589852 QTW589828:QTW589852 RDS589828:RDS589852 RNO589828:RNO589852 RXK589828:RXK589852 SHG589828:SHG589852 SRC589828:SRC589852 TAY589828:TAY589852 TKU589828:TKU589852 TUQ589828:TUQ589852 UEM589828:UEM589852 UOI589828:UOI589852 UYE589828:UYE589852 VIA589828:VIA589852 VRW589828:VRW589852 WBS589828:WBS589852 WLO589828:WLO589852 WVK589828:WVK589852 C655364:C655388 IY655364:IY655388 SU655364:SU655388 ACQ655364:ACQ655388 AMM655364:AMM655388 AWI655364:AWI655388 BGE655364:BGE655388 BQA655364:BQA655388 BZW655364:BZW655388 CJS655364:CJS655388 CTO655364:CTO655388 DDK655364:DDK655388 DNG655364:DNG655388 DXC655364:DXC655388 EGY655364:EGY655388 EQU655364:EQU655388 FAQ655364:FAQ655388 FKM655364:FKM655388 FUI655364:FUI655388 GEE655364:GEE655388 GOA655364:GOA655388 GXW655364:GXW655388 HHS655364:HHS655388 HRO655364:HRO655388 IBK655364:IBK655388 ILG655364:ILG655388 IVC655364:IVC655388 JEY655364:JEY655388 JOU655364:JOU655388 JYQ655364:JYQ655388 KIM655364:KIM655388 KSI655364:KSI655388 LCE655364:LCE655388 LMA655364:LMA655388 LVW655364:LVW655388 MFS655364:MFS655388 MPO655364:MPO655388 MZK655364:MZK655388 NJG655364:NJG655388 NTC655364:NTC655388 OCY655364:OCY655388 OMU655364:OMU655388 OWQ655364:OWQ655388 PGM655364:PGM655388 PQI655364:PQI655388 QAE655364:QAE655388 QKA655364:QKA655388 QTW655364:QTW655388 RDS655364:RDS655388 RNO655364:RNO655388 RXK655364:RXK655388 SHG655364:SHG655388 SRC655364:SRC655388 TAY655364:TAY655388 TKU655364:TKU655388 TUQ655364:TUQ655388 UEM655364:UEM655388 UOI655364:UOI655388 UYE655364:UYE655388 VIA655364:VIA655388 VRW655364:VRW655388 WBS655364:WBS655388 WLO655364:WLO655388 WVK655364:WVK655388 C720900:C720924 IY720900:IY720924 SU720900:SU720924 ACQ720900:ACQ720924 AMM720900:AMM720924 AWI720900:AWI720924 BGE720900:BGE720924 BQA720900:BQA720924 BZW720900:BZW720924 CJS720900:CJS720924 CTO720900:CTO720924 DDK720900:DDK720924 DNG720900:DNG720924 DXC720900:DXC720924 EGY720900:EGY720924 EQU720900:EQU720924 FAQ720900:FAQ720924 FKM720900:FKM720924 FUI720900:FUI720924 GEE720900:GEE720924 GOA720900:GOA720924 GXW720900:GXW720924 HHS720900:HHS720924 HRO720900:HRO720924 IBK720900:IBK720924 ILG720900:ILG720924 IVC720900:IVC720924 JEY720900:JEY720924 JOU720900:JOU720924 JYQ720900:JYQ720924 KIM720900:KIM720924 KSI720900:KSI720924 LCE720900:LCE720924 LMA720900:LMA720924 LVW720900:LVW720924 MFS720900:MFS720924 MPO720900:MPO720924 MZK720900:MZK720924 NJG720900:NJG720924 NTC720900:NTC720924 OCY720900:OCY720924 OMU720900:OMU720924 OWQ720900:OWQ720924 PGM720900:PGM720924 PQI720900:PQI720924 QAE720900:QAE720924 QKA720900:QKA720924 QTW720900:QTW720924 RDS720900:RDS720924 RNO720900:RNO720924 RXK720900:RXK720924 SHG720900:SHG720924 SRC720900:SRC720924 TAY720900:TAY720924 TKU720900:TKU720924 TUQ720900:TUQ720924 UEM720900:UEM720924 UOI720900:UOI720924 UYE720900:UYE720924 VIA720900:VIA720924 VRW720900:VRW720924 WBS720900:WBS720924 WLO720900:WLO720924 WVK720900:WVK720924 C786436:C786460 IY786436:IY786460 SU786436:SU786460 ACQ786436:ACQ786460 AMM786436:AMM786460 AWI786436:AWI786460 BGE786436:BGE786460 BQA786436:BQA786460 BZW786436:BZW786460 CJS786436:CJS786460 CTO786436:CTO786460 DDK786436:DDK786460 DNG786436:DNG786460 DXC786436:DXC786460 EGY786436:EGY786460 EQU786436:EQU786460 FAQ786436:FAQ786460 FKM786436:FKM786460 FUI786436:FUI786460 GEE786436:GEE786460 GOA786436:GOA786460 GXW786436:GXW786460 HHS786436:HHS786460 HRO786436:HRO786460 IBK786436:IBK786460 ILG786436:ILG786460 IVC786436:IVC786460 JEY786436:JEY786460 JOU786436:JOU786460 JYQ786436:JYQ786460 KIM786436:KIM786460 KSI786436:KSI786460 LCE786436:LCE786460 LMA786436:LMA786460 LVW786436:LVW786460 MFS786436:MFS786460 MPO786436:MPO786460 MZK786436:MZK786460 NJG786436:NJG786460 NTC786436:NTC786460 OCY786436:OCY786460 OMU786436:OMU786460 OWQ786436:OWQ786460 PGM786436:PGM786460 PQI786436:PQI786460 QAE786436:QAE786460 QKA786436:QKA786460 QTW786436:QTW786460 RDS786436:RDS786460 RNO786436:RNO786460 RXK786436:RXK786460 SHG786436:SHG786460 SRC786436:SRC786460 TAY786436:TAY786460 TKU786436:TKU786460 TUQ786436:TUQ786460 UEM786436:UEM786460 UOI786436:UOI786460 UYE786436:UYE786460 VIA786436:VIA786460 VRW786436:VRW786460 WBS786436:WBS786460 WLO786436:WLO786460 WVK786436:WVK786460 C851972:C851996 IY851972:IY851996 SU851972:SU851996 ACQ851972:ACQ851996 AMM851972:AMM851996 AWI851972:AWI851996 BGE851972:BGE851996 BQA851972:BQA851996 BZW851972:BZW851996 CJS851972:CJS851996 CTO851972:CTO851996 DDK851972:DDK851996 DNG851972:DNG851996 DXC851972:DXC851996 EGY851972:EGY851996 EQU851972:EQU851996 FAQ851972:FAQ851996 FKM851972:FKM851996 FUI851972:FUI851996 GEE851972:GEE851996 GOA851972:GOA851996 GXW851972:GXW851996 HHS851972:HHS851996 HRO851972:HRO851996 IBK851972:IBK851996 ILG851972:ILG851996 IVC851972:IVC851996 JEY851972:JEY851996 JOU851972:JOU851996 JYQ851972:JYQ851996 KIM851972:KIM851996 KSI851972:KSI851996 LCE851972:LCE851996 LMA851972:LMA851996 LVW851972:LVW851996 MFS851972:MFS851996 MPO851972:MPO851996 MZK851972:MZK851996 NJG851972:NJG851996 NTC851972:NTC851996 OCY851972:OCY851996 OMU851972:OMU851996 OWQ851972:OWQ851996 PGM851972:PGM851996 PQI851972:PQI851996 QAE851972:QAE851996 QKA851972:QKA851996 QTW851972:QTW851996 RDS851972:RDS851996 RNO851972:RNO851996 RXK851972:RXK851996 SHG851972:SHG851996 SRC851972:SRC851996 TAY851972:TAY851996 TKU851972:TKU851996 TUQ851972:TUQ851996 UEM851972:UEM851996 UOI851972:UOI851996 UYE851972:UYE851996 VIA851972:VIA851996 VRW851972:VRW851996 WBS851972:WBS851996 WLO851972:WLO851996 WVK851972:WVK851996 C917508:C917532 IY917508:IY917532 SU917508:SU917532 ACQ917508:ACQ917532 AMM917508:AMM917532 AWI917508:AWI917532 BGE917508:BGE917532 BQA917508:BQA917532 BZW917508:BZW917532 CJS917508:CJS917532 CTO917508:CTO917532 DDK917508:DDK917532 DNG917508:DNG917532 DXC917508:DXC917532 EGY917508:EGY917532 EQU917508:EQU917532 FAQ917508:FAQ917532 FKM917508:FKM917532 FUI917508:FUI917532 GEE917508:GEE917532 GOA917508:GOA917532 GXW917508:GXW917532 HHS917508:HHS917532 HRO917508:HRO917532 IBK917508:IBK917532 ILG917508:ILG917532 IVC917508:IVC917532 JEY917508:JEY917532 JOU917508:JOU917532 JYQ917508:JYQ917532 KIM917508:KIM917532 KSI917508:KSI917532 LCE917508:LCE917532 LMA917508:LMA917532 LVW917508:LVW917532 MFS917508:MFS917532 MPO917508:MPO917532 MZK917508:MZK917532 NJG917508:NJG917532 NTC917508:NTC917532 OCY917508:OCY917532 OMU917508:OMU917532 OWQ917508:OWQ917532 PGM917508:PGM917532 PQI917508:PQI917532 QAE917508:QAE917532 QKA917508:QKA917532 QTW917508:QTW917532 RDS917508:RDS917532 RNO917508:RNO917532 RXK917508:RXK917532 SHG917508:SHG917532 SRC917508:SRC917532 TAY917508:TAY917532 TKU917508:TKU917532 TUQ917508:TUQ917532 UEM917508:UEM917532 UOI917508:UOI917532 UYE917508:UYE917532 VIA917508:VIA917532 VRW917508:VRW917532 WBS917508:WBS917532 WLO917508:WLO917532 WVK917508:WVK917532 C983044:C983068 IY983044:IY983068 SU983044:SU983068 ACQ983044:ACQ983068 AMM983044:AMM983068 AWI983044:AWI983068 BGE983044:BGE983068 BQA983044:BQA983068 BZW983044:BZW983068 CJS983044:CJS983068 CTO983044:CTO983068 DDK983044:DDK983068 DNG983044:DNG983068 DXC983044:DXC983068 EGY983044:EGY983068 EQU983044:EQU983068 FAQ983044:FAQ983068 FKM983044:FKM983068 FUI983044:FUI983068 GEE983044:GEE983068 GOA983044:GOA983068 GXW983044:GXW983068 HHS983044:HHS983068 HRO983044:HRO983068 IBK983044:IBK983068 ILG983044:ILG983068 IVC983044:IVC983068 JEY983044:JEY983068 JOU983044:JOU983068 JYQ983044:JYQ983068 KIM983044:KIM983068 KSI983044:KSI983068 LCE983044:LCE983068 LMA983044:LMA983068 LVW983044:LVW983068 MFS983044:MFS983068 MPO983044:MPO983068 MZK983044:MZK983068 NJG983044:NJG983068 NTC983044:NTC983068 OCY983044:OCY983068 OMU983044:OMU983068 OWQ983044:OWQ983068 PGM983044:PGM983068 PQI983044:PQI983068 QAE983044:QAE983068 QKA983044:QKA983068 QTW983044:QTW983068 RDS983044:RDS983068 RNO983044:RNO983068 RXK983044:RXK983068 SHG983044:SHG983068 SRC983044:SRC983068 TAY983044:TAY983068 TKU983044:TKU983068 TUQ983044:TUQ983068 UEM983044:UEM983068 UOI983044:UOI983068 UYE983044:UYE983068 VIA983044:VIA983068 VRW983044:VRW983068 WBS983044:WBS983068 WLO983044:WLO983068">
      <formula1>Subject</formula1>
    </dataValidation>
    <dataValidation type="list" showInputMessage="1" showErrorMessage="1" sqref="C5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37"/>
  <sheetViews>
    <sheetView zoomScaleNormal="100" zoomScalePageLayoutView="70" workbookViewId="0">
      <selection activeCell="C4" sqref="C4"/>
    </sheetView>
  </sheetViews>
  <sheetFormatPr defaultRowHeight="12.75" x14ac:dyDescent="0.2"/>
  <cols>
    <col min="1" max="1" width="3" style="27" bestFit="1" customWidth="1"/>
    <col min="2" max="3" width="39.42578125" style="27" customWidth="1"/>
    <col min="4" max="9" width="4.140625" style="27" hidden="1" customWidth="1"/>
    <col min="10" max="10" width="4.140625" style="27" customWidth="1"/>
    <col min="11" max="11" width="8.140625" style="11" customWidth="1"/>
    <col min="12" max="12" width="8.140625" style="27" customWidth="1"/>
    <col min="13" max="13" width="9" style="27" customWidth="1"/>
    <col min="14" max="14" width="4.5703125" style="27" hidden="1" customWidth="1"/>
    <col min="15" max="15" width="6.28515625" style="27" hidden="1" customWidth="1"/>
    <col min="16" max="16" width="3.7109375" style="27" hidden="1" customWidth="1"/>
    <col min="17" max="17" width="84.5703125" style="27" customWidth="1"/>
    <col min="18" max="256" width="9.140625" style="27"/>
    <col min="257" max="257" width="3" style="27" bestFit="1" customWidth="1"/>
    <col min="258" max="258" width="39.42578125" style="27" customWidth="1"/>
    <col min="259" max="259" width="5" style="27" customWidth="1"/>
    <col min="260" max="265" width="4.140625" style="27" customWidth="1"/>
    <col min="266" max="267" width="8.140625" style="27" customWidth="1"/>
    <col min="268" max="268" width="9" style="27" customWidth="1"/>
    <col min="269" max="269" width="4.5703125" style="27" customWidth="1"/>
    <col min="270" max="270" width="6.28515625" style="27" bestFit="1" customWidth="1"/>
    <col min="271" max="271" width="3.7109375" style="27" bestFit="1" customWidth="1"/>
    <col min="272" max="272" width="28.140625" style="27" customWidth="1"/>
    <col min="273" max="512" width="9.140625" style="27"/>
    <col min="513" max="513" width="3" style="27" bestFit="1" customWidth="1"/>
    <col min="514" max="514" width="39.42578125" style="27" customWidth="1"/>
    <col min="515" max="515" width="5" style="27" customWidth="1"/>
    <col min="516" max="521" width="4.140625" style="27" customWidth="1"/>
    <col min="522" max="523" width="8.140625" style="27" customWidth="1"/>
    <col min="524" max="524" width="9" style="27" customWidth="1"/>
    <col min="525" max="525" width="4.5703125" style="27" customWidth="1"/>
    <col min="526" max="526" width="6.28515625" style="27" bestFit="1" customWidth="1"/>
    <col min="527" max="527" width="3.7109375" style="27" bestFit="1" customWidth="1"/>
    <col min="528" max="528" width="28.140625" style="27" customWidth="1"/>
    <col min="529" max="768" width="9.140625" style="27"/>
    <col min="769" max="769" width="3" style="27" bestFit="1" customWidth="1"/>
    <col min="770" max="770" width="39.42578125" style="27" customWidth="1"/>
    <col min="771" max="771" width="5" style="27" customWidth="1"/>
    <col min="772" max="777" width="4.140625" style="27" customWidth="1"/>
    <col min="778" max="779" width="8.140625" style="27" customWidth="1"/>
    <col min="780" max="780" width="9" style="27" customWidth="1"/>
    <col min="781" max="781" width="4.5703125" style="27" customWidth="1"/>
    <col min="782" max="782" width="6.28515625" style="27" bestFit="1" customWidth="1"/>
    <col min="783" max="783" width="3.7109375" style="27" bestFit="1" customWidth="1"/>
    <col min="784" max="784" width="28.140625" style="27" customWidth="1"/>
    <col min="785" max="1024" width="9.140625" style="27"/>
    <col min="1025" max="1025" width="3" style="27" bestFit="1" customWidth="1"/>
    <col min="1026" max="1026" width="39.42578125" style="27" customWidth="1"/>
    <col min="1027" max="1027" width="5" style="27" customWidth="1"/>
    <col min="1028" max="1033" width="4.140625" style="27" customWidth="1"/>
    <col min="1034" max="1035" width="8.140625" style="27" customWidth="1"/>
    <col min="1036" max="1036" width="9" style="27" customWidth="1"/>
    <col min="1037" max="1037" width="4.5703125" style="27" customWidth="1"/>
    <col min="1038" max="1038" width="6.28515625" style="27" bestFit="1" customWidth="1"/>
    <col min="1039" max="1039" width="3.7109375" style="27" bestFit="1" customWidth="1"/>
    <col min="1040" max="1040" width="28.140625" style="27" customWidth="1"/>
    <col min="1041" max="1280" width="9.140625" style="27"/>
    <col min="1281" max="1281" width="3" style="27" bestFit="1" customWidth="1"/>
    <col min="1282" max="1282" width="39.42578125" style="27" customWidth="1"/>
    <col min="1283" max="1283" width="5" style="27" customWidth="1"/>
    <col min="1284" max="1289" width="4.140625" style="27" customWidth="1"/>
    <col min="1290" max="1291" width="8.140625" style="27" customWidth="1"/>
    <col min="1292" max="1292" width="9" style="27" customWidth="1"/>
    <col min="1293" max="1293" width="4.5703125" style="27" customWidth="1"/>
    <col min="1294" max="1294" width="6.28515625" style="27" bestFit="1" customWidth="1"/>
    <col min="1295" max="1295" width="3.7109375" style="27" bestFit="1" customWidth="1"/>
    <col min="1296" max="1296" width="28.140625" style="27" customWidth="1"/>
    <col min="1297" max="1536" width="9.140625" style="27"/>
    <col min="1537" max="1537" width="3" style="27" bestFit="1" customWidth="1"/>
    <col min="1538" max="1538" width="39.42578125" style="27" customWidth="1"/>
    <col min="1539" max="1539" width="5" style="27" customWidth="1"/>
    <col min="1540" max="1545" width="4.140625" style="27" customWidth="1"/>
    <col min="1546" max="1547" width="8.140625" style="27" customWidth="1"/>
    <col min="1548" max="1548" width="9" style="27" customWidth="1"/>
    <col min="1549" max="1549" width="4.5703125" style="27" customWidth="1"/>
    <col min="1550" max="1550" width="6.28515625" style="27" bestFit="1" customWidth="1"/>
    <col min="1551" max="1551" width="3.7109375" style="27" bestFit="1" customWidth="1"/>
    <col min="1552" max="1552" width="28.140625" style="27" customWidth="1"/>
    <col min="1553" max="1792" width="9.140625" style="27"/>
    <col min="1793" max="1793" width="3" style="27" bestFit="1" customWidth="1"/>
    <col min="1794" max="1794" width="39.42578125" style="27" customWidth="1"/>
    <col min="1795" max="1795" width="5" style="27" customWidth="1"/>
    <col min="1796" max="1801" width="4.140625" style="27" customWidth="1"/>
    <col min="1802" max="1803" width="8.140625" style="27" customWidth="1"/>
    <col min="1804" max="1804" width="9" style="27" customWidth="1"/>
    <col min="1805" max="1805" width="4.5703125" style="27" customWidth="1"/>
    <col min="1806" max="1806" width="6.28515625" style="27" bestFit="1" customWidth="1"/>
    <col min="1807" max="1807" width="3.7109375" style="27" bestFit="1" customWidth="1"/>
    <col min="1808" max="1808" width="28.140625" style="27" customWidth="1"/>
    <col min="1809" max="2048" width="9.140625" style="27"/>
    <col min="2049" max="2049" width="3" style="27" bestFit="1" customWidth="1"/>
    <col min="2050" max="2050" width="39.42578125" style="27" customWidth="1"/>
    <col min="2051" max="2051" width="5" style="27" customWidth="1"/>
    <col min="2052" max="2057" width="4.140625" style="27" customWidth="1"/>
    <col min="2058" max="2059" width="8.140625" style="27" customWidth="1"/>
    <col min="2060" max="2060" width="9" style="27" customWidth="1"/>
    <col min="2061" max="2061" width="4.5703125" style="27" customWidth="1"/>
    <col min="2062" max="2062" width="6.28515625" style="27" bestFit="1" customWidth="1"/>
    <col min="2063" max="2063" width="3.7109375" style="27" bestFit="1" customWidth="1"/>
    <col min="2064" max="2064" width="28.140625" style="27" customWidth="1"/>
    <col min="2065" max="2304" width="9.140625" style="27"/>
    <col min="2305" max="2305" width="3" style="27" bestFit="1" customWidth="1"/>
    <col min="2306" max="2306" width="39.42578125" style="27" customWidth="1"/>
    <col min="2307" max="2307" width="5" style="27" customWidth="1"/>
    <col min="2308" max="2313" width="4.140625" style="27" customWidth="1"/>
    <col min="2314" max="2315" width="8.140625" style="27" customWidth="1"/>
    <col min="2316" max="2316" width="9" style="27" customWidth="1"/>
    <col min="2317" max="2317" width="4.5703125" style="27" customWidth="1"/>
    <col min="2318" max="2318" width="6.28515625" style="27" bestFit="1" customWidth="1"/>
    <col min="2319" max="2319" width="3.7109375" style="27" bestFit="1" customWidth="1"/>
    <col min="2320" max="2320" width="28.140625" style="27" customWidth="1"/>
    <col min="2321" max="2560" width="9.140625" style="27"/>
    <col min="2561" max="2561" width="3" style="27" bestFit="1" customWidth="1"/>
    <col min="2562" max="2562" width="39.42578125" style="27" customWidth="1"/>
    <col min="2563" max="2563" width="5" style="27" customWidth="1"/>
    <col min="2564" max="2569" width="4.140625" style="27" customWidth="1"/>
    <col min="2570" max="2571" width="8.140625" style="27" customWidth="1"/>
    <col min="2572" max="2572" width="9" style="27" customWidth="1"/>
    <col min="2573" max="2573" width="4.5703125" style="27" customWidth="1"/>
    <col min="2574" max="2574" width="6.28515625" style="27" bestFit="1" customWidth="1"/>
    <col min="2575" max="2575" width="3.7109375" style="27" bestFit="1" customWidth="1"/>
    <col min="2576" max="2576" width="28.140625" style="27" customWidth="1"/>
    <col min="2577" max="2816" width="9.140625" style="27"/>
    <col min="2817" max="2817" width="3" style="27" bestFit="1" customWidth="1"/>
    <col min="2818" max="2818" width="39.42578125" style="27" customWidth="1"/>
    <col min="2819" max="2819" width="5" style="27" customWidth="1"/>
    <col min="2820" max="2825" width="4.140625" style="27" customWidth="1"/>
    <col min="2826" max="2827" width="8.140625" style="27" customWidth="1"/>
    <col min="2828" max="2828" width="9" style="27" customWidth="1"/>
    <col min="2829" max="2829" width="4.5703125" style="27" customWidth="1"/>
    <col min="2830" max="2830" width="6.28515625" style="27" bestFit="1" customWidth="1"/>
    <col min="2831" max="2831" width="3.7109375" style="27" bestFit="1" customWidth="1"/>
    <col min="2832" max="2832" width="28.140625" style="27" customWidth="1"/>
    <col min="2833" max="3072" width="9.140625" style="27"/>
    <col min="3073" max="3073" width="3" style="27" bestFit="1" customWidth="1"/>
    <col min="3074" max="3074" width="39.42578125" style="27" customWidth="1"/>
    <col min="3075" max="3075" width="5" style="27" customWidth="1"/>
    <col min="3076" max="3081" width="4.140625" style="27" customWidth="1"/>
    <col min="3082" max="3083" width="8.140625" style="27" customWidth="1"/>
    <col min="3084" max="3084" width="9" style="27" customWidth="1"/>
    <col min="3085" max="3085" width="4.5703125" style="27" customWidth="1"/>
    <col min="3086" max="3086" width="6.28515625" style="27" bestFit="1" customWidth="1"/>
    <col min="3087" max="3087" width="3.7109375" style="27" bestFit="1" customWidth="1"/>
    <col min="3088" max="3088" width="28.140625" style="27" customWidth="1"/>
    <col min="3089" max="3328" width="9.140625" style="27"/>
    <col min="3329" max="3329" width="3" style="27" bestFit="1" customWidth="1"/>
    <col min="3330" max="3330" width="39.42578125" style="27" customWidth="1"/>
    <col min="3331" max="3331" width="5" style="27" customWidth="1"/>
    <col min="3332" max="3337" width="4.140625" style="27" customWidth="1"/>
    <col min="3338" max="3339" width="8.140625" style="27" customWidth="1"/>
    <col min="3340" max="3340" width="9" style="27" customWidth="1"/>
    <col min="3341" max="3341" width="4.5703125" style="27" customWidth="1"/>
    <col min="3342" max="3342" width="6.28515625" style="27" bestFit="1" customWidth="1"/>
    <col min="3343" max="3343" width="3.7109375" style="27" bestFit="1" customWidth="1"/>
    <col min="3344" max="3344" width="28.140625" style="27" customWidth="1"/>
    <col min="3345" max="3584" width="9.140625" style="27"/>
    <col min="3585" max="3585" width="3" style="27" bestFit="1" customWidth="1"/>
    <col min="3586" max="3586" width="39.42578125" style="27" customWidth="1"/>
    <col min="3587" max="3587" width="5" style="27" customWidth="1"/>
    <col min="3588" max="3593" width="4.140625" style="27" customWidth="1"/>
    <col min="3594" max="3595" width="8.140625" style="27" customWidth="1"/>
    <col min="3596" max="3596" width="9" style="27" customWidth="1"/>
    <col min="3597" max="3597" width="4.5703125" style="27" customWidth="1"/>
    <col min="3598" max="3598" width="6.28515625" style="27" bestFit="1" customWidth="1"/>
    <col min="3599" max="3599" width="3.7109375" style="27" bestFit="1" customWidth="1"/>
    <col min="3600" max="3600" width="28.140625" style="27" customWidth="1"/>
    <col min="3601" max="3840" width="9.140625" style="27"/>
    <col min="3841" max="3841" width="3" style="27" bestFit="1" customWidth="1"/>
    <col min="3842" max="3842" width="39.42578125" style="27" customWidth="1"/>
    <col min="3843" max="3843" width="5" style="27" customWidth="1"/>
    <col min="3844" max="3849" width="4.140625" style="27" customWidth="1"/>
    <col min="3850" max="3851" width="8.140625" style="27" customWidth="1"/>
    <col min="3852" max="3852" width="9" style="27" customWidth="1"/>
    <col min="3853" max="3853" width="4.5703125" style="27" customWidth="1"/>
    <col min="3854" max="3854" width="6.28515625" style="27" bestFit="1" customWidth="1"/>
    <col min="3855" max="3855" width="3.7109375" style="27" bestFit="1" customWidth="1"/>
    <col min="3856" max="3856" width="28.140625" style="27" customWidth="1"/>
    <col min="3857" max="4096" width="9.140625" style="27"/>
    <col min="4097" max="4097" width="3" style="27" bestFit="1" customWidth="1"/>
    <col min="4098" max="4098" width="39.42578125" style="27" customWidth="1"/>
    <col min="4099" max="4099" width="5" style="27" customWidth="1"/>
    <col min="4100" max="4105" width="4.140625" style="27" customWidth="1"/>
    <col min="4106" max="4107" width="8.140625" style="27" customWidth="1"/>
    <col min="4108" max="4108" width="9" style="27" customWidth="1"/>
    <col min="4109" max="4109" width="4.5703125" style="27" customWidth="1"/>
    <col min="4110" max="4110" width="6.28515625" style="27" bestFit="1" customWidth="1"/>
    <col min="4111" max="4111" width="3.7109375" style="27" bestFit="1" customWidth="1"/>
    <col min="4112" max="4112" width="28.140625" style="27" customWidth="1"/>
    <col min="4113" max="4352" width="9.140625" style="27"/>
    <col min="4353" max="4353" width="3" style="27" bestFit="1" customWidth="1"/>
    <col min="4354" max="4354" width="39.42578125" style="27" customWidth="1"/>
    <col min="4355" max="4355" width="5" style="27" customWidth="1"/>
    <col min="4356" max="4361" width="4.140625" style="27" customWidth="1"/>
    <col min="4362" max="4363" width="8.140625" style="27" customWidth="1"/>
    <col min="4364" max="4364" width="9" style="27" customWidth="1"/>
    <col min="4365" max="4365" width="4.5703125" style="27" customWidth="1"/>
    <col min="4366" max="4366" width="6.28515625" style="27" bestFit="1" customWidth="1"/>
    <col min="4367" max="4367" width="3.7109375" style="27" bestFit="1" customWidth="1"/>
    <col min="4368" max="4368" width="28.140625" style="27" customWidth="1"/>
    <col min="4369" max="4608" width="9.140625" style="27"/>
    <col min="4609" max="4609" width="3" style="27" bestFit="1" customWidth="1"/>
    <col min="4610" max="4610" width="39.42578125" style="27" customWidth="1"/>
    <col min="4611" max="4611" width="5" style="27" customWidth="1"/>
    <col min="4612" max="4617" width="4.140625" style="27" customWidth="1"/>
    <col min="4618" max="4619" width="8.140625" style="27" customWidth="1"/>
    <col min="4620" max="4620" width="9" style="27" customWidth="1"/>
    <col min="4621" max="4621" width="4.5703125" style="27" customWidth="1"/>
    <col min="4622" max="4622" width="6.28515625" style="27" bestFit="1" customWidth="1"/>
    <col min="4623" max="4623" width="3.7109375" style="27" bestFit="1" customWidth="1"/>
    <col min="4624" max="4624" width="28.140625" style="27" customWidth="1"/>
    <col min="4625" max="4864" width="9.140625" style="27"/>
    <col min="4865" max="4865" width="3" style="27" bestFit="1" customWidth="1"/>
    <col min="4866" max="4866" width="39.42578125" style="27" customWidth="1"/>
    <col min="4867" max="4867" width="5" style="27" customWidth="1"/>
    <col min="4868" max="4873" width="4.140625" style="27" customWidth="1"/>
    <col min="4874" max="4875" width="8.140625" style="27" customWidth="1"/>
    <col min="4876" max="4876" width="9" style="27" customWidth="1"/>
    <col min="4877" max="4877" width="4.5703125" style="27" customWidth="1"/>
    <col min="4878" max="4878" width="6.28515625" style="27" bestFit="1" customWidth="1"/>
    <col min="4879" max="4879" width="3.7109375" style="27" bestFit="1" customWidth="1"/>
    <col min="4880" max="4880" width="28.140625" style="27" customWidth="1"/>
    <col min="4881" max="5120" width="9.140625" style="27"/>
    <col min="5121" max="5121" width="3" style="27" bestFit="1" customWidth="1"/>
    <col min="5122" max="5122" width="39.42578125" style="27" customWidth="1"/>
    <col min="5123" max="5123" width="5" style="27" customWidth="1"/>
    <col min="5124" max="5129" width="4.140625" style="27" customWidth="1"/>
    <col min="5130" max="5131" width="8.140625" style="27" customWidth="1"/>
    <col min="5132" max="5132" width="9" style="27" customWidth="1"/>
    <col min="5133" max="5133" width="4.5703125" style="27" customWidth="1"/>
    <col min="5134" max="5134" width="6.28515625" style="27" bestFit="1" customWidth="1"/>
    <col min="5135" max="5135" width="3.7109375" style="27" bestFit="1" customWidth="1"/>
    <col min="5136" max="5136" width="28.140625" style="27" customWidth="1"/>
    <col min="5137" max="5376" width="9.140625" style="27"/>
    <col min="5377" max="5377" width="3" style="27" bestFit="1" customWidth="1"/>
    <col min="5378" max="5378" width="39.42578125" style="27" customWidth="1"/>
    <col min="5379" max="5379" width="5" style="27" customWidth="1"/>
    <col min="5380" max="5385" width="4.140625" style="27" customWidth="1"/>
    <col min="5386" max="5387" width="8.140625" style="27" customWidth="1"/>
    <col min="5388" max="5388" width="9" style="27" customWidth="1"/>
    <col min="5389" max="5389" width="4.5703125" style="27" customWidth="1"/>
    <col min="5390" max="5390" width="6.28515625" style="27" bestFit="1" customWidth="1"/>
    <col min="5391" max="5391" width="3.7109375" style="27" bestFit="1" customWidth="1"/>
    <col min="5392" max="5392" width="28.140625" style="27" customWidth="1"/>
    <col min="5393" max="5632" width="9.140625" style="27"/>
    <col min="5633" max="5633" width="3" style="27" bestFit="1" customWidth="1"/>
    <col min="5634" max="5634" width="39.42578125" style="27" customWidth="1"/>
    <col min="5635" max="5635" width="5" style="27" customWidth="1"/>
    <col min="5636" max="5641" width="4.140625" style="27" customWidth="1"/>
    <col min="5642" max="5643" width="8.140625" style="27" customWidth="1"/>
    <col min="5644" max="5644" width="9" style="27" customWidth="1"/>
    <col min="5645" max="5645" width="4.5703125" style="27" customWidth="1"/>
    <col min="5646" max="5646" width="6.28515625" style="27" bestFit="1" customWidth="1"/>
    <col min="5647" max="5647" width="3.7109375" style="27" bestFit="1" customWidth="1"/>
    <col min="5648" max="5648" width="28.140625" style="27" customWidth="1"/>
    <col min="5649" max="5888" width="9.140625" style="27"/>
    <col min="5889" max="5889" width="3" style="27" bestFit="1" customWidth="1"/>
    <col min="5890" max="5890" width="39.42578125" style="27" customWidth="1"/>
    <col min="5891" max="5891" width="5" style="27" customWidth="1"/>
    <col min="5892" max="5897" width="4.140625" style="27" customWidth="1"/>
    <col min="5898" max="5899" width="8.140625" style="27" customWidth="1"/>
    <col min="5900" max="5900" width="9" style="27" customWidth="1"/>
    <col min="5901" max="5901" width="4.5703125" style="27" customWidth="1"/>
    <col min="5902" max="5902" width="6.28515625" style="27" bestFit="1" customWidth="1"/>
    <col min="5903" max="5903" width="3.7109375" style="27" bestFit="1" customWidth="1"/>
    <col min="5904" max="5904" width="28.140625" style="27" customWidth="1"/>
    <col min="5905" max="6144" width="9.140625" style="27"/>
    <col min="6145" max="6145" width="3" style="27" bestFit="1" customWidth="1"/>
    <col min="6146" max="6146" width="39.42578125" style="27" customWidth="1"/>
    <col min="6147" max="6147" width="5" style="27" customWidth="1"/>
    <col min="6148" max="6153" width="4.140625" style="27" customWidth="1"/>
    <col min="6154" max="6155" width="8.140625" style="27" customWidth="1"/>
    <col min="6156" max="6156" width="9" style="27" customWidth="1"/>
    <col min="6157" max="6157" width="4.5703125" style="27" customWidth="1"/>
    <col min="6158" max="6158" width="6.28515625" style="27" bestFit="1" customWidth="1"/>
    <col min="6159" max="6159" width="3.7109375" style="27" bestFit="1" customWidth="1"/>
    <col min="6160" max="6160" width="28.140625" style="27" customWidth="1"/>
    <col min="6161" max="6400" width="9.140625" style="27"/>
    <col min="6401" max="6401" width="3" style="27" bestFit="1" customWidth="1"/>
    <col min="6402" max="6402" width="39.42578125" style="27" customWidth="1"/>
    <col min="6403" max="6403" width="5" style="27" customWidth="1"/>
    <col min="6404" max="6409" width="4.140625" style="27" customWidth="1"/>
    <col min="6410" max="6411" width="8.140625" style="27" customWidth="1"/>
    <col min="6412" max="6412" width="9" style="27" customWidth="1"/>
    <col min="6413" max="6413" width="4.5703125" style="27" customWidth="1"/>
    <col min="6414" max="6414" width="6.28515625" style="27" bestFit="1" customWidth="1"/>
    <col min="6415" max="6415" width="3.7109375" style="27" bestFit="1" customWidth="1"/>
    <col min="6416" max="6416" width="28.140625" style="27" customWidth="1"/>
    <col min="6417" max="6656" width="9.140625" style="27"/>
    <col min="6657" max="6657" width="3" style="27" bestFit="1" customWidth="1"/>
    <col min="6658" max="6658" width="39.42578125" style="27" customWidth="1"/>
    <col min="6659" max="6659" width="5" style="27" customWidth="1"/>
    <col min="6660" max="6665" width="4.140625" style="27" customWidth="1"/>
    <col min="6666" max="6667" width="8.140625" style="27" customWidth="1"/>
    <col min="6668" max="6668" width="9" style="27" customWidth="1"/>
    <col min="6669" max="6669" width="4.5703125" style="27" customWidth="1"/>
    <col min="6670" max="6670" width="6.28515625" style="27" bestFit="1" customWidth="1"/>
    <col min="6671" max="6671" width="3.7109375" style="27" bestFit="1" customWidth="1"/>
    <col min="6672" max="6672" width="28.140625" style="27" customWidth="1"/>
    <col min="6673" max="6912" width="9.140625" style="27"/>
    <col min="6913" max="6913" width="3" style="27" bestFit="1" customWidth="1"/>
    <col min="6914" max="6914" width="39.42578125" style="27" customWidth="1"/>
    <col min="6915" max="6915" width="5" style="27" customWidth="1"/>
    <col min="6916" max="6921" width="4.140625" style="27" customWidth="1"/>
    <col min="6922" max="6923" width="8.140625" style="27" customWidth="1"/>
    <col min="6924" max="6924" width="9" style="27" customWidth="1"/>
    <col min="6925" max="6925" width="4.5703125" style="27" customWidth="1"/>
    <col min="6926" max="6926" width="6.28515625" style="27" bestFit="1" customWidth="1"/>
    <col min="6927" max="6927" width="3.7109375" style="27" bestFit="1" customWidth="1"/>
    <col min="6928" max="6928" width="28.140625" style="27" customWidth="1"/>
    <col min="6929" max="7168" width="9.140625" style="27"/>
    <col min="7169" max="7169" width="3" style="27" bestFit="1" customWidth="1"/>
    <col min="7170" max="7170" width="39.42578125" style="27" customWidth="1"/>
    <col min="7171" max="7171" width="5" style="27" customWidth="1"/>
    <col min="7172" max="7177" width="4.140625" style="27" customWidth="1"/>
    <col min="7178" max="7179" width="8.140625" style="27" customWidth="1"/>
    <col min="7180" max="7180" width="9" style="27" customWidth="1"/>
    <col min="7181" max="7181" width="4.5703125" style="27" customWidth="1"/>
    <col min="7182" max="7182" width="6.28515625" style="27" bestFit="1" customWidth="1"/>
    <col min="7183" max="7183" width="3.7109375" style="27" bestFit="1" customWidth="1"/>
    <col min="7184" max="7184" width="28.140625" style="27" customWidth="1"/>
    <col min="7185" max="7424" width="9.140625" style="27"/>
    <col min="7425" max="7425" width="3" style="27" bestFit="1" customWidth="1"/>
    <col min="7426" max="7426" width="39.42578125" style="27" customWidth="1"/>
    <col min="7427" max="7427" width="5" style="27" customWidth="1"/>
    <col min="7428" max="7433" width="4.140625" style="27" customWidth="1"/>
    <col min="7434" max="7435" width="8.140625" style="27" customWidth="1"/>
    <col min="7436" max="7436" width="9" style="27" customWidth="1"/>
    <col min="7437" max="7437" width="4.5703125" style="27" customWidth="1"/>
    <col min="7438" max="7438" width="6.28515625" style="27" bestFit="1" customWidth="1"/>
    <col min="7439" max="7439" width="3.7109375" style="27" bestFit="1" customWidth="1"/>
    <col min="7440" max="7440" width="28.140625" style="27" customWidth="1"/>
    <col min="7441" max="7680" width="9.140625" style="27"/>
    <col min="7681" max="7681" width="3" style="27" bestFit="1" customWidth="1"/>
    <col min="7682" max="7682" width="39.42578125" style="27" customWidth="1"/>
    <col min="7683" max="7683" width="5" style="27" customWidth="1"/>
    <col min="7684" max="7689" width="4.140625" style="27" customWidth="1"/>
    <col min="7690" max="7691" width="8.140625" style="27" customWidth="1"/>
    <col min="7692" max="7692" width="9" style="27" customWidth="1"/>
    <col min="7693" max="7693" width="4.5703125" style="27" customWidth="1"/>
    <col min="7694" max="7694" width="6.28515625" style="27" bestFit="1" customWidth="1"/>
    <col min="7695" max="7695" width="3.7109375" style="27" bestFit="1" customWidth="1"/>
    <col min="7696" max="7696" width="28.140625" style="27" customWidth="1"/>
    <col min="7697" max="7936" width="9.140625" style="27"/>
    <col min="7937" max="7937" width="3" style="27" bestFit="1" customWidth="1"/>
    <col min="7938" max="7938" width="39.42578125" style="27" customWidth="1"/>
    <col min="7939" max="7939" width="5" style="27" customWidth="1"/>
    <col min="7940" max="7945" width="4.140625" style="27" customWidth="1"/>
    <col min="7946" max="7947" width="8.140625" style="27" customWidth="1"/>
    <col min="7948" max="7948" width="9" style="27" customWidth="1"/>
    <col min="7949" max="7949" width="4.5703125" style="27" customWidth="1"/>
    <col min="7950" max="7950" width="6.28515625" style="27" bestFit="1" customWidth="1"/>
    <col min="7951" max="7951" width="3.7109375" style="27" bestFit="1" customWidth="1"/>
    <col min="7952" max="7952" width="28.140625" style="27" customWidth="1"/>
    <col min="7953" max="8192" width="9.140625" style="27"/>
    <col min="8193" max="8193" width="3" style="27" bestFit="1" customWidth="1"/>
    <col min="8194" max="8194" width="39.42578125" style="27" customWidth="1"/>
    <col min="8195" max="8195" width="5" style="27" customWidth="1"/>
    <col min="8196" max="8201" width="4.140625" style="27" customWidth="1"/>
    <col min="8202" max="8203" width="8.140625" style="27" customWidth="1"/>
    <col min="8204" max="8204" width="9" style="27" customWidth="1"/>
    <col min="8205" max="8205" width="4.5703125" style="27" customWidth="1"/>
    <col min="8206" max="8206" width="6.28515625" style="27" bestFit="1" customWidth="1"/>
    <col min="8207" max="8207" width="3.7109375" style="27" bestFit="1" customWidth="1"/>
    <col min="8208" max="8208" width="28.140625" style="27" customWidth="1"/>
    <col min="8209" max="8448" width="9.140625" style="27"/>
    <col min="8449" max="8449" width="3" style="27" bestFit="1" customWidth="1"/>
    <col min="8450" max="8450" width="39.42578125" style="27" customWidth="1"/>
    <col min="8451" max="8451" width="5" style="27" customWidth="1"/>
    <col min="8452" max="8457" width="4.140625" style="27" customWidth="1"/>
    <col min="8458" max="8459" width="8.140625" style="27" customWidth="1"/>
    <col min="8460" max="8460" width="9" style="27" customWidth="1"/>
    <col min="8461" max="8461" width="4.5703125" style="27" customWidth="1"/>
    <col min="8462" max="8462" width="6.28515625" style="27" bestFit="1" customWidth="1"/>
    <col min="8463" max="8463" width="3.7109375" style="27" bestFit="1" customWidth="1"/>
    <col min="8464" max="8464" width="28.140625" style="27" customWidth="1"/>
    <col min="8465" max="8704" width="9.140625" style="27"/>
    <col min="8705" max="8705" width="3" style="27" bestFit="1" customWidth="1"/>
    <col min="8706" max="8706" width="39.42578125" style="27" customWidth="1"/>
    <col min="8707" max="8707" width="5" style="27" customWidth="1"/>
    <col min="8708" max="8713" width="4.140625" style="27" customWidth="1"/>
    <col min="8714" max="8715" width="8.140625" style="27" customWidth="1"/>
    <col min="8716" max="8716" width="9" style="27" customWidth="1"/>
    <col min="8717" max="8717" width="4.5703125" style="27" customWidth="1"/>
    <col min="8718" max="8718" width="6.28515625" style="27" bestFit="1" customWidth="1"/>
    <col min="8719" max="8719" width="3.7109375" style="27" bestFit="1" customWidth="1"/>
    <col min="8720" max="8720" width="28.140625" style="27" customWidth="1"/>
    <col min="8721" max="8960" width="9.140625" style="27"/>
    <col min="8961" max="8961" width="3" style="27" bestFit="1" customWidth="1"/>
    <col min="8962" max="8962" width="39.42578125" style="27" customWidth="1"/>
    <col min="8963" max="8963" width="5" style="27" customWidth="1"/>
    <col min="8964" max="8969" width="4.140625" style="27" customWidth="1"/>
    <col min="8970" max="8971" width="8.140625" style="27" customWidth="1"/>
    <col min="8972" max="8972" width="9" style="27" customWidth="1"/>
    <col min="8973" max="8973" width="4.5703125" style="27" customWidth="1"/>
    <col min="8974" max="8974" width="6.28515625" style="27" bestFit="1" customWidth="1"/>
    <col min="8975" max="8975" width="3.7109375" style="27" bestFit="1" customWidth="1"/>
    <col min="8976" max="8976" width="28.140625" style="27" customWidth="1"/>
    <col min="8977" max="9216" width="9.140625" style="27"/>
    <col min="9217" max="9217" width="3" style="27" bestFit="1" customWidth="1"/>
    <col min="9218" max="9218" width="39.42578125" style="27" customWidth="1"/>
    <col min="9219" max="9219" width="5" style="27" customWidth="1"/>
    <col min="9220" max="9225" width="4.140625" style="27" customWidth="1"/>
    <col min="9226" max="9227" width="8.140625" style="27" customWidth="1"/>
    <col min="9228" max="9228" width="9" style="27" customWidth="1"/>
    <col min="9229" max="9229" width="4.5703125" style="27" customWidth="1"/>
    <col min="9230" max="9230" width="6.28515625" style="27" bestFit="1" customWidth="1"/>
    <col min="9231" max="9231" width="3.7109375" style="27" bestFit="1" customWidth="1"/>
    <col min="9232" max="9232" width="28.140625" style="27" customWidth="1"/>
    <col min="9233" max="9472" width="9.140625" style="27"/>
    <col min="9473" max="9473" width="3" style="27" bestFit="1" customWidth="1"/>
    <col min="9474" max="9474" width="39.42578125" style="27" customWidth="1"/>
    <col min="9475" max="9475" width="5" style="27" customWidth="1"/>
    <col min="9476" max="9481" width="4.140625" style="27" customWidth="1"/>
    <col min="9482" max="9483" width="8.140625" style="27" customWidth="1"/>
    <col min="9484" max="9484" width="9" style="27" customWidth="1"/>
    <col min="9485" max="9485" width="4.5703125" style="27" customWidth="1"/>
    <col min="9486" max="9486" width="6.28515625" style="27" bestFit="1" customWidth="1"/>
    <col min="9487" max="9487" width="3.7109375" style="27" bestFit="1" customWidth="1"/>
    <col min="9488" max="9488" width="28.140625" style="27" customWidth="1"/>
    <col min="9489" max="9728" width="9.140625" style="27"/>
    <col min="9729" max="9729" width="3" style="27" bestFit="1" customWidth="1"/>
    <col min="9730" max="9730" width="39.42578125" style="27" customWidth="1"/>
    <col min="9731" max="9731" width="5" style="27" customWidth="1"/>
    <col min="9732" max="9737" width="4.140625" style="27" customWidth="1"/>
    <col min="9738" max="9739" width="8.140625" style="27" customWidth="1"/>
    <col min="9740" max="9740" width="9" style="27" customWidth="1"/>
    <col min="9741" max="9741" width="4.5703125" style="27" customWidth="1"/>
    <col min="9742" max="9742" width="6.28515625" style="27" bestFit="1" customWidth="1"/>
    <col min="9743" max="9743" width="3.7109375" style="27" bestFit="1" customWidth="1"/>
    <col min="9744" max="9744" width="28.140625" style="27" customWidth="1"/>
    <col min="9745" max="9984" width="9.140625" style="27"/>
    <col min="9985" max="9985" width="3" style="27" bestFit="1" customWidth="1"/>
    <col min="9986" max="9986" width="39.42578125" style="27" customWidth="1"/>
    <col min="9987" max="9987" width="5" style="27" customWidth="1"/>
    <col min="9988" max="9993" width="4.140625" style="27" customWidth="1"/>
    <col min="9994" max="9995" width="8.140625" style="27" customWidth="1"/>
    <col min="9996" max="9996" width="9" style="27" customWidth="1"/>
    <col min="9997" max="9997" width="4.5703125" style="27" customWidth="1"/>
    <col min="9998" max="9998" width="6.28515625" style="27" bestFit="1" customWidth="1"/>
    <col min="9999" max="9999" width="3.7109375" style="27" bestFit="1" customWidth="1"/>
    <col min="10000" max="10000" width="28.140625" style="27" customWidth="1"/>
    <col min="10001" max="10240" width="9.140625" style="27"/>
    <col min="10241" max="10241" width="3" style="27" bestFit="1" customWidth="1"/>
    <col min="10242" max="10242" width="39.42578125" style="27" customWidth="1"/>
    <col min="10243" max="10243" width="5" style="27" customWidth="1"/>
    <col min="10244" max="10249" width="4.140625" style="27" customWidth="1"/>
    <col min="10250" max="10251" width="8.140625" style="27" customWidth="1"/>
    <col min="10252" max="10252" width="9" style="27" customWidth="1"/>
    <col min="10253" max="10253" width="4.5703125" style="27" customWidth="1"/>
    <col min="10254" max="10254" width="6.28515625" style="27" bestFit="1" customWidth="1"/>
    <col min="10255" max="10255" width="3.7109375" style="27" bestFit="1" customWidth="1"/>
    <col min="10256" max="10256" width="28.140625" style="27" customWidth="1"/>
    <col min="10257" max="10496" width="9.140625" style="27"/>
    <col min="10497" max="10497" width="3" style="27" bestFit="1" customWidth="1"/>
    <col min="10498" max="10498" width="39.42578125" style="27" customWidth="1"/>
    <col min="10499" max="10499" width="5" style="27" customWidth="1"/>
    <col min="10500" max="10505" width="4.140625" style="27" customWidth="1"/>
    <col min="10506" max="10507" width="8.140625" style="27" customWidth="1"/>
    <col min="10508" max="10508" width="9" style="27" customWidth="1"/>
    <col min="10509" max="10509" width="4.5703125" style="27" customWidth="1"/>
    <col min="10510" max="10510" width="6.28515625" style="27" bestFit="1" customWidth="1"/>
    <col min="10511" max="10511" width="3.7109375" style="27" bestFit="1" customWidth="1"/>
    <col min="10512" max="10512" width="28.140625" style="27" customWidth="1"/>
    <col min="10513" max="10752" width="9.140625" style="27"/>
    <col min="10753" max="10753" width="3" style="27" bestFit="1" customWidth="1"/>
    <col min="10754" max="10754" width="39.42578125" style="27" customWidth="1"/>
    <col min="10755" max="10755" width="5" style="27" customWidth="1"/>
    <col min="10756" max="10761" width="4.140625" style="27" customWidth="1"/>
    <col min="10762" max="10763" width="8.140625" style="27" customWidth="1"/>
    <col min="10764" max="10764" width="9" style="27" customWidth="1"/>
    <col min="10765" max="10765" width="4.5703125" style="27" customWidth="1"/>
    <col min="10766" max="10766" width="6.28515625" style="27" bestFit="1" customWidth="1"/>
    <col min="10767" max="10767" width="3.7109375" style="27" bestFit="1" customWidth="1"/>
    <col min="10768" max="10768" width="28.140625" style="27" customWidth="1"/>
    <col min="10769" max="11008" width="9.140625" style="27"/>
    <col min="11009" max="11009" width="3" style="27" bestFit="1" customWidth="1"/>
    <col min="11010" max="11010" width="39.42578125" style="27" customWidth="1"/>
    <col min="11011" max="11011" width="5" style="27" customWidth="1"/>
    <col min="11012" max="11017" width="4.140625" style="27" customWidth="1"/>
    <col min="11018" max="11019" width="8.140625" style="27" customWidth="1"/>
    <col min="11020" max="11020" width="9" style="27" customWidth="1"/>
    <col min="11021" max="11021" width="4.5703125" style="27" customWidth="1"/>
    <col min="11022" max="11022" width="6.28515625" style="27" bestFit="1" customWidth="1"/>
    <col min="11023" max="11023" width="3.7109375" style="27" bestFit="1" customWidth="1"/>
    <col min="11024" max="11024" width="28.140625" style="27" customWidth="1"/>
    <col min="11025" max="11264" width="9.140625" style="27"/>
    <col min="11265" max="11265" width="3" style="27" bestFit="1" customWidth="1"/>
    <col min="11266" max="11266" width="39.42578125" style="27" customWidth="1"/>
    <col min="11267" max="11267" width="5" style="27" customWidth="1"/>
    <col min="11268" max="11273" width="4.140625" style="27" customWidth="1"/>
    <col min="11274" max="11275" width="8.140625" style="27" customWidth="1"/>
    <col min="11276" max="11276" width="9" style="27" customWidth="1"/>
    <col min="11277" max="11277" width="4.5703125" style="27" customWidth="1"/>
    <col min="11278" max="11278" width="6.28515625" style="27" bestFit="1" customWidth="1"/>
    <col min="11279" max="11279" width="3.7109375" style="27" bestFit="1" customWidth="1"/>
    <col min="11280" max="11280" width="28.140625" style="27" customWidth="1"/>
    <col min="11281" max="11520" width="9.140625" style="27"/>
    <col min="11521" max="11521" width="3" style="27" bestFit="1" customWidth="1"/>
    <col min="11522" max="11522" width="39.42578125" style="27" customWidth="1"/>
    <col min="11523" max="11523" width="5" style="27" customWidth="1"/>
    <col min="11524" max="11529" width="4.140625" style="27" customWidth="1"/>
    <col min="11530" max="11531" width="8.140625" style="27" customWidth="1"/>
    <col min="11532" max="11532" width="9" style="27" customWidth="1"/>
    <col min="11533" max="11533" width="4.5703125" style="27" customWidth="1"/>
    <col min="11534" max="11534" width="6.28515625" style="27" bestFit="1" customWidth="1"/>
    <col min="11535" max="11535" width="3.7109375" style="27" bestFit="1" customWidth="1"/>
    <col min="11536" max="11536" width="28.140625" style="27" customWidth="1"/>
    <col min="11537" max="11776" width="9.140625" style="27"/>
    <col min="11777" max="11777" width="3" style="27" bestFit="1" customWidth="1"/>
    <col min="11778" max="11778" width="39.42578125" style="27" customWidth="1"/>
    <col min="11779" max="11779" width="5" style="27" customWidth="1"/>
    <col min="11780" max="11785" width="4.140625" style="27" customWidth="1"/>
    <col min="11786" max="11787" width="8.140625" style="27" customWidth="1"/>
    <col min="11788" max="11788" width="9" style="27" customWidth="1"/>
    <col min="11789" max="11789" width="4.5703125" style="27" customWidth="1"/>
    <col min="11790" max="11790" width="6.28515625" style="27" bestFit="1" customWidth="1"/>
    <col min="11791" max="11791" width="3.7109375" style="27" bestFit="1" customWidth="1"/>
    <col min="11792" max="11792" width="28.140625" style="27" customWidth="1"/>
    <col min="11793" max="12032" width="9.140625" style="27"/>
    <col min="12033" max="12033" width="3" style="27" bestFit="1" customWidth="1"/>
    <col min="12034" max="12034" width="39.42578125" style="27" customWidth="1"/>
    <col min="12035" max="12035" width="5" style="27" customWidth="1"/>
    <col min="12036" max="12041" width="4.140625" style="27" customWidth="1"/>
    <col min="12042" max="12043" width="8.140625" style="27" customWidth="1"/>
    <col min="12044" max="12044" width="9" style="27" customWidth="1"/>
    <col min="12045" max="12045" width="4.5703125" style="27" customWidth="1"/>
    <col min="12046" max="12046" width="6.28515625" style="27" bestFit="1" customWidth="1"/>
    <col min="12047" max="12047" width="3.7109375" style="27" bestFit="1" customWidth="1"/>
    <col min="12048" max="12048" width="28.140625" style="27" customWidth="1"/>
    <col min="12049" max="12288" width="9.140625" style="27"/>
    <col min="12289" max="12289" width="3" style="27" bestFit="1" customWidth="1"/>
    <col min="12290" max="12290" width="39.42578125" style="27" customWidth="1"/>
    <col min="12291" max="12291" width="5" style="27" customWidth="1"/>
    <col min="12292" max="12297" width="4.140625" style="27" customWidth="1"/>
    <col min="12298" max="12299" width="8.140625" style="27" customWidth="1"/>
    <col min="12300" max="12300" width="9" style="27" customWidth="1"/>
    <col min="12301" max="12301" width="4.5703125" style="27" customWidth="1"/>
    <col min="12302" max="12302" width="6.28515625" style="27" bestFit="1" customWidth="1"/>
    <col min="12303" max="12303" width="3.7109375" style="27" bestFit="1" customWidth="1"/>
    <col min="12304" max="12304" width="28.140625" style="27" customWidth="1"/>
    <col min="12305" max="12544" width="9.140625" style="27"/>
    <col min="12545" max="12545" width="3" style="27" bestFit="1" customWidth="1"/>
    <col min="12546" max="12546" width="39.42578125" style="27" customWidth="1"/>
    <col min="12547" max="12547" width="5" style="27" customWidth="1"/>
    <col min="12548" max="12553" width="4.140625" style="27" customWidth="1"/>
    <col min="12554" max="12555" width="8.140625" style="27" customWidth="1"/>
    <col min="12556" max="12556" width="9" style="27" customWidth="1"/>
    <col min="12557" max="12557" width="4.5703125" style="27" customWidth="1"/>
    <col min="12558" max="12558" width="6.28515625" style="27" bestFit="1" customWidth="1"/>
    <col min="12559" max="12559" width="3.7109375" style="27" bestFit="1" customWidth="1"/>
    <col min="12560" max="12560" width="28.140625" style="27" customWidth="1"/>
    <col min="12561" max="12800" width="9.140625" style="27"/>
    <col min="12801" max="12801" width="3" style="27" bestFit="1" customWidth="1"/>
    <col min="12802" max="12802" width="39.42578125" style="27" customWidth="1"/>
    <col min="12803" max="12803" width="5" style="27" customWidth="1"/>
    <col min="12804" max="12809" width="4.140625" style="27" customWidth="1"/>
    <col min="12810" max="12811" width="8.140625" style="27" customWidth="1"/>
    <col min="12812" max="12812" width="9" style="27" customWidth="1"/>
    <col min="12813" max="12813" width="4.5703125" style="27" customWidth="1"/>
    <col min="12814" max="12814" width="6.28515625" style="27" bestFit="1" customWidth="1"/>
    <col min="12815" max="12815" width="3.7109375" style="27" bestFit="1" customWidth="1"/>
    <col min="12816" max="12816" width="28.140625" style="27" customWidth="1"/>
    <col min="12817" max="13056" width="9.140625" style="27"/>
    <col min="13057" max="13057" width="3" style="27" bestFit="1" customWidth="1"/>
    <col min="13058" max="13058" width="39.42578125" style="27" customWidth="1"/>
    <col min="13059" max="13059" width="5" style="27" customWidth="1"/>
    <col min="13060" max="13065" width="4.140625" style="27" customWidth="1"/>
    <col min="13066" max="13067" width="8.140625" style="27" customWidth="1"/>
    <col min="13068" max="13068" width="9" style="27" customWidth="1"/>
    <col min="13069" max="13069" width="4.5703125" style="27" customWidth="1"/>
    <col min="13070" max="13070" width="6.28515625" style="27" bestFit="1" customWidth="1"/>
    <col min="13071" max="13071" width="3.7109375" style="27" bestFit="1" customWidth="1"/>
    <col min="13072" max="13072" width="28.140625" style="27" customWidth="1"/>
    <col min="13073" max="13312" width="9.140625" style="27"/>
    <col min="13313" max="13313" width="3" style="27" bestFit="1" customWidth="1"/>
    <col min="13314" max="13314" width="39.42578125" style="27" customWidth="1"/>
    <col min="13315" max="13315" width="5" style="27" customWidth="1"/>
    <col min="13316" max="13321" width="4.140625" style="27" customWidth="1"/>
    <col min="13322" max="13323" width="8.140625" style="27" customWidth="1"/>
    <col min="13324" max="13324" width="9" style="27" customWidth="1"/>
    <col min="13325" max="13325" width="4.5703125" style="27" customWidth="1"/>
    <col min="13326" max="13326" width="6.28515625" style="27" bestFit="1" customWidth="1"/>
    <col min="13327" max="13327" width="3.7109375" style="27" bestFit="1" customWidth="1"/>
    <col min="13328" max="13328" width="28.140625" style="27" customWidth="1"/>
    <col min="13329" max="13568" width="9.140625" style="27"/>
    <col min="13569" max="13569" width="3" style="27" bestFit="1" customWidth="1"/>
    <col min="13570" max="13570" width="39.42578125" style="27" customWidth="1"/>
    <col min="13571" max="13571" width="5" style="27" customWidth="1"/>
    <col min="13572" max="13577" width="4.140625" style="27" customWidth="1"/>
    <col min="13578" max="13579" width="8.140625" style="27" customWidth="1"/>
    <col min="13580" max="13580" width="9" style="27" customWidth="1"/>
    <col min="13581" max="13581" width="4.5703125" style="27" customWidth="1"/>
    <col min="13582" max="13582" width="6.28515625" style="27" bestFit="1" customWidth="1"/>
    <col min="13583" max="13583" width="3.7109375" style="27" bestFit="1" customWidth="1"/>
    <col min="13584" max="13584" width="28.140625" style="27" customWidth="1"/>
    <col min="13585" max="13824" width="9.140625" style="27"/>
    <col min="13825" max="13825" width="3" style="27" bestFit="1" customWidth="1"/>
    <col min="13826" max="13826" width="39.42578125" style="27" customWidth="1"/>
    <col min="13827" max="13827" width="5" style="27" customWidth="1"/>
    <col min="13828" max="13833" width="4.140625" style="27" customWidth="1"/>
    <col min="13834" max="13835" width="8.140625" style="27" customWidth="1"/>
    <col min="13836" max="13836" width="9" style="27" customWidth="1"/>
    <col min="13837" max="13837" width="4.5703125" style="27" customWidth="1"/>
    <col min="13838" max="13838" width="6.28515625" style="27" bestFit="1" customWidth="1"/>
    <col min="13839" max="13839" width="3.7109375" style="27" bestFit="1" customWidth="1"/>
    <col min="13840" max="13840" width="28.140625" style="27" customWidth="1"/>
    <col min="13841" max="14080" width="9.140625" style="27"/>
    <col min="14081" max="14081" width="3" style="27" bestFit="1" customWidth="1"/>
    <col min="14082" max="14082" width="39.42578125" style="27" customWidth="1"/>
    <col min="14083" max="14083" width="5" style="27" customWidth="1"/>
    <col min="14084" max="14089" width="4.140625" style="27" customWidth="1"/>
    <col min="14090" max="14091" width="8.140625" style="27" customWidth="1"/>
    <col min="14092" max="14092" width="9" style="27" customWidth="1"/>
    <col min="14093" max="14093" width="4.5703125" style="27" customWidth="1"/>
    <col min="14094" max="14094" width="6.28515625" style="27" bestFit="1" customWidth="1"/>
    <col min="14095" max="14095" width="3.7109375" style="27" bestFit="1" customWidth="1"/>
    <col min="14096" max="14096" width="28.140625" style="27" customWidth="1"/>
    <col min="14097" max="14336" width="9.140625" style="27"/>
    <col min="14337" max="14337" width="3" style="27" bestFit="1" customWidth="1"/>
    <col min="14338" max="14338" width="39.42578125" style="27" customWidth="1"/>
    <col min="14339" max="14339" width="5" style="27" customWidth="1"/>
    <col min="14340" max="14345" width="4.140625" style="27" customWidth="1"/>
    <col min="14346" max="14347" width="8.140625" style="27" customWidth="1"/>
    <col min="14348" max="14348" width="9" style="27" customWidth="1"/>
    <col min="14349" max="14349" width="4.5703125" style="27" customWidth="1"/>
    <col min="14350" max="14350" width="6.28515625" style="27" bestFit="1" customWidth="1"/>
    <col min="14351" max="14351" width="3.7109375" style="27" bestFit="1" customWidth="1"/>
    <col min="14352" max="14352" width="28.140625" style="27" customWidth="1"/>
    <col min="14353" max="14592" width="9.140625" style="27"/>
    <col min="14593" max="14593" width="3" style="27" bestFit="1" customWidth="1"/>
    <col min="14594" max="14594" width="39.42578125" style="27" customWidth="1"/>
    <col min="14595" max="14595" width="5" style="27" customWidth="1"/>
    <col min="14596" max="14601" width="4.140625" style="27" customWidth="1"/>
    <col min="14602" max="14603" width="8.140625" style="27" customWidth="1"/>
    <col min="14604" max="14604" width="9" style="27" customWidth="1"/>
    <col min="14605" max="14605" width="4.5703125" style="27" customWidth="1"/>
    <col min="14606" max="14606" width="6.28515625" style="27" bestFit="1" customWidth="1"/>
    <col min="14607" max="14607" width="3.7109375" style="27" bestFit="1" customWidth="1"/>
    <col min="14608" max="14608" width="28.140625" style="27" customWidth="1"/>
    <col min="14609" max="14848" width="9.140625" style="27"/>
    <col min="14849" max="14849" width="3" style="27" bestFit="1" customWidth="1"/>
    <col min="14850" max="14850" width="39.42578125" style="27" customWidth="1"/>
    <col min="14851" max="14851" width="5" style="27" customWidth="1"/>
    <col min="14852" max="14857" width="4.140625" style="27" customWidth="1"/>
    <col min="14858" max="14859" width="8.140625" style="27" customWidth="1"/>
    <col min="14860" max="14860" width="9" style="27" customWidth="1"/>
    <col min="14861" max="14861" width="4.5703125" style="27" customWidth="1"/>
    <col min="14862" max="14862" width="6.28515625" style="27" bestFit="1" customWidth="1"/>
    <col min="14863" max="14863" width="3.7109375" style="27" bestFit="1" customWidth="1"/>
    <col min="14864" max="14864" width="28.140625" style="27" customWidth="1"/>
    <col min="14865" max="15104" width="9.140625" style="27"/>
    <col min="15105" max="15105" width="3" style="27" bestFit="1" customWidth="1"/>
    <col min="15106" max="15106" width="39.42578125" style="27" customWidth="1"/>
    <col min="15107" max="15107" width="5" style="27" customWidth="1"/>
    <col min="15108" max="15113" width="4.140625" style="27" customWidth="1"/>
    <col min="15114" max="15115" width="8.140625" style="27" customWidth="1"/>
    <col min="15116" max="15116" width="9" style="27" customWidth="1"/>
    <col min="15117" max="15117" width="4.5703125" style="27" customWidth="1"/>
    <col min="15118" max="15118" width="6.28515625" style="27" bestFit="1" customWidth="1"/>
    <col min="15119" max="15119" width="3.7109375" style="27" bestFit="1" customWidth="1"/>
    <col min="15120" max="15120" width="28.140625" style="27" customWidth="1"/>
    <col min="15121" max="15360" width="9.140625" style="27"/>
    <col min="15361" max="15361" width="3" style="27" bestFit="1" customWidth="1"/>
    <col min="15362" max="15362" width="39.42578125" style="27" customWidth="1"/>
    <col min="15363" max="15363" width="5" style="27" customWidth="1"/>
    <col min="15364" max="15369" width="4.140625" style="27" customWidth="1"/>
    <col min="15370" max="15371" width="8.140625" style="27" customWidth="1"/>
    <col min="15372" max="15372" width="9" style="27" customWidth="1"/>
    <col min="15373" max="15373" width="4.5703125" style="27" customWidth="1"/>
    <col min="15374" max="15374" width="6.28515625" style="27" bestFit="1" customWidth="1"/>
    <col min="15375" max="15375" width="3.7109375" style="27" bestFit="1" customWidth="1"/>
    <col min="15376" max="15376" width="28.140625" style="27" customWidth="1"/>
    <col min="15377" max="15616" width="9.140625" style="27"/>
    <col min="15617" max="15617" width="3" style="27" bestFit="1" customWidth="1"/>
    <col min="15618" max="15618" width="39.42578125" style="27" customWidth="1"/>
    <col min="15619" max="15619" width="5" style="27" customWidth="1"/>
    <col min="15620" max="15625" width="4.140625" style="27" customWidth="1"/>
    <col min="15626" max="15627" width="8.140625" style="27" customWidth="1"/>
    <col min="15628" max="15628" width="9" style="27" customWidth="1"/>
    <col min="15629" max="15629" width="4.5703125" style="27" customWidth="1"/>
    <col min="15630" max="15630" width="6.28515625" style="27" bestFit="1" customWidth="1"/>
    <col min="15631" max="15631" width="3.7109375" style="27" bestFit="1" customWidth="1"/>
    <col min="15632" max="15632" width="28.140625" style="27" customWidth="1"/>
    <col min="15633" max="15872" width="9.140625" style="27"/>
    <col min="15873" max="15873" width="3" style="27" bestFit="1" customWidth="1"/>
    <col min="15874" max="15874" width="39.42578125" style="27" customWidth="1"/>
    <col min="15875" max="15875" width="5" style="27" customWidth="1"/>
    <col min="15876" max="15881" width="4.140625" style="27" customWidth="1"/>
    <col min="15882" max="15883" width="8.140625" style="27" customWidth="1"/>
    <col min="15884" max="15884" width="9" style="27" customWidth="1"/>
    <col min="15885" max="15885" width="4.5703125" style="27" customWidth="1"/>
    <col min="15886" max="15886" width="6.28515625" style="27" bestFit="1" customWidth="1"/>
    <col min="15887" max="15887" width="3.7109375" style="27" bestFit="1" customWidth="1"/>
    <col min="15888" max="15888" width="28.140625" style="27" customWidth="1"/>
    <col min="15889" max="16128" width="9.140625" style="27"/>
    <col min="16129" max="16129" width="3" style="27" bestFit="1" customWidth="1"/>
    <col min="16130" max="16130" width="39.42578125" style="27" customWidth="1"/>
    <col min="16131" max="16131" width="5" style="27" customWidth="1"/>
    <col min="16132" max="16137" width="4.140625" style="27" customWidth="1"/>
    <col min="16138" max="16139" width="8.140625" style="27" customWidth="1"/>
    <col min="16140" max="16140" width="9" style="27" customWidth="1"/>
    <col min="16141" max="16141" width="4.5703125" style="27" customWidth="1"/>
    <col min="16142" max="16142" width="6.28515625" style="27" bestFit="1" customWidth="1"/>
    <col min="16143" max="16143" width="3.7109375" style="27" bestFit="1" customWidth="1"/>
    <col min="16144" max="16144" width="28.140625" style="27" customWidth="1"/>
    <col min="16145" max="16384" width="9.140625" style="27"/>
  </cols>
  <sheetData>
    <row r="1" spans="1:17" s="6" customFormat="1" ht="26.25" thickBot="1" x14ac:dyDescent="0.4">
      <c r="B1" s="7" t="s">
        <v>21</v>
      </c>
      <c r="C1" s="8"/>
      <c r="D1" s="8"/>
      <c r="E1" s="8"/>
      <c r="F1" s="8"/>
      <c r="G1" s="8"/>
      <c r="H1" s="8"/>
      <c r="I1" s="9"/>
      <c r="J1" s="10"/>
      <c r="K1" s="11"/>
      <c r="L1" s="12">
        <v>310</v>
      </c>
      <c r="M1" s="8"/>
      <c r="N1" s="8"/>
      <c r="O1" s="8"/>
      <c r="P1" s="13"/>
      <c r="Q1" s="74"/>
    </row>
    <row r="2" spans="1:17" s="6" customFormat="1" ht="16.5" thickBot="1" x14ac:dyDescent="0.3">
      <c r="A2" s="10"/>
      <c r="B2" s="14">
        <f>[1]Master!B2</f>
        <v>42979</v>
      </c>
      <c r="C2" s="15"/>
      <c r="D2" s="15"/>
      <c r="E2" s="15"/>
      <c r="F2" s="15"/>
      <c r="G2" s="15"/>
      <c r="H2" s="15"/>
      <c r="I2" s="10"/>
      <c r="J2" s="10" t="s">
        <v>22</v>
      </c>
      <c r="K2" s="16" t="s">
        <v>23</v>
      </c>
      <c r="L2" s="17"/>
      <c r="M2" s="10"/>
      <c r="N2" s="10"/>
      <c r="O2" s="10"/>
      <c r="P2" s="10"/>
    </row>
    <row r="3" spans="1:17" s="6" customFormat="1" ht="74.25" customHeight="1" x14ac:dyDescent="0.35">
      <c r="A3" s="10"/>
      <c r="B3" s="18" t="s">
        <v>1</v>
      </c>
      <c r="C3" s="18" t="s">
        <v>39</v>
      </c>
      <c r="D3" s="19" t="str">
        <f>[1]Master!C3</f>
        <v>319 Task</v>
      </c>
      <c r="E3" s="19" t="str">
        <f>[1]Master!D3</f>
        <v>Meeting</v>
      </c>
      <c r="F3" s="19" t="str">
        <f>[1]Master!E3</f>
        <v>Project</v>
      </c>
      <c r="G3" s="19" t="str">
        <f>[1]Master!F3</f>
        <v>Ed Tasks</v>
      </c>
      <c r="H3" s="19" t="str">
        <f>[1]Master!G3</f>
        <v>Scheduling</v>
      </c>
      <c r="I3" s="19" t="str">
        <f>[1]Master!H3</f>
        <v>HR</v>
      </c>
      <c r="J3" s="20" t="s">
        <v>24</v>
      </c>
      <c r="K3" s="21" t="s">
        <v>25</v>
      </c>
      <c r="L3" s="20" t="s">
        <v>26</v>
      </c>
      <c r="M3" s="20" t="s">
        <v>27</v>
      </c>
      <c r="N3" s="20" t="s">
        <v>28</v>
      </c>
      <c r="O3" s="20" t="s">
        <v>29</v>
      </c>
      <c r="P3" s="20" t="s">
        <v>30</v>
      </c>
      <c r="Q3" s="18" t="s">
        <v>31</v>
      </c>
    </row>
    <row r="4" spans="1:17" ht="15.75" customHeight="1" x14ac:dyDescent="0.2">
      <c r="A4" s="22">
        <v>1</v>
      </c>
      <c r="B4" s="28"/>
      <c r="C4" s="28"/>
      <c r="D4" s="48"/>
      <c r="E4" s="48"/>
      <c r="F4" s="48"/>
      <c r="G4" s="48"/>
      <c r="H4" s="48"/>
      <c r="I4" s="48"/>
      <c r="J4" s="48"/>
      <c r="K4" s="23"/>
      <c r="L4" s="24">
        <f>IF(J4="x",K4,K5)</f>
        <v>0</v>
      </c>
      <c r="M4" s="24">
        <f t="array" ref="M4">IF(J4="x",0,IF(ISBLANK(K4),0,IF(K5=0,MOD(INDEX(K5:$K$28, MATCH(FALSE, ISBLANK(K5:$K$28), 0))-K4,1),MOD(L4-K4,1))))</f>
        <v>0</v>
      </c>
      <c r="N4" s="25"/>
      <c r="O4" s="25"/>
      <c r="P4" s="25"/>
      <c r="Q4" s="26"/>
    </row>
    <row r="5" spans="1:17" ht="15.75" customHeight="1" x14ac:dyDescent="0.2">
      <c r="A5" s="22">
        <v>2</v>
      </c>
      <c r="B5" s="28"/>
      <c r="C5" s="28"/>
      <c r="D5" s="48"/>
      <c r="E5" s="48"/>
      <c r="F5" s="48"/>
      <c r="G5" s="48"/>
      <c r="H5" s="48"/>
      <c r="I5" s="48"/>
      <c r="J5" s="48"/>
      <c r="K5" s="23"/>
      <c r="L5" s="24">
        <f t="shared" ref="L5:L14" si="0">IF(J5="x",K5,K6)</f>
        <v>0</v>
      </c>
      <c r="M5" s="24">
        <f t="array" ref="M5">IF(J5="x",0,IF(ISBLANK(K5),0,IF(K6=0,MOD(INDEX(K6:$K$28, MATCH(FALSE, ISBLANK(K6:$K$28), 0))-K5,1),MOD(L5-K5,1))))</f>
        <v>0</v>
      </c>
      <c r="N5" s="25"/>
      <c r="O5" s="25"/>
      <c r="P5" s="25"/>
      <c r="Q5" s="26"/>
    </row>
    <row r="6" spans="1:17" ht="15.75" customHeight="1" x14ac:dyDescent="0.2">
      <c r="A6" s="22">
        <v>3</v>
      </c>
      <c r="B6" s="28"/>
      <c r="C6" s="28"/>
      <c r="D6" s="48"/>
      <c r="E6" s="48"/>
      <c r="F6" s="48"/>
      <c r="G6" s="48"/>
      <c r="H6" s="48"/>
      <c r="I6" s="48"/>
      <c r="J6" s="48"/>
      <c r="K6" s="23"/>
      <c r="L6" s="24">
        <f t="shared" si="0"/>
        <v>0</v>
      </c>
      <c r="M6" s="24">
        <f t="array" ref="M6">IF(J6="x",0,IF(ISBLANK(K6),0,IF(K7=0,MOD(INDEX(K7:$K$28, MATCH(FALSE, ISBLANK(K7:$K$28), 0))-K6,1),MOD(L6-K6,1))))</f>
        <v>0</v>
      </c>
      <c r="N6" s="25"/>
      <c r="O6" s="25"/>
      <c r="P6" s="25"/>
      <c r="Q6" s="26"/>
    </row>
    <row r="7" spans="1:17" ht="15.75" customHeight="1" x14ac:dyDescent="0.2">
      <c r="A7" s="22">
        <v>4</v>
      </c>
      <c r="B7" s="28"/>
      <c r="C7" s="28"/>
      <c r="D7" s="48"/>
      <c r="E7" s="48"/>
      <c r="F7" s="48"/>
      <c r="G7" s="48"/>
      <c r="H7" s="48"/>
      <c r="I7" s="48"/>
      <c r="J7" s="48"/>
      <c r="K7" s="23"/>
      <c r="L7" s="24">
        <f t="shared" si="0"/>
        <v>0</v>
      </c>
      <c r="M7" s="24">
        <f t="array" ref="M7">IF(J7="x",0,IF(ISBLANK(K7),0,IF(K8=0,MOD(INDEX(K8:$K$28, MATCH(FALSE, ISBLANK(K8:$K$28), 0))-K7,1),MOD(L7-K7,1))))</f>
        <v>0</v>
      </c>
      <c r="N7" s="25"/>
      <c r="O7" s="25"/>
      <c r="P7" s="25"/>
      <c r="Q7" s="26"/>
    </row>
    <row r="8" spans="1:17" ht="15.75" customHeight="1" x14ac:dyDescent="0.2">
      <c r="A8" s="22">
        <v>5</v>
      </c>
      <c r="B8" s="28"/>
      <c r="C8" s="28"/>
      <c r="D8" s="48"/>
      <c r="E8" s="48"/>
      <c r="F8" s="48"/>
      <c r="G8" s="48"/>
      <c r="H8" s="48"/>
      <c r="I8" s="48"/>
      <c r="J8" s="48"/>
      <c r="K8" s="23"/>
      <c r="L8" s="24">
        <f t="shared" si="0"/>
        <v>0</v>
      </c>
      <c r="M8" s="24">
        <f t="array" ref="M8">IF(J8="x",0,IF(ISBLANK(K8),0,IF(K9=0,MOD(INDEX(K9:$K$28, MATCH(FALSE, ISBLANK(K9:$K$28), 0))-K8,1),MOD(L8-K8,1))))</f>
        <v>0</v>
      </c>
      <c r="N8" s="25"/>
      <c r="O8" s="25"/>
      <c r="P8" s="25"/>
      <c r="Q8" s="29"/>
    </row>
    <row r="9" spans="1:17" ht="15.75" customHeight="1" x14ac:dyDescent="0.2">
      <c r="A9" s="22">
        <v>6</v>
      </c>
      <c r="B9" s="28"/>
      <c r="C9" s="28"/>
      <c r="D9" s="48"/>
      <c r="E9" s="48"/>
      <c r="F9" s="48"/>
      <c r="G9" s="48"/>
      <c r="H9" s="48"/>
      <c r="I9" s="48"/>
      <c r="J9" s="48"/>
      <c r="K9" s="23"/>
      <c r="L9" s="24">
        <f t="shared" si="0"/>
        <v>0</v>
      </c>
      <c r="M9" s="24">
        <f t="array" ref="M9">IF(J9="x",0,IF(ISBLANK(K9),0,IF(K10=0,MOD(INDEX(K10:$K$28, MATCH(FALSE, ISBLANK(K10:$K$28), 0))-K9,1),MOD(L9-K9,1))))</f>
        <v>0</v>
      </c>
      <c r="N9" s="25"/>
      <c r="O9" s="25"/>
      <c r="P9" s="25"/>
      <c r="Q9" s="26"/>
    </row>
    <row r="10" spans="1:17" ht="15.75" customHeight="1" x14ac:dyDescent="0.2">
      <c r="A10" s="22">
        <v>7</v>
      </c>
      <c r="B10" s="28"/>
      <c r="C10" s="28"/>
      <c r="D10" s="48"/>
      <c r="E10" s="48"/>
      <c r="F10" s="48"/>
      <c r="G10" s="48"/>
      <c r="H10" s="48"/>
      <c r="I10" s="48"/>
      <c r="J10" s="48"/>
      <c r="K10" s="23"/>
      <c r="L10" s="24">
        <f t="shared" si="0"/>
        <v>0</v>
      </c>
      <c r="M10" s="24">
        <f t="array" ref="M10">IF(J10="x",0,IF(ISBLANK(K10),0,IF(K11=0,MOD(INDEX(K11:$K$28, MATCH(FALSE, ISBLANK(K11:$K$28), 0))-K10,1),MOD(L10-K10,1))))</f>
        <v>0</v>
      </c>
      <c r="N10" s="25"/>
      <c r="O10" s="25"/>
      <c r="P10" s="25"/>
      <c r="Q10" s="26"/>
    </row>
    <row r="11" spans="1:17" ht="15.75" customHeight="1" x14ac:dyDescent="0.2">
      <c r="A11" s="22">
        <v>8</v>
      </c>
      <c r="B11" s="28"/>
      <c r="C11" s="28"/>
      <c r="D11" s="48"/>
      <c r="E11" s="48"/>
      <c r="F11" s="48"/>
      <c r="G11" s="48"/>
      <c r="H11" s="48"/>
      <c r="I11" s="48"/>
      <c r="J11" s="48"/>
      <c r="K11" s="23"/>
      <c r="L11" s="24">
        <f t="shared" si="0"/>
        <v>0</v>
      </c>
      <c r="M11" s="24">
        <f t="array" ref="M11">IF(J11="x",0,IF(ISBLANK(K11),0,IF(K12=0,MOD(INDEX(K12:$K$28, MATCH(FALSE, ISBLANK(K12:$K$28), 0))-K11,1),MOD(L11-K11,1))))</f>
        <v>0</v>
      </c>
      <c r="N11" s="25"/>
      <c r="O11" s="25"/>
      <c r="P11" s="25"/>
      <c r="Q11" s="26"/>
    </row>
    <row r="12" spans="1:17" ht="15.75" customHeight="1" x14ac:dyDescent="0.2">
      <c r="A12" s="22">
        <v>9</v>
      </c>
      <c r="B12" s="28"/>
      <c r="C12" s="28"/>
      <c r="D12" s="48"/>
      <c r="E12" s="48"/>
      <c r="F12" s="48"/>
      <c r="G12" s="48"/>
      <c r="H12" s="48"/>
      <c r="I12" s="48"/>
      <c r="J12" s="48"/>
      <c r="K12" s="23"/>
      <c r="L12" s="24">
        <f t="shared" si="0"/>
        <v>0</v>
      </c>
      <c r="M12" s="24">
        <f t="array" ref="M12">IF(J12="x",0,IF(ISBLANK(K12),0,IF(K13=0,MOD(INDEX(K13:$K$28, MATCH(FALSE, ISBLANK(K13:$K$28), 0))-K12,1),MOD(L12-K12,1))))</f>
        <v>0</v>
      </c>
      <c r="N12" s="25"/>
      <c r="O12" s="25"/>
      <c r="P12" s="25"/>
      <c r="Q12" s="26"/>
    </row>
    <row r="13" spans="1:17" ht="15.75" customHeight="1" x14ac:dyDescent="0.2">
      <c r="A13" s="22">
        <v>10</v>
      </c>
      <c r="B13" s="28"/>
      <c r="C13" s="28"/>
      <c r="D13" s="48"/>
      <c r="E13" s="48"/>
      <c r="F13" s="48"/>
      <c r="G13" s="48"/>
      <c r="H13" s="48"/>
      <c r="I13" s="48"/>
      <c r="J13" s="48"/>
      <c r="K13" s="23"/>
      <c r="L13" s="24">
        <f t="shared" si="0"/>
        <v>0</v>
      </c>
      <c r="M13" s="24">
        <f t="array" ref="M13">IF(J13="x",0,IF(ISBLANK(K13),0,IF(K14=0,MOD(INDEX(K14:$K$28, MATCH(FALSE, ISBLANK(K14:$K$28), 0))-K13,1),MOD(L13-K13,1))))</f>
        <v>0</v>
      </c>
      <c r="N13" s="30"/>
      <c r="O13" s="30"/>
      <c r="P13" s="25"/>
      <c r="Q13" s="26"/>
    </row>
    <row r="14" spans="1:17" ht="15.75" customHeight="1" x14ac:dyDescent="0.2">
      <c r="A14" s="22">
        <v>11</v>
      </c>
      <c r="B14" s="28"/>
      <c r="C14" s="28"/>
      <c r="D14" s="48"/>
      <c r="E14" s="48"/>
      <c r="F14" s="48"/>
      <c r="G14" s="48"/>
      <c r="H14" s="48"/>
      <c r="I14" s="48"/>
      <c r="J14" s="48"/>
      <c r="K14" s="23"/>
      <c r="L14" s="24">
        <f t="shared" si="0"/>
        <v>0</v>
      </c>
      <c r="M14" s="24">
        <f t="array" ref="M14">IF(J14="x",0,IF(ISBLANK(K14),0,IF(K15=0,MOD(INDEX(K15:$K$28, MATCH(FALSE, ISBLANK(K15:$K$28), 0))-K14,1),MOD(L14-K14,1))))</f>
        <v>0</v>
      </c>
      <c r="N14" s="30"/>
      <c r="O14" s="30"/>
      <c r="P14" s="25"/>
      <c r="Q14" s="26"/>
    </row>
    <row r="15" spans="1:17" ht="15.75" customHeight="1" x14ac:dyDescent="0.2">
      <c r="A15" s="22">
        <v>12</v>
      </c>
      <c r="B15" s="28"/>
      <c r="C15" s="28"/>
      <c r="D15" s="48"/>
      <c r="E15" s="48"/>
      <c r="F15" s="48"/>
      <c r="G15" s="48"/>
      <c r="H15" s="48"/>
      <c r="I15" s="48"/>
      <c r="J15" s="48"/>
      <c r="K15" s="23"/>
      <c r="L15" s="24">
        <f>IF(J15="x",K15,IF(ISBLANK(K16),0,K16))</f>
        <v>0</v>
      </c>
      <c r="M15" s="24">
        <f t="array" ref="M15">IF(J15="x",0,IF(ISBLANK(K15),0,IF(K16=0,MOD(INDEX(K16:$K$28, MATCH(FALSE, ISBLANK(K16:$K$28), 0))-K15,1),MOD(L15-K15,1))))</f>
        <v>0</v>
      </c>
      <c r="N15" s="25"/>
      <c r="O15" s="25"/>
      <c r="P15" s="25"/>
      <c r="Q15" s="26"/>
    </row>
    <row r="16" spans="1:17" ht="15.75" customHeight="1" x14ac:dyDescent="0.2">
      <c r="A16" s="22">
        <v>13</v>
      </c>
      <c r="B16" s="28"/>
      <c r="C16" s="28"/>
      <c r="D16" s="48"/>
      <c r="E16" s="48"/>
      <c r="F16" s="48"/>
      <c r="G16" s="48"/>
      <c r="H16" s="48"/>
      <c r="I16" s="48"/>
      <c r="J16" s="48"/>
      <c r="K16" s="23"/>
      <c r="L16" s="24">
        <f>IF(J16="x",K16,IF(ISBLANK(K17),0,K17))</f>
        <v>0</v>
      </c>
      <c r="M16" s="24">
        <f t="array" ref="M16">IF(J16="x",0,IF(ISBLANK(K16),0,IF(K17=0,MOD(INDEX(K17:$K$28, MATCH(FALSE, ISBLANK(K17:$K$28), 0))-K16,1),MOD(L16-K16,1))))</f>
        <v>0</v>
      </c>
      <c r="N16" s="25"/>
      <c r="O16" s="25"/>
      <c r="P16" s="25"/>
      <c r="Q16" s="26"/>
    </row>
    <row r="17" spans="1:17" ht="15.75" customHeight="1" x14ac:dyDescent="0.2">
      <c r="A17" s="22">
        <v>14</v>
      </c>
      <c r="B17" s="28"/>
      <c r="C17" s="28"/>
      <c r="D17" s="48"/>
      <c r="E17" s="48"/>
      <c r="F17" s="48"/>
      <c r="G17" s="48"/>
      <c r="H17" s="48"/>
      <c r="I17" s="48"/>
      <c r="J17" s="48"/>
      <c r="K17" s="23"/>
      <c r="L17" s="24">
        <f>IF(J17="x",K17,IF(ISBLANK(K18),K18,0))</f>
        <v>0</v>
      </c>
      <c r="M17" s="24">
        <f t="array" ref="M17">IF(J17="x",0,IF(ISBLANK(K17),0,IF(K18=0,MOD(INDEX(K18:$K$28, MATCH(FALSE, ISBLANK(K18:$K$28), 0))-K17,1),MOD(L17-K17,1))))</f>
        <v>0</v>
      </c>
      <c r="N17" s="30"/>
      <c r="O17" s="30"/>
      <c r="P17" s="25"/>
      <c r="Q17" s="26"/>
    </row>
    <row r="18" spans="1:17" ht="15.75" customHeight="1" x14ac:dyDescent="0.2">
      <c r="A18" s="22">
        <v>15</v>
      </c>
      <c r="B18" s="28"/>
      <c r="C18" s="28"/>
      <c r="D18" s="48"/>
      <c r="E18" s="48"/>
      <c r="F18" s="48"/>
      <c r="G18" s="48"/>
      <c r="H18" s="48"/>
      <c r="I18" s="48"/>
      <c r="J18" s="48"/>
      <c r="K18" s="23"/>
      <c r="L18" s="24">
        <f t="shared" ref="L18:L27" si="1">IF(J18="x",K18,K19)</f>
        <v>0</v>
      </c>
      <c r="M18" s="24">
        <f t="array" ref="M18">IF(J18="x",0,IF(ISBLANK(K18),0,IF(K19=0,MOD(INDEX(K19:$K$28, MATCH(FALSE, ISBLANK(K19:$K$28), 0))-K18,1),MOD(L18-K18,1))))</f>
        <v>0</v>
      </c>
      <c r="N18" s="25"/>
      <c r="O18" s="25"/>
      <c r="P18" s="25"/>
      <c r="Q18" s="26"/>
    </row>
    <row r="19" spans="1:17" ht="15.75" customHeight="1" x14ac:dyDescent="0.2">
      <c r="A19" s="22">
        <v>16</v>
      </c>
      <c r="B19" s="28"/>
      <c r="C19" s="28"/>
      <c r="D19" s="48"/>
      <c r="E19" s="48"/>
      <c r="F19" s="48"/>
      <c r="G19" s="48"/>
      <c r="H19" s="48"/>
      <c r="I19" s="48"/>
      <c r="J19" s="48"/>
      <c r="K19" s="23"/>
      <c r="L19" s="24">
        <f t="shared" si="1"/>
        <v>0</v>
      </c>
      <c r="M19" s="24">
        <f t="array" ref="M19">IF(J19="x",0,IF(ISBLANK(K19),0,IF(K20=0,MOD(INDEX(K20:$K$28, MATCH(FALSE, ISBLANK(K20:$K$28), 0))-K19,1),MOD(L19-K19,1))))</f>
        <v>0</v>
      </c>
      <c r="N19" s="30"/>
      <c r="O19" s="30"/>
      <c r="P19" s="25"/>
      <c r="Q19" s="26"/>
    </row>
    <row r="20" spans="1:17" ht="15.75" customHeight="1" x14ac:dyDescent="0.2">
      <c r="A20" s="22">
        <v>17</v>
      </c>
      <c r="B20" s="28"/>
      <c r="C20" s="28"/>
      <c r="D20" s="49"/>
      <c r="E20" s="49"/>
      <c r="F20" s="49"/>
      <c r="G20" s="49"/>
      <c r="H20" s="49"/>
      <c r="I20" s="49"/>
      <c r="J20" s="49"/>
      <c r="K20" s="23"/>
      <c r="L20" s="24">
        <f t="shared" si="1"/>
        <v>0</v>
      </c>
      <c r="M20" s="24">
        <f t="array" ref="M20">IF(J20="x",0,IF(ISBLANK(K20),0,IF(K21=0,MOD(INDEX(K21:$K$28, MATCH(FALSE, ISBLANK(K21:$K$28), 0))-K20,1),MOD(L20-K20,1))))</f>
        <v>0</v>
      </c>
      <c r="N20" s="25"/>
      <c r="O20" s="25"/>
      <c r="P20" s="25"/>
      <c r="Q20" s="26"/>
    </row>
    <row r="21" spans="1:17" ht="15.75" customHeight="1" x14ac:dyDescent="0.2">
      <c r="A21" s="22">
        <v>18</v>
      </c>
      <c r="B21" s="28"/>
      <c r="C21" s="28"/>
      <c r="D21" s="49"/>
      <c r="E21" s="49"/>
      <c r="F21" s="49"/>
      <c r="G21" s="49"/>
      <c r="H21" s="49"/>
      <c r="I21" s="49"/>
      <c r="J21" s="49"/>
      <c r="K21" s="23"/>
      <c r="L21" s="24">
        <f t="shared" si="1"/>
        <v>0</v>
      </c>
      <c r="M21" s="24">
        <f t="array" ref="M21">IF(J21="x",0,IF(ISBLANK(K21),0,IF(K22=0,MOD(INDEX(K22:$K$28, MATCH(FALSE, ISBLANK(K22:$K$28), 0))-K21,1),MOD(L21-K21,1))))</f>
        <v>0</v>
      </c>
      <c r="N21" s="25"/>
      <c r="O21" s="25"/>
      <c r="P21" s="25"/>
      <c r="Q21" s="26"/>
    </row>
    <row r="22" spans="1:17" ht="15.75" customHeight="1" x14ac:dyDescent="0.2">
      <c r="A22" s="22">
        <v>19</v>
      </c>
      <c r="B22" s="28"/>
      <c r="C22" s="28"/>
      <c r="D22" s="49"/>
      <c r="E22" s="49"/>
      <c r="F22" s="49"/>
      <c r="G22" s="49"/>
      <c r="H22" s="49"/>
      <c r="I22" s="49"/>
      <c r="J22" s="49"/>
      <c r="K22" s="23"/>
      <c r="L22" s="24">
        <f t="shared" si="1"/>
        <v>0</v>
      </c>
      <c r="M22" s="24">
        <f t="array" ref="M22">IF(J22="x",0,IF(ISBLANK(K22),0,IF(K23=0,MOD(INDEX(K23:$K$28, MATCH(FALSE, ISBLANK(K23:$K$28), 0))-K22,1),MOD(L22-K22,1))))</f>
        <v>0</v>
      </c>
      <c r="N22" s="25"/>
      <c r="O22" s="25"/>
      <c r="P22" s="25"/>
      <c r="Q22" s="26"/>
    </row>
    <row r="23" spans="1:17" ht="15.75" customHeight="1" x14ac:dyDescent="0.2">
      <c r="A23" s="22">
        <v>20</v>
      </c>
      <c r="B23" s="28"/>
      <c r="C23" s="28"/>
      <c r="D23" s="49"/>
      <c r="E23" s="49"/>
      <c r="F23" s="49"/>
      <c r="G23" s="49"/>
      <c r="H23" s="49"/>
      <c r="I23" s="49"/>
      <c r="J23" s="49"/>
      <c r="K23" s="23"/>
      <c r="L23" s="24">
        <f t="shared" si="1"/>
        <v>0</v>
      </c>
      <c r="M23" s="24">
        <f t="array" ref="M23">IF(J23="x",0,IF(ISBLANK(K23),0,IF(K24=0,MOD(INDEX(K24:$K$28, MATCH(FALSE, ISBLANK(K24:$K$28), 0))-K23,1),MOD(L23-K23,1))))</f>
        <v>0</v>
      </c>
      <c r="N23" s="30"/>
      <c r="O23" s="30"/>
      <c r="P23" s="25"/>
      <c r="Q23" s="26"/>
    </row>
    <row r="24" spans="1:17" ht="15.75" customHeight="1" x14ac:dyDescent="0.2">
      <c r="A24" s="22">
        <v>21</v>
      </c>
      <c r="B24" s="28"/>
      <c r="C24" s="28"/>
      <c r="D24" s="49"/>
      <c r="E24" s="49"/>
      <c r="F24" s="49"/>
      <c r="G24" s="49"/>
      <c r="H24" s="49"/>
      <c r="I24" s="49"/>
      <c r="J24" s="49"/>
      <c r="K24" s="23"/>
      <c r="L24" s="24">
        <f t="shared" si="1"/>
        <v>0</v>
      </c>
      <c r="M24" s="24">
        <f t="array" ref="M24">IF(J24="x",0,IF(ISBLANK(K24),0,IF(K25=0,MOD(INDEX(K25:$K$28, MATCH(FALSE, ISBLANK(K25:$K$28), 0))-K24,1),MOD(L24-K24,1))))</f>
        <v>0</v>
      </c>
      <c r="N24" s="25"/>
      <c r="O24" s="25"/>
      <c r="P24" s="25"/>
      <c r="Q24" s="26"/>
    </row>
    <row r="25" spans="1:17" ht="15.75" customHeight="1" x14ac:dyDescent="0.2">
      <c r="A25" s="22">
        <v>22</v>
      </c>
      <c r="B25" s="28"/>
      <c r="C25" s="28"/>
      <c r="D25" s="49"/>
      <c r="E25" s="49"/>
      <c r="F25" s="49"/>
      <c r="G25" s="49"/>
      <c r="H25" s="49"/>
      <c r="I25" s="49"/>
      <c r="J25" s="49"/>
      <c r="K25" s="23"/>
      <c r="L25" s="24">
        <f t="shared" si="1"/>
        <v>0</v>
      </c>
      <c r="M25" s="24">
        <f t="array" ref="M25">IF(J25="x",0,IF(ISBLANK(K25),0,IF(K26=0,MOD(INDEX(K26:$K$28, MATCH(FALSE, ISBLANK(K26:$K$28), 0))-K25,1),MOD(L25-K25,1))))</f>
        <v>0</v>
      </c>
      <c r="N25" s="25"/>
      <c r="O25" s="25"/>
      <c r="P25" s="25"/>
      <c r="Q25" s="26"/>
    </row>
    <row r="26" spans="1:17" ht="15.75" customHeight="1" x14ac:dyDescent="0.2">
      <c r="A26" s="22">
        <v>23</v>
      </c>
      <c r="B26" s="28"/>
      <c r="C26" s="28"/>
      <c r="D26" s="49"/>
      <c r="E26" s="49"/>
      <c r="F26" s="49"/>
      <c r="G26" s="49"/>
      <c r="H26" s="49"/>
      <c r="I26" s="49"/>
      <c r="J26" s="49"/>
      <c r="K26" s="23"/>
      <c r="L26" s="24">
        <f t="shared" si="1"/>
        <v>0</v>
      </c>
      <c r="M26" s="24">
        <f t="array" ref="M26">IF(J26="x",0,IF(ISBLANK(K26),0,IF(K27=0,MOD(INDEX(K27:$K$28, MATCH(FALSE, ISBLANK(K27:$K$28), 0))-K26,1),MOD(L26-K26,1))))</f>
        <v>0</v>
      </c>
      <c r="N26" s="25"/>
      <c r="O26" s="25"/>
      <c r="P26" s="25"/>
      <c r="Q26" s="26"/>
    </row>
    <row r="27" spans="1:17" ht="15.75" customHeight="1" x14ac:dyDescent="0.2">
      <c r="A27" s="22">
        <v>24</v>
      </c>
      <c r="B27" s="28"/>
      <c r="C27" s="28"/>
      <c r="D27" s="49"/>
      <c r="E27" s="49"/>
      <c r="F27" s="49"/>
      <c r="G27" s="49"/>
      <c r="H27" s="49"/>
      <c r="I27" s="49"/>
      <c r="J27" s="49"/>
      <c r="K27" s="23"/>
      <c r="L27" s="24">
        <f t="shared" si="1"/>
        <v>0</v>
      </c>
      <c r="M27" s="24">
        <f t="array" ref="M27">IF(J27="x",0,IF(ISBLANK(K27),0,IF(K28=0,MOD(INDEX(K28:$K$28, MATCH(FALSE, ISBLANK(K28:$K$28), 0))-K27,1),MOD(L27-K27,1))))</f>
        <v>0</v>
      </c>
      <c r="N27" s="25"/>
      <c r="O27" s="25"/>
      <c r="P27" s="25"/>
      <c r="Q27" s="26"/>
    </row>
    <row r="28" spans="1:17" ht="15.75" customHeight="1" thickBot="1" x14ac:dyDescent="0.25">
      <c r="A28" s="22">
        <v>25</v>
      </c>
      <c r="B28" s="50"/>
      <c r="C28" s="28"/>
      <c r="D28" s="31"/>
      <c r="E28" s="31"/>
      <c r="F28" s="31"/>
      <c r="G28" s="31"/>
      <c r="H28" s="31"/>
      <c r="I28" s="31"/>
      <c r="J28" s="31"/>
      <c r="K28" s="23"/>
      <c r="L28" s="24">
        <f>IF(J28="x",K28,K28)</f>
        <v>0</v>
      </c>
      <c r="M28" s="24">
        <f t="array" ref="M28">IF(J28="x",0,IF(ISBLANK(K28),0,IF(#REF!=0,MOD(INDEX(#REF!, MATCH(FALSE, ISBLANK(#REF!), 0))-K28,1),MOD(L28-K28,1))))</f>
        <v>0</v>
      </c>
      <c r="N28" s="25"/>
      <c r="O28" s="25"/>
      <c r="P28" s="25"/>
      <c r="Q28" s="26"/>
    </row>
    <row r="29" spans="1:17" s="6" customFormat="1" ht="21.75" customHeight="1" thickBot="1" x14ac:dyDescent="0.35">
      <c r="A29" s="32"/>
      <c r="B29" s="33"/>
      <c r="C29" s="53" t="s">
        <v>36</v>
      </c>
      <c r="D29" s="34"/>
      <c r="E29" s="35"/>
      <c r="F29" s="35"/>
      <c r="G29" s="35"/>
      <c r="H29" s="35"/>
      <c r="I29" s="35"/>
      <c r="J29" s="54" t="e">
        <f>SUM(#REF!,#REF!,'[2]6'!M31,'[3]4'!M31,'[4]5'!M31,'MASTER TOTAL'!M31)</f>
        <v>#REF!</v>
      </c>
      <c r="K29" s="33"/>
      <c r="L29" s="36" t="s">
        <v>33</v>
      </c>
      <c r="M29" s="37">
        <f>SUM(M4:M28)</f>
        <v>0</v>
      </c>
      <c r="N29" s="38"/>
      <c r="O29" s="38"/>
      <c r="P29" s="38"/>
      <c r="Q29" s="32"/>
    </row>
    <row r="30" spans="1:17" s="6" customFormat="1" ht="5.25" customHeight="1" thickBot="1" x14ac:dyDescent="0.35">
      <c r="A30" s="32"/>
      <c r="B30" s="33"/>
      <c r="C30" s="33"/>
      <c r="D30" s="39"/>
      <c r="E30" s="36"/>
      <c r="F30" s="36"/>
      <c r="G30" s="36"/>
      <c r="H30" s="36"/>
      <c r="I30" s="36"/>
      <c r="J30" s="36"/>
      <c r="K30" s="40"/>
      <c r="L30" s="36"/>
      <c r="M30" s="41"/>
      <c r="N30" s="38"/>
      <c r="O30" s="38"/>
      <c r="P30" s="38"/>
      <c r="Q30" s="32"/>
    </row>
    <row r="31" spans="1:17" s="6" customFormat="1" ht="21" thickBot="1" x14ac:dyDescent="0.35">
      <c r="A31" s="32"/>
      <c r="B31" s="33"/>
      <c r="C31" s="33"/>
      <c r="D31" s="51"/>
      <c r="E31" s="36"/>
      <c r="F31" s="36"/>
      <c r="G31" s="36"/>
      <c r="H31" s="36"/>
      <c r="I31" s="36"/>
      <c r="J31" s="36"/>
      <c r="K31" s="40"/>
      <c r="L31" s="36" t="s">
        <v>34</v>
      </c>
      <c r="M31" s="43">
        <f>(M29)*24</f>
        <v>0</v>
      </c>
      <c r="N31" s="38"/>
      <c r="O31" s="38"/>
      <c r="P31" s="38"/>
      <c r="Q31" s="32"/>
    </row>
    <row r="32" spans="1:17" s="6" customFormat="1" ht="4.5" customHeight="1" thickBot="1" x14ac:dyDescent="0.35">
      <c r="A32" s="33"/>
      <c r="B32" s="42"/>
      <c r="C32" s="42"/>
      <c r="D32" s="39"/>
      <c r="E32" s="36"/>
      <c r="F32" s="36"/>
      <c r="G32" s="36"/>
      <c r="H32" s="36"/>
      <c r="I32" s="36"/>
      <c r="J32" s="36"/>
      <c r="K32" s="44"/>
      <c r="L32" s="36"/>
      <c r="M32" s="45"/>
      <c r="N32" s="38"/>
      <c r="O32" s="38"/>
      <c r="P32" s="38"/>
      <c r="Q32" s="33"/>
    </row>
    <row r="33" spans="1:17" s="6" customFormat="1" ht="21" thickBot="1" x14ac:dyDescent="0.35">
      <c r="A33" s="33"/>
      <c r="B33" s="42"/>
      <c r="C33" s="42"/>
      <c r="D33" s="51"/>
      <c r="E33" s="36"/>
      <c r="F33" s="36"/>
      <c r="G33" s="36"/>
      <c r="H33" s="36"/>
      <c r="I33" s="36"/>
      <c r="J33" s="36"/>
      <c r="K33" s="44"/>
      <c r="L33" s="46" t="s">
        <v>35</v>
      </c>
      <c r="M33" s="47">
        <f>IF(M31&gt;8,M31-8,0)</f>
        <v>0</v>
      </c>
      <c r="N33" s="38"/>
      <c r="O33" s="38"/>
      <c r="P33" s="38"/>
      <c r="Q33" s="33"/>
    </row>
    <row r="34" spans="1:17" s="6" customFormat="1" ht="4.5" customHeight="1" thickBot="1" x14ac:dyDescent="0.35">
      <c r="A34" s="33"/>
      <c r="B34" s="42"/>
      <c r="C34" s="42"/>
      <c r="D34" s="39"/>
      <c r="E34" s="36"/>
      <c r="F34" s="36"/>
      <c r="G34" s="36"/>
      <c r="H34" s="36"/>
      <c r="I34" s="36"/>
      <c r="J34" s="36"/>
      <c r="K34" s="44"/>
      <c r="L34" s="46"/>
      <c r="M34" s="52"/>
      <c r="N34" s="38"/>
      <c r="O34" s="38"/>
      <c r="P34" s="33"/>
      <c r="Q34" s="33"/>
    </row>
    <row r="35" spans="1:17" s="6" customFormat="1" ht="19.5" customHeight="1" thickBot="1" x14ac:dyDescent="0.35">
      <c r="A35" s="33"/>
      <c r="B35" s="53"/>
      <c r="C35" s="42"/>
      <c r="D35" s="42"/>
      <c r="E35" s="33"/>
      <c r="F35" s="33"/>
      <c r="G35" s="33"/>
      <c r="H35" s="42"/>
      <c r="I35" s="42"/>
      <c r="J35" s="42"/>
      <c r="K35" s="42"/>
      <c r="L35" s="46" t="s">
        <v>37</v>
      </c>
      <c r="M35" s="47" t="e">
        <f>SUM(#REF!,#REF!,'[2]6'!M33,'[3]4'!M33,'[4]5'!M33,'MASTER TOTAL'!M33)</f>
        <v>#REF!</v>
      </c>
      <c r="N35" s="38"/>
      <c r="O35" s="38"/>
      <c r="P35" s="33"/>
      <c r="Q35" s="33"/>
    </row>
    <row r="36" spans="1:17" ht="4.5" customHeight="1" thickBot="1" x14ac:dyDescent="0.35">
      <c r="A36" s="55"/>
      <c r="B36" s="55"/>
      <c r="C36" s="55"/>
      <c r="D36" s="39"/>
      <c r="E36" s="36"/>
      <c r="F36" s="36"/>
      <c r="G36" s="36"/>
      <c r="H36" s="36"/>
      <c r="I36" s="36"/>
      <c r="J36" s="36"/>
      <c r="K36" s="44"/>
      <c r="L36" s="46"/>
      <c r="M36" s="52"/>
      <c r="N36" s="55"/>
      <c r="O36" s="55"/>
      <c r="P36" s="55"/>
      <c r="Q36" s="33"/>
    </row>
    <row r="37" spans="1:17" ht="21" thickBot="1" x14ac:dyDescent="0.35">
      <c r="A37" s="55"/>
      <c r="B37" s="55"/>
      <c r="C37" s="55"/>
      <c r="D37" s="54"/>
      <c r="E37" s="33"/>
      <c r="F37" s="33"/>
      <c r="G37" s="33"/>
      <c r="H37" s="42"/>
      <c r="I37" s="42"/>
      <c r="J37" s="42"/>
      <c r="K37" s="42"/>
      <c r="L37" s="46" t="s">
        <v>38</v>
      </c>
      <c r="M37" s="47" t="e">
        <f>IF(J29&lt;40, ,J29-40)</f>
        <v>#REF!</v>
      </c>
      <c r="N37" s="55"/>
      <c r="O37" s="55"/>
      <c r="P37" s="55"/>
      <c r="Q37" s="33"/>
    </row>
  </sheetData>
  <protectedRanges>
    <protectedRange sqref="N4:Q28" name="Range1_4_1"/>
  </protectedRanges>
  <dataValidations count="1">
    <dataValidation type="list" showInputMessage="1" showErrorMessage="1" sqref="C4:C28">
      <formula1>CA</formula1>
    </dataValidation>
  </dataValidations>
  <pageMargins left="0.7" right="0.7" top="0.75" bottom="0.75" header="0.3" footer="0.3"/>
  <pageSetup scale="44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I92"/>
  <sheetViews>
    <sheetView workbookViewId="0">
      <selection activeCell="I41" sqref="I41"/>
    </sheetView>
  </sheetViews>
  <sheetFormatPr defaultRowHeight="15" x14ac:dyDescent="0.25"/>
  <cols>
    <col min="1" max="1" width="3.42578125" bestFit="1" customWidth="1"/>
    <col min="9" max="9" width="34.28515625" bestFit="1" customWidth="1"/>
  </cols>
  <sheetData>
    <row r="1" spans="1:9" x14ac:dyDescent="0.25">
      <c r="I1" s="59" t="s">
        <v>190</v>
      </c>
    </row>
    <row r="2" spans="1:9" x14ac:dyDescent="0.25">
      <c r="I2" s="96" t="s">
        <v>191</v>
      </c>
    </row>
    <row r="3" spans="1:9" x14ac:dyDescent="0.25">
      <c r="I3" s="96" t="s">
        <v>192</v>
      </c>
    </row>
    <row r="4" spans="1:9" x14ac:dyDescent="0.25">
      <c r="I4" s="96" t="s">
        <v>193</v>
      </c>
    </row>
    <row r="5" spans="1:9" x14ac:dyDescent="0.25">
      <c r="I5" s="60" t="s">
        <v>120</v>
      </c>
    </row>
    <row r="6" spans="1:9" x14ac:dyDescent="0.25">
      <c r="I6" s="60" t="s">
        <v>121</v>
      </c>
    </row>
    <row r="7" spans="1:9" x14ac:dyDescent="0.25">
      <c r="I7" s="60" t="s">
        <v>122</v>
      </c>
    </row>
    <row r="8" spans="1:9" x14ac:dyDescent="0.25">
      <c r="I8" s="60" t="s">
        <v>123</v>
      </c>
    </row>
    <row r="9" spans="1:9" x14ac:dyDescent="0.25">
      <c r="I9" s="60" t="s">
        <v>124</v>
      </c>
    </row>
    <row r="10" spans="1:9" x14ac:dyDescent="0.25">
      <c r="A10" t="s">
        <v>69</v>
      </c>
      <c r="I10" s="60" t="s">
        <v>125</v>
      </c>
    </row>
    <row r="11" spans="1:9" x14ac:dyDescent="0.25">
      <c r="A11" t="s">
        <v>68</v>
      </c>
      <c r="I11" s="60" t="s">
        <v>126</v>
      </c>
    </row>
    <row r="12" spans="1:9" x14ac:dyDescent="0.25">
      <c r="I12" s="60" t="s">
        <v>162</v>
      </c>
    </row>
    <row r="13" spans="1:9" x14ac:dyDescent="0.25">
      <c r="I13" s="60" t="s">
        <v>163</v>
      </c>
    </row>
    <row r="14" spans="1:9" x14ac:dyDescent="0.25">
      <c r="I14" s="60" t="s">
        <v>175</v>
      </c>
    </row>
    <row r="15" spans="1:9" x14ac:dyDescent="0.25">
      <c r="I15" s="60" t="s">
        <v>164</v>
      </c>
    </row>
    <row r="16" spans="1:9" x14ac:dyDescent="0.25">
      <c r="I16" s="60" t="s">
        <v>182</v>
      </c>
    </row>
    <row r="17" spans="9:9" x14ac:dyDescent="0.25">
      <c r="I17" s="60" t="s">
        <v>165</v>
      </c>
    </row>
    <row r="18" spans="9:9" x14ac:dyDescent="0.25">
      <c r="I18" s="60" t="s">
        <v>166</v>
      </c>
    </row>
    <row r="19" spans="9:9" x14ac:dyDescent="0.25">
      <c r="I19" s="60" t="s">
        <v>167</v>
      </c>
    </row>
    <row r="20" spans="9:9" x14ac:dyDescent="0.25">
      <c r="I20" s="60" t="s">
        <v>168</v>
      </c>
    </row>
    <row r="21" spans="9:9" x14ac:dyDescent="0.25">
      <c r="I21" s="60" t="s">
        <v>169</v>
      </c>
    </row>
    <row r="22" spans="9:9" x14ac:dyDescent="0.25">
      <c r="I22" s="60" t="s">
        <v>170</v>
      </c>
    </row>
    <row r="23" spans="9:9" x14ac:dyDescent="0.25">
      <c r="I23" s="60" t="s">
        <v>171</v>
      </c>
    </row>
    <row r="24" spans="9:9" x14ac:dyDescent="0.25">
      <c r="I24" s="60" t="s">
        <v>62</v>
      </c>
    </row>
    <row r="25" spans="9:9" x14ac:dyDescent="0.25">
      <c r="I25" s="60" t="s">
        <v>172</v>
      </c>
    </row>
    <row r="26" spans="9:9" x14ac:dyDescent="0.25">
      <c r="I26" s="60" t="s">
        <v>183</v>
      </c>
    </row>
    <row r="27" spans="9:9" x14ac:dyDescent="0.25">
      <c r="I27" s="60" t="s">
        <v>173</v>
      </c>
    </row>
    <row r="28" spans="9:9" x14ac:dyDescent="0.25">
      <c r="I28" s="60" t="s">
        <v>174</v>
      </c>
    </row>
    <row r="29" spans="9:9" x14ac:dyDescent="0.25">
      <c r="I29" s="60" t="s">
        <v>176</v>
      </c>
    </row>
    <row r="30" spans="9:9" x14ac:dyDescent="0.25">
      <c r="I30" s="67" t="s">
        <v>220</v>
      </c>
    </row>
    <row r="31" spans="9:9" x14ac:dyDescent="0.25">
      <c r="I31" s="67" t="s">
        <v>221</v>
      </c>
    </row>
    <row r="32" spans="9:9" x14ac:dyDescent="0.25">
      <c r="I32" s="67" t="s">
        <v>222</v>
      </c>
    </row>
    <row r="33" spans="9:9" x14ac:dyDescent="0.25">
      <c r="I33" s="67" t="s">
        <v>223</v>
      </c>
    </row>
    <row r="34" spans="9:9" x14ac:dyDescent="0.25">
      <c r="I34" s="67" t="s">
        <v>224</v>
      </c>
    </row>
    <row r="35" spans="9:9" x14ac:dyDescent="0.25">
      <c r="I35" s="67" t="s">
        <v>225</v>
      </c>
    </row>
    <row r="36" spans="9:9" x14ac:dyDescent="0.25">
      <c r="I36" s="67" t="s">
        <v>226</v>
      </c>
    </row>
    <row r="37" spans="9:9" ht="15.75" thickBot="1" x14ac:dyDescent="0.3">
      <c r="I37" s="68" t="s">
        <v>227</v>
      </c>
    </row>
    <row r="38" spans="9:9" ht="15.75" thickBot="1" x14ac:dyDescent="0.3">
      <c r="I38" s="68" t="s">
        <v>228</v>
      </c>
    </row>
    <row r="39" spans="9:9" ht="15.75" thickBot="1" x14ac:dyDescent="0.3">
      <c r="I39" s="68" t="s">
        <v>229</v>
      </c>
    </row>
    <row r="41" spans="9:9" x14ac:dyDescent="0.25">
      <c r="I41" t="s">
        <v>1</v>
      </c>
    </row>
    <row r="42" spans="9:9" x14ac:dyDescent="0.25">
      <c r="I42" s="70" t="s">
        <v>70</v>
      </c>
    </row>
    <row r="43" spans="9:9" x14ac:dyDescent="0.25">
      <c r="I43" s="70" t="s">
        <v>71</v>
      </c>
    </row>
    <row r="44" spans="9:9" x14ac:dyDescent="0.25">
      <c r="I44" s="70" t="s">
        <v>72</v>
      </c>
    </row>
    <row r="45" spans="9:9" x14ac:dyDescent="0.25">
      <c r="I45" s="70" t="s">
        <v>73</v>
      </c>
    </row>
    <row r="46" spans="9:9" x14ac:dyDescent="0.25">
      <c r="I46" s="70" t="s">
        <v>74</v>
      </c>
    </row>
    <row r="47" spans="9:9" x14ac:dyDescent="0.25">
      <c r="I47" s="70" t="s">
        <v>75</v>
      </c>
    </row>
    <row r="48" spans="9:9" x14ac:dyDescent="0.25">
      <c r="I48" s="70" t="s">
        <v>76</v>
      </c>
    </row>
    <row r="49" spans="9:9" x14ac:dyDescent="0.25">
      <c r="I49" s="70" t="s">
        <v>77</v>
      </c>
    </row>
    <row r="50" spans="9:9" x14ac:dyDescent="0.25">
      <c r="I50" s="70" t="s">
        <v>78</v>
      </c>
    </row>
    <row r="51" spans="9:9" x14ac:dyDescent="0.25">
      <c r="I51" s="70" t="s">
        <v>127</v>
      </c>
    </row>
    <row r="52" spans="9:9" x14ac:dyDescent="0.25">
      <c r="I52" s="70" t="s">
        <v>79</v>
      </c>
    </row>
    <row r="53" spans="9:9" x14ac:dyDescent="0.25">
      <c r="I53" s="70" t="s">
        <v>80</v>
      </c>
    </row>
    <row r="54" spans="9:9" x14ac:dyDescent="0.25">
      <c r="I54" s="70" t="s">
        <v>81</v>
      </c>
    </row>
    <row r="55" spans="9:9" x14ac:dyDescent="0.25">
      <c r="I55" s="70" t="s">
        <v>82</v>
      </c>
    </row>
    <row r="56" spans="9:9" x14ac:dyDescent="0.25">
      <c r="I56" s="70" t="s">
        <v>83</v>
      </c>
    </row>
    <row r="57" spans="9:9" x14ac:dyDescent="0.25">
      <c r="I57" s="70" t="s">
        <v>84</v>
      </c>
    </row>
    <row r="58" spans="9:9" x14ac:dyDescent="0.25">
      <c r="I58" s="70" t="s">
        <v>85</v>
      </c>
    </row>
    <row r="59" spans="9:9" x14ac:dyDescent="0.25">
      <c r="I59" s="92" t="s">
        <v>148</v>
      </c>
    </row>
    <row r="60" spans="9:9" x14ac:dyDescent="0.25">
      <c r="I60" s="92" t="s">
        <v>149</v>
      </c>
    </row>
    <row r="61" spans="9:9" ht="25.5" x14ac:dyDescent="0.25">
      <c r="I61" s="92" t="s">
        <v>150</v>
      </c>
    </row>
    <row r="62" spans="9:9" x14ac:dyDescent="0.25">
      <c r="I62" s="92" t="s">
        <v>151</v>
      </c>
    </row>
    <row r="63" spans="9:9" ht="25.5" x14ac:dyDescent="0.25">
      <c r="I63" s="92" t="s">
        <v>152</v>
      </c>
    </row>
    <row r="64" spans="9:9" x14ac:dyDescent="0.25">
      <c r="I64" s="93" t="s">
        <v>153</v>
      </c>
    </row>
    <row r="65" spans="9:9" x14ac:dyDescent="0.25">
      <c r="I65" s="70" t="s">
        <v>86</v>
      </c>
    </row>
    <row r="66" spans="9:9" x14ac:dyDescent="0.25">
      <c r="I66" s="70" t="s">
        <v>87</v>
      </c>
    </row>
    <row r="67" spans="9:9" x14ac:dyDescent="0.25">
      <c r="I67" s="92" t="s">
        <v>154</v>
      </c>
    </row>
    <row r="68" spans="9:9" x14ac:dyDescent="0.25">
      <c r="I68" s="92" t="s">
        <v>155</v>
      </c>
    </row>
    <row r="69" spans="9:9" x14ac:dyDescent="0.25">
      <c r="I69" s="92" t="s">
        <v>156</v>
      </c>
    </row>
    <row r="70" spans="9:9" x14ac:dyDescent="0.25">
      <c r="I70" s="92" t="s">
        <v>157</v>
      </c>
    </row>
    <row r="71" spans="9:9" x14ac:dyDescent="0.25">
      <c r="I71" s="92" t="s">
        <v>158</v>
      </c>
    </row>
    <row r="72" spans="9:9" x14ac:dyDescent="0.25">
      <c r="I72" s="70" t="s">
        <v>88</v>
      </c>
    </row>
    <row r="73" spans="9:9" x14ac:dyDescent="0.25">
      <c r="I73" s="70" t="s">
        <v>89</v>
      </c>
    </row>
    <row r="74" spans="9:9" x14ac:dyDescent="0.25">
      <c r="I74" s="70" t="s">
        <v>90</v>
      </c>
    </row>
    <row r="75" spans="9:9" x14ac:dyDescent="0.25">
      <c r="I75" s="70" t="s">
        <v>91</v>
      </c>
    </row>
    <row r="76" spans="9:9" x14ac:dyDescent="0.25">
      <c r="I76" s="70" t="s">
        <v>92</v>
      </c>
    </row>
    <row r="77" spans="9:9" x14ac:dyDescent="0.25">
      <c r="I77" s="71" t="s">
        <v>93</v>
      </c>
    </row>
    <row r="78" spans="9:9" x14ac:dyDescent="0.25">
      <c r="I78" s="71" t="s">
        <v>94</v>
      </c>
    </row>
    <row r="79" spans="9:9" x14ac:dyDescent="0.25">
      <c r="I79" s="71" t="s">
        <v>95</v>
      </c>
    </row>
    <row r="80" spans="9:9" x14ac:dyDescent="0.25">
      <c r="I80" s="71" t="s">
        <v>96</v>
      </c>
    </row>
    <row r="81" spans="9:9" x14ac:dyDescent="0.25">
      <c r="I81" s="71" t="s">
        <v>97</v>
      </c>
    </row>
    <row r="82" spans="9:9" x14ac:dyDescent="0.25">
      <c r="I82" s="71" t="s">
        <v>98</v>
      </c>
    </row>
    <row r="83" spans="9:9" x14ac:dyDescent="0.25">
      <c r="I83" s="71" t="s">
        <v>99</v>
      </c>
    </row>
    <row r="84" spans="9:9" x14ac:dyDescent="0.25">
      <c r="I84" s="71" t="s">
        <v>100</v>
      </c>
    </row>
    <row r="85" spans="9:9" x14ac:dyDescent="0.25">
      <c r="I85" s="70" t="s">
        <v>101</v>
      </c>
    </row>
    <row r="86" spans="9:9" x14ac:dyDescent="0.25">
      <c r="I86" s="94" t="s">
        <v>161</v>
      </c>
    </row>
    <row r="87" spans="9:9" x14ac:dyDescent="0.25">
      <c r="I87" s="95" t="s">
        <v>184</v>
      </c>
    </row>
    <row r="88" spans="9:9" x14ac:dyDescent="0.25">
      <c r="I88" s="90" t="s">
        <v>185</v>
      </c>
    </row>
    <row r="89" spans="9:9" x14ac:dyDescent="0.25">
      <c r="I89" s="90" t="s">
        <v>187</v>
      </c>
    </row>
    <row r="90" spans="9:9" x14ac:dyDescent="0.25">
      <c r="I90" s="91" t="s">
        <v>186</v>
      </c>
    </row>
    <row r="91" spans="9:9" x14ac:dyDescent="0.25">
      <c r="I91" s="72" t="s">
        <v>188</v>
      </c>
    </row>
    <row r="92" spans="9:9" x14ac:dyDescent="0.25">
      <c r="I92" s="70" t="s">
        <v>189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BatchCreate</vt:lpstr>
      <vt:lpstr>MAIN</vt:lpstr>
      <vt:lpstr>TOTAL</vt:lpstr>
      <vt:lpstr>MASTER</vt:lpstr>
      <vt:lpstr>MASTER TOTAL</vt:lpstr>
      <vt:lpstr>Categories</vt:lpstr>
      <vt:lpstr>CA</vt:lpstr>
      <vt:lpstr>'MASTER TOTAL'!Print_Area</vt:lpstr>
      <vt:lpstr>Subject</vt:lpstr>
      <vt:lpstr>TX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admin</cp:lastModifiedBy>
  <dcterms:created xsi:type="dcterms:W3CDTF">2017-09-02T00:40:50Z</dcterms:created>
  <dcterms:modified xsi:type="dcterms:W3CDTF">2018-02-06T18:29:41Z</dcterms:modified>
</cp:coreProperties>
</file>