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9.xml" ContentType="application/vnd.openxmlformats-officedocument.drawing+xml"/>
  <Override PartName="/xl/charts/chart20.xml" ContentType="application/vnd.openxmlformats-officedocument.drawingml.chart+xml"/>
  <Override PartName="/xl/drawings/drawing10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2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TOTALS Macros\"/>
    </mc:Choice>
  </mc:AlternateContent>
  <bookViews>
    <workbookView xWindow="0" yWindow="0" windowWidth="17535" windowHeight="9570" activeTab="2"/>
  </bookViews>
  <sheets>
    <sheet name="SunDates" sheetId="29" r:id="rId1"/>
    <sheet name="Categories" sheetId="15" r:id="rId2"/>
    <sheet name="FolderList" sheetId="1" r:id="rId3"/>
    <sheet name="EmplToDpts" sheetId="4" r:id="rId4"/>
    <sheet name="TX_Management" sheetId="24" r:id="rId5"/>
    <sheet name="Bookkeepers" sheetId="17" r:id="rId6"/>
    <sheet name="Dispatchers" sheetId="19" r:id="rId7"/>
    <sheet name="Researchers" sheetId="20" r:id="rId8"/>
    <sheet name="Schedulers" sheetId="18" r:id="rId9"/>
    <sheet name="Billing" sheetId="22" r:id="rId10"/>
    <sheet name="Operational" sheetId="23" r:id="rId11"/>
    <sheet name="Insurance" sheetId="25" r:id="rId12"/>
    <sheet name="HR-Marketing" sheetId="26" r:id="rId13"/>
    <sheet name="Frontdesk" sheetId="27" r:id="rId14"/>
    <sheet name="IT" sheetId="28" r:id="rId15"/>
    <sheet name="TOTALS_THRU @02-02-2018" sheetId="37" r:id="rId16"/>
  </sheets>
  <functionGroups builtInGroupCount="18"/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CA">Categories!$I$1:$I$39</definedName>
    <definedName name="Subject">[1]MAIN!$O$76:$O$77</definedName>
    <definedName name="test">"{""alfa"";""beta"";""theta"";""gamma""}"</definedName>
    <definedName name="TX">Categories!$I$42:$I$92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43" i="22" l="1"/>
  <c r="AO4" i="22"/>
  <c r="AL43" i="22"/>
  <c r="AM42" i="22"/>
  <c r="AJ43" i="22"/>
  <c r="AK4" i="22"/>
  <c r="AH43" i="22"/>
  <c r="AI42" i="22"/>
  <c r="AF43" i="22"/>
  <c r="AO5" i="22" s="1"/>
  <c r="AG4" i="22"/>
  <c r="AG5" i="22"/>
  <c r="AG6" i="22"/>
  <c r="AG7" i="22"/>
  <c r="AG8" i="22"/>
  <c r="AG9" i="22"/>
  <c r="AG10" i="22"/>
  <c r="AG11" i="22"/>
  <c r="AG12" i="22"/>
  <c r="AG13" i="22"/>
  <c r="AG14" i="22"/>
  <c r="AG15" i="22"/>
  <c r="AG16" i="22"/>
  <c r="AG17" i="22"/>
  <c r="AG18" i="22"/>
  <c r="AG19" i="22"/>
  <c r="AG20" i="22"/>
  <c r="AG21" i="22"/>
  <c r="AG22" i="22"/>
  <c r="AG23" i="22"/>
  <c r="AG24" i="22"/>
  <c r="AG25" i="22"/>
  <c r="AG26" i="22"/>
  <c r="AG27" i="22"/>
  <c r="AG28" i="22"/>
  <c r="AG29" i="22"/>
  <c r="AG30" i="22"/>
  <c r="AG31" i="22"/>
  <c r="AG32" i="22"/>
  <c r="AG33" i="22"/>
  <c r="AG34" i="22"/>
  <c r="AG35" i="22"/>
  <c r="AG36" i="22"/>
  <c r="AG37" i="22"/>
  <c r="AG38" i="22"/>
  <c r="AG39" i="22"/>
  <c r="AG40" i="22"/>
  <c r="AG41" i="22"/>
  <c r="AG42" i="22"/>
  <c r="AN43" i="23"/>
  <c r="AL43" i="23"/>
  <c r="AJ43" i="23"/>
  <c r="AH43" i="23"/>
  <c r="AF43" i="23"/>
  <c r="AO5" i="23" s="1"/>
  <c r="AG18" i="23"/>
  <c r="AG26" i="23"/>
  <c r="AG34" i="23"/>
  <c r="AG42" i="23"/>
  <c r="J43" i="28"/>
  <c r="H43" i="28"/>
  <c r="F43" i="28"/>
  <c r="D43" i="28"/>
  <c r="B43" i="28"/>
  <c r="K5" i="28" s="1"/>
  <c r="AX43" i="18"/>
  <c r="AV43" i="18"/>
  <c r="AT43" i="18"/>
  <c r="AR43" i="18"/>
  <c r="AP43" i="18"/>
  <c r="AY5" i="18" s="1"/>
  <c r="AD43" i="22"/>
  <c r="AB43" i="22"/>
  <c r="Z43" i="22"/>
  <c r="X43" i="22"/>
  <c r="V43" i="22"/>
  <c r="W4" i="22" s="1"/>
  <c r="T43" i="22"/>
  <c r="R43" i="22"/>
  <c r="P43" i="22"/>
  <c r="N43" i="22"/>
  <c r="L43" i="22"/>
  <c r="U5" i="22" s="1"/>
  <c r="M5" i="22"/>
  <c r="M7" i="22"/>
  <c r="M9" i="22"/>
  <c r="M11" i="22"/>
  <c r="M13" i="22"/>
  <c r="M15" i="22"/>
  <c r="M17" i="22"/>
  <c r="M19" i="22"/>
  <c r="M21" i="22"/>
  <c r="M23" i="22"/>
  <c r="M25" i="22"/>
  <c r="M27" i="22"/>
  <c r="M29" i="22"/>
  <c r="M31" i="22"/>
  <c r="M33" i="22"/>
  <c r="M35" i="22"/>
  <c r="M37" i="22"/>
  <c r="M39" i="22"/>
  <c r="M41" i="22"/>
  <c r="M42" i="22"/>
  <c r="AN43" i="18"/>
  <c r="AL43" i="18"/>
  <c r="AJ43" i="18"/>
  <c r="AH43" i="18"/>
  <c r="AF43" i="18"/>
  <c r="AG4" i="18" s="1"/>
  <c r="AG29" i="18"/>
  <c r="J43" i="25"/>
  <c r="H43" i="25"/>
  <c r="F43" i="25"/>
  <c r="D43" i="25"/>
  <c r="B43" i="25"/>
  <c r="K5" i="25" s="1"/>
  <c r="J43" i="22"/>
  <c r="H43" i="22"/>
  <c r="F43" i="22"/>
  <c r="D43" i="22"/>
  <c r="B43" i="22"/>
  <c r="K5" i="22" s="1"/>
  <c r="C11" i="22"/>
  <c r="C19" i="22"/>
  <c r="C27" i="22"/>
  <c r="C35" i="22"/>
  <c r="J55" i="20"/>
  <c r="H55" i="20"/>
  <c r="F55" i="20"/>
  <c r="D55" i="20"/>
  <c r="B55" i="20"/>
  <c r="C5" i="20" s="1"/>
  <c r="J43" i="18"/>
  <c r="H43" i="18"/>
  <c r="F43" i="18"/>
  <c r="D43" i="18"/>
  <c r="B43" i="18"/>
  <c r="C4" i="18" s="1"/>
  <c r="T43" i="26"/>
  <c r="R43" i="26"/>
  <c r="P43" i="26"/>
  <c r="N43" i="26"/>
  <c r="L43" i="26"/>
  <c r="U5" i="26" s="1"/>
  <c r="M5" i="26"/>
  <c r="M7" i="26"/>
  <c r="M9" i="26"/>
  <c r="M11" i="26"/>
  <c r="M13" i="26"/>
  <c r="M15" i="26"/>
  <c r="M17" i="26"/>
  <c r="M19" i="26"/>
  <c r="M21" i="26"/>
  <c r="M23" i="26"/>
  <c r="M25" i="26"/>
  <c r="M27" i="26"/>
  <c r="M29" i="26"/>
  <c r="M31" i="26"/>
  <c r="M33" i="26"/>
  <c r="M35" i="26"/>
  <c r="M37" i="26"/>
  <c r="M39" i="26"/>
  <c r="M41" i="26"/>
  <c r="J43" i="23"/>
  <c r="H43" i="23"/>
  <c r="F43" i="23"/>
  <c r="D43" i="23"/>
  <c r="B43" i="23"/>
  <c r="K5" i="23" s="1"/>
  <c r="C15" i="23"/>
  <c r="C19" i="23"/>
  <c r="C23" i="23"/>
  <c r="C27" i="23"/>
  <c r="C31" i="23"/>
  <c r="C35" i="23"/>
  <c r="C39" i="23"/>
  <c r="J43" i="26"/>
  <c r="K4" i="26"/>
  <c r="H43" i="26"/>
  <c r="I42" i="26"/>
  <c r="F43" i="26"/>
  <c r="G4" i="26"/>
  <c r="D43" i="26"/>
  <c r="E42" i="26"/>
  <c r="B43" i="26"/>
  <c r="K5" i="26" s="1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AI10" i="22" l="1"/>
  <c r="AK36" i="22"/>
  <c r="AM10" i="22"/>
  <c r="AO36" i="22"/>
  <c r="AI26" i="22"/>
  <c r="AK20" i="22"/>
  <c r="AM26" i="22"/>
  <c r="AO20" i="22"/>
  <c r="AI34" i="22"/>
  <c r="AI18" i="22"/>
  <c r="AK28" i="22"/>
  <c r="AK12" i="22"/>
  <c r="AM34" i="22"/>
  <c r="AM18" i="22"/>
  <c r="AO28" i="22"/>
  <c r="AO12" i="22"/>
  <c r="AI38" i="22"/>
  <c r="AI30" i="22"/>
  <c r="AI22" i="22"/>
  <c r="AI14" i="22"/>
  <c r="AI6" i="22"/>
  <c r="AK40" i="22"/>
  <c r="AK32" i="22"/>
  <c r="AK24" i="22"/>
  <c r="AK16" i="22"/>
  <c r="AK8" i="22"/>
  <c r="AM38" i="22"/>
  <c r="AM30" i="22"/>
  <c r="AM22" i="22"/>
  <c r="AM14" i="22"/>
  <c r="AM6" i="22"/>
  <c r="AO40" i="22"/>
  <c r="AO32" i="22"/>
  <c r="AO24" i="22"/>
  <c r="AO16" i="22"/>
  <c r="AO8" i="22"/>
  <c r="AI40" i="22"/>
  <c r="AI36" i="22"/>
  <c r="AI32" i="22"/>
  <c r="AI28" i="22"/>
  <c r="AI24" i="22"/>
  <c r="AI20" i="22"/>
  <c r="AI16" i="22"/>
  <c r="AI12" i="22"/>
  <c r="AI8" i="22"/>
  <c r="AI4" i="22"/>
  <c r="AK42" i="22"/>
  <c r="AK38" i="22"/>
  <c r="AK34" i="22"/>
  <c r="AK30" i="22"/>
  <c r="AK26" i="22"/>
  <c r="AK22" i="22"/>
  <c r="AK18" i="22"/>
  <c r="AK14" i="22"/>
  <c r="AK10" i="22"/>
  <c r="AK6" i="22"/>
  <c r="AM40" i="22"/>
  <c r="AM36" i="22"/>
  <c r="AM32" i="22"/>
  <c r="AM28" i="22"/>
  <c r="AM24" i="22"/>
  <c r="AM20" i="22"/>
  <c r="AM16" i="22"/>
  <c r="AM12" i="22"/>
  <c r="AM8" i="22"/>
  <c r="AM4" i="22"/>
  <c r="AO42" i="22"/>
  <c r="AO38" i="22"/>
  <c r="AO34" i="22"/>
  <c r="AO30" i="22"/>
  <c r="AO26" i="22"/>
  <c r="AO22" i="22"/>
  <c r="AO18" i="22"/>
  <c r="AO14" i="22"/>
  <c r="AO10" i="22"/>
  <c r="AO6" i="22"/>
  <c r="AI41" i="22"/>
  <c r="AI39" i="22"/>
  <c r="AI37" i="22"/>
  <c r="AI35" i="22"/>
  <c r="AI33" i="22"/>
  <c r="AI31" i="22"/>
  <c r="AI29" i="22"/>
  <c r="AI27" i="22"/>
  <c r="AI25" i="22"/>
  <c r="AI23" i="22"/>
  <c r="AI21" i="22"/>
  <c r="AI19" i="22"/>
  <c r="AI17" i="22"/>
  <c r="AI15" i="22"/>
  <c r="AI13" i="22"/>
  <c r="AI11" i="22"/>
  <c r="AI9" i="22"/>
  <c r="AI7" i="22"/>
  <c r="AI5" i="22"/>
  <c r="AK41" i="22"/>
  <c r="AK39" i="22"/>
  <c r="AK37" i="22"/>
  <c r="AK35" i="22"/>
  <c r="AK33" i="22"/>
  <c r="AK31" i="22"/>
  <c r="AK29" i="22"/>
  <c r="AK27" i="22"/>
  <c r="AK25" i="22"/>
  <c r="AK23" i="22"/>
  <c r="AK21" i="22"/>
  <c r="AK19" i="22"/>
  <c r="AK17" i="22"/>
  <c r="AK15" i="22"/>
  <c r="AK13" i="22"/>
  <c r="AK11" i="22"/>
  <c r="AK9" i="22"/>
  <c r="AK7" i="22"/>
  <c r="AK5" i="22"/>
  <c r="AM41" i="22"/>
  <c r="AM39" i="22"/>
  <c r="AM37" i="22"/>
  <c r="AM35" i="22"/>
  <c r="AM33" i="22"/>
  <c r="AM31" i="22"/>
  <c r="AM29" i="22"/>
  <c r="AM27" i="22"/>
  <c r="AM25" i="22"/>
  <c r="AM23" i="22"/>
  <c r="AM21" i="22"/>
  <c r="AM19" i="22"/>
  <c r="AM17" i="22"/>
  <c r="AM15" i="22"/>
  <c r="AM13" i="22"/>
  <c r="AM11" i="22"/>
  <c r="AM9" i="22"/>
  <c r="AM7" i="22"/>
  <c r="AM5" i="22"/>
  <c r="AO41" i="22"/>
  <c r="AO39" i="22"/>
  <c r="AO37" i="22"/>
  <c r="AO35" i="22"/>
  <c r="AO33" i="22"/>
  <c r="AO31" i="22"/>
  <c r="AO29" i="22"/>
  <c r="AO27" i="22"/>
  <c r="AO25" i="22"/>
  <c r="AO23" i="22"/>
  <c r="AO21" i="22"/>
  <c r="AO19" i="22"/>
  <c r="AO17" i="22"/>
  <c r="AO15" i="22"/>
  <c r="AO13" i="22"/>
  <c r="AO11" i="22"/>
  <c r="AO9" i="22"/>
  <c r="AO7" i="22"/>
  <c r="AG38" i="23"/>
  <c r="AG30" i="23"/>
  <c r="AG22" i="23"/>
  <c r="AG11" i="23"/>
  <c r="AG40" i="23"/>
  <c r="AG36" i="23"/>
  <c r="AG32" i="23"/>
  <c r="AG28" i="23"/>
  <c r="AG24" i="23"/>
  <c r="AG20" i="23"/>
  <c r="AG15" i="23"/>
  <c r="AG7" i="23"/>
  <c r="AG41" i="23"/>
  <c r="AG39" i="23"/>
  <c r="AG37" i="23"/>
  <c r="AG35" i="23"/>
  <c r="AG33" i="23"/>
  <c r="AG31" i="23"/>
  <c r="AG29" i="23"/>
  <c r="AG27" i="23"/>
  <c r="AG25" i="23"/>
  <c r="AG23" i="23"/>
  <c r="AG21" i="23"/>
  <c r="AG19" i="23"/>
  <c r="AG17" i="23"/>
  <c r="AG13" i="23"/>
  <c r="AG9" i="23"/>
  <c r="AG5" i="23"/>
  <c r="AG16" i="23"/>
  <c r="AG14" i="23"/>
  <c r="AG12" i="23"/>
  <c r="AG10" i="23"/>
  <c r="AG8" i="23"/>
  <c r="AG6" i="23"/>
  <c r="AG4" i="23"/>
  <c r="AI42" i="23"/>
  <c r="AI26" i="23"/>
  <c r="AI10" i="23"/>
  <c r="AK36" i="23"/>
  <c r="AK20" i="23"/>
  <c r="AK4" i="23"/>
  <c r="AM42" i="23"/>
  <c r="AM26" i="23"/>
  <c r="AM10" i="23"/>
  <c r="AO36" i="23"/>
  <c r="AO20" i="23"/>
  <c r="AO4" i="23"/>
  <c r="AI34" i="23"/>
  <c r="AI18" i="23"/>
  <c r="AK28" i="23"/>
  <c r="AK12" i="23"/>
  <c r="AM34" i="23"/>
  <c r="AM18" i="23"/>
  <c r="AO28" i="23"/>
  <c r="AO12" i="23"/>
  <c r="AI38" i="23"/>
  <c r="AI30" i="23"/>
  <c r="AI22" i="23"/>
  <c r="AI14" i="23"/>
  <c r="AI6" i="23"/>
  <c r="AK40" i="23"/>
  <c r="AK32" i="23"/>
  <c r="AK24" i="23"/>
  <c r="AK16" i="23"/>
  <c r="AK8" i="23"/>
  <c r="AM38" i="23"/>
  <c r="AM30" i="23"/>
  <c r="AM22" i="23"/>
  <c r="AM14" i="23"/>
  <c r="AM6" i="23"/>
  <c r="AO40" i="23"/>
  <c r="AO32" i="23"/>
  <c r="AO24" i="23"/>
  <c r="AO16" i="23"/>
  <c r="AO8" i="23"/>
  <c r="AI40" i="23"/>
  <c r="AI36" i="23"/>
  <c r="AI32" i="23"/>
  <c r="AI28" i="23"/>
  <c r="AI24" i="23"/>
  <c r="AI20" i="23"/>
  <c r="AI16" i="23"/>
  <c r="AI12" i="23"/>
  <c r="AI8" i="23"/>
  <c r="AI4" i="23"/>
  <c r="AK42" i="23"/>
  <c r="AK38" i="23"/>
  <c r="AK34" i="23"/>
  <c r="AK30" i="23"/>
  <c r="AK26" i="23"/>
  <c r="AK22" i="23"/>
  <c r="AK18" i="23"/>
  <c r="AK14" i="23"/>
  <c r="AK10" i="23"/>
  <c r="AK6" i="23"/>
  <c r="AM40" i="23"/>
  <c r="AM36" i="23"/>
  <c r="AM32" i="23"/>
  <c r="AM28" i="23"/>
  <c r="AM24" i="23"/>
  <c r="AM20" i="23"/>
  <c r="AM16" i="23"/>
  <c r="AM12" i="23"/>
  <c r="AM8" i="23"/>
  <c r="AM4" i="23"/>
  <c r="AO42" i="23"/>
  <c r="AO38" i="23"/>
  <c r="AO34" i="23"/>
  <c r="AO30" i="23"/>
  <c r="AO26" i="23"/>
  <c r="AO22" i="23"/>
  <c r="AO18" i="23"/>
  <c r="AO14" i="23"/>
  <c r="AO10" i="23"/>
  <c r="AO6" i="23"/>
  <c r="AI41" i="23"/>
  <c r="AI39" i="23"/>
  <c r="AI37" i="23"/>
  <c r="AI35" i="23"/>
  <c r="AI33" i="23"/>
  <c r="AI31" i="23"/>
  <c r="AI29" i="23"/>
  <c r="AI27" i="23"/>
  <c r="AI25" i="23"/>
  <c r="AI23" i="23"/>
  <c r="AI21" i="23"/>
  <c r="AI19" i="23"/>
  <c r="AI17" i="23"/>
  <c r="AI15" i="23"/>
  <c r="AI13" i="23"/>
  <c r="AI11" i="23"/>
  <c r="AI9" i="23"/>
  <c r="AI7" i="23"/>
  <c r="AI5" i="23"/>
  <c r="AK41" i="23"/>
  <c r="AK39" i="23"/>
  <c r="AK37" i="23"/>
  <c r="AK35" i="23"/>
  <c r="AK33" i="23"/>
  <c r="AK31" i="23"/>
  <c r="AK29" i="23"/>
  <c r="AK27" i="23"/>
  <c r="AK25" i="23"/>
  <c r="AK23" i="23"/>
  <c r="AK21" i="23"/>
  <c r="AK19" i="23"/>
  <c r="AK17" i="23"/>
  <c r="AK15" i="23"/>
  <c r="AK13" i="23"/>
  <c r="AK11" i="23"/>
  <c r="AK9" i="23"/>
  <c r="AK7" i="23"/>
  <c r="AK5" i="23"/>
  <c r="AM41" i="23"/>
  <c r="AM39" i="23"/>
  <c r="AM37" i="23"/>
  <c r="AM35" i="23"/>
  <c r="AM33" i="23"/>
  <c r="AM31" i="23"/>
  <c r="AM29" i="23"/>
  <c r="AM27" i="23"/>
  <c r="AM25" i="23"/>
  <c r="AM23" i="23"/>
  <c r="AM21" i="23"/>
  <c r="AM19" i="23"/>
  <c r="AM17" i="23"/>
  <c r="AM15" i="23"/>
  <c r="AM13" i="23"/>
  <c r="AM11" i="23"/>
  <c r="AM9" i="23"/>
  <c r="AM7" i="23"/>
  <c r="AM5" i="23"/>
  <c r="AO41" i="23"/>
  <c r="AO39" i="23"/>
  <c r="AO37" i="23"/>
  <c r="AO35" i="23"/>
  <c r="AO33" i="23"/>
  <c r="AO31" i="23"/>
  <c r="AO29" i="23"/>
  <c r="AO27" i="23"/>
  <c r="AO25" i="23"/>
  <c r="AO23" i="23"/>
  <c r="AO21" i="23"/>
  <c r="AO19" i="23"/>
  <c r="AO17" i="23"/>
  <c r="AO15" i="23"/>
  <c r="AO13" i="23"/>
  <c r="AO11" i="23"/>
  <c r="AO9" i="23"/>
  <c r="AO7" i="23"/>
  <c r="C31" i="28"/>
  <c r="C39" i="28"/>
  <c r="C23" i="28"/>
  <c r="C41" i="28"/>
  <c r="C35" i="28"/>
  <c r="C27" i="28"/>
  <c r="C15" i="28"/>
  <c r="C19" i="28"/>
  <c r="C11" i="28"/>
  <c r="C7" i="28"/>
  <c r="C37" i="28"/>
  <c r="C33" i="28"/>
  <c r="C29" i="28"/>
  <c r="C25" i="28"/>
  <c r="C21" i="28"/>
  <c r="C17" i="28"/>
  <c r="C13" i="28"/>
  <c r="C9" i="28"/>
  <c r="C5" i="28"/>
  <c r="C42" i="28"/>
  <c r="C40" i="28"/>
  <c r="C38" i="28"/>
  <c r="C36" i="28"/>
  <c r="C34" i="28"/>
  <c r="C32" i="28"/>
  <c r="C30" i="28"/>
  <c r="C28" i="28"/>
  <c r="C26" i="28"/>
  <c r="C24" i="28"/>
  <c r="C22" i="28"/>
  <c r="C20" i="28"/>
  <c r="C18" i="28"/>
  <c r="C16" i="28"/>
  <c r="C14" i="28"/>
  <c r="C12" i="28"/>
  <c r="C10" i="28"/>
  <c r="C8" i="28"/>
  <c r="C6" i="28"/>
  <c r="C4" i="28"/>
  <c r="E42" i="28"/>
  <c r="E34" i="28"/>
  <c r="E26" i="28"/>
  <c r="E18" i="28"/>
  <c r="E10" i="28"/>
  <c r="G36" i="28"/>
  <c r="G28" i="28"/>
  <c r="G20" i="28"/>
  <c r="G12" i="28"/>
  <c r="G4" i="28"/>
  <c r="I42" i="28"/>
  <c r="I34" i="28"/>
  <c r="I26" i="28"/>
  <c r="I18" i="28"/>
  <c r="I10" i="28"/>
  <c r="K36" i="28"/>
  <c r="K28" i="28"/>
  <c r="K20" i="28"/>
  <c r="K12" i="28"/>
  <c r="K4" i="28"/>
  <c r="E38" i="28"/>
  <c r="E30" i="28"/>
  <c r="E22" i="28"/>
  <c r="E14" i="28"/>
  <c r="E6" i="28"/>
  <c r="G40" i="28"/>
  <c r="G32" i="28"/>
  <c r="G24" i="28"/>
  <c r="G16" i="28"/>
  <c r="G8" i="28"/>
  <c r="I38" i="28"/>
  <c r="I30" i="28"/>
  <c r="I22" i="28"/>
  <c r="I14" i="28"/>
  <c r="I6" i="28"/>
  <c r="K40" i="28"/>
  <c r="K32" i="28"/>
  <c r="K24" i="28"/>
  <c r="K16" i="28"/>
  <c r="K8" i="28"/>
  <c r="E40" i="28"/>
  <c r="E36" i="28"/>
  <c r="E32" i="28"/>
  <c r="E28" i="28"/>
  <c r="E24" i="28"/>
  <c r="E20" i="28"/>
  <c r="E16" i="28"/>
  <c r="E12" i="28"/>
  <c r="E8" i="28"/>
  <c r="E4" i="28"/>
  <c r="G42" i="28"/>
  <c r="G38" i="28"/>
  <c r="G34" i="28"/>
  <c r="G30" i="28"/>
  <c r="G26" i="28"/>
  <c r="G22" i="28"/>
  <c r="G18" i="28"/>
  <c r="G14" i="28"/>
  <c r="G10" i="28"/>
  <c r="G6" i="28"/>
  <c r="I40" i="28"/>
  <c r="I36" i="28"/>
  <c r="I32" i="28"/>
  <c r="I28" i="28"/>
  <c r="I24" i="28"/>
  <c r="I20" i="28"/>
  <c r="I16" i="28"/>
  <c r="I12" i="28"/>
  <c r="I8" i="28"/>
  <c r="I4" i="28"/>
  <c r="K42" i="28"/>
  <c r="K38" i="28"/>
  <c r="K34" i="28"/>
  <c r="K30" i="28"/>
  <c r="K26" i="28"/>
  <c r="K22" i="28"/>
  <c r="K18" i="28"/>
  <c r="K14" i="28"/>
  <c r="K10" i="28"/>
  <c r="K6" i="28"/>
  <c r="E41" i="28"/>
  <c r="E39" i="28"/>
  <c r="E37" i="28"/>
  <c r="E35" i="28"/>
  <c r="E33" i="28"/>
  <c r="E31" i="28"/>
  <c r="E29" i="28"/>
  <c r="E27" i="28"/>
  <c r="E25" i="28"/>
  <c r="E23" i="28"/>
  <c r="E21" i="28"/>
  <c r="E19" i="28"/>
  <c r="E17" i="28"/>
  <c r="E15" i="28"/>
  <c r="E13" i="28"/>
  <c r="E11" i="28"/>
  <c r="E9" i="28"/>
  <c r="E7" i="28"/>
  <c r="E5" i="28"/>
  <c r="G41" i="28"/>
  <c r="G39" i="28"/>
  <c r="G37" i="28"/>
  <c r="G35" i="28"/>
  <c r="G33" i="28"/>
  <c r="G31" i="28"/>
  <c r="G29" i="28"/>
  <c r="G27" i="28"/>
  <c r="G25" i="28"/>
  <c r="G23" i="28"/>
  <c r="G21" i="28"/>
  <c r="G19" i="28"/>
  <c r="G17" i="28"/>
  <c r="G15" i="28"/>
  <c r="G13" i="28"/>
  <c r="G11" i="28"/>
  <c r="G9" i="28"/>
  <c r="G7" i="28"/>
  <c r="G5" i="28"/>
  <c r="I41" i="28"/>
  <c r="I39" i="28"/>
  <c r="I37" i="28"/>
  <c r="I35" i="28"/>
  <c r="I33" i="28"/>
  <c r="I31" i="28"/>
  <c r="I29" i="28"/>
  <c r="I27" i="28"/>
  <c r="I25" i="28"/>
  <c r="I23" i="28"/>
  <c r="I21" i="28"/>
  <c r="I19" i="28"/>
  <c r="I17" i="28"/>
  <c r="I15" i="28"/>
  <c r="I13" i="28"/>
  <c r="I11" i="28"/>
  <c r="I9" i="28"/>
  <c r="I7" i="28"/>
  <c r="I5" i="28"/>
  <c r="K41" i="28"/>
  <c r="K39" i="28"/>
  <c r="K37" i="28"/>
  <c r="K35" i="28"/>
  <c r="K33" i="28"/>
  <c r="K31" i="28"/>
  <c r="K29" i="28"/>
  <c r="K27" i="28"/>
  <c r="K25" i="28"/>
  <c r="K23" i="28"/>
  <c r="K21" i="28"/>
  <c r="K19" i="28"/>
  <c r="K17" i="28"/>
  <c r="K15" i="28"/>
  <c r="K13" i="28"/>
  <c r="K11" i="28"/>
  <c r="K9" i="28"/>
  <c r="K7" i="28"/>
  <c r="AQ27" i="18"/>
  <c r="AQ35" i="18"/>
  <c r="AQ19" i="18"/>
  <c r="AQ11" i="18"/>
  <c r="AQ39" i="18"/>
  <c r="AQ31" i="18"/>
  <c r="AQ23" i="18"/>
  <c r="AQ15" i="18"/>
  <c r="AQ7" i="18"/>
  <c r="AQ41" i="18"/>
  <c r="AQ37" i="18"/>
  <c r="AQ33" i="18"/>
  <c r="AQ29" i="18"/>
  <c r="AQ25" i="18"/>
  <c r="AQ21" i="18"/>
  <c r="AQ17" i="18"/>
  <c r="AQ13" i="18"/>
  <c r="AQ9" i="18"/>
  <c r="AQ5" i="18"/>
  <c r="AS34" i="18"/>
  <c r="AS18" i="18"/>
  <c r="AU28" i="18"/>
  <c r="AU12" i="18"/>
  <c r="AQ42" i="18"/>
  <c r="AQ40" i="18"/>
  <c r="AQ38" i="18"/>
  <c r="AQ36" i="18"/>
  <c r="AQ34" i="18"/>
  <c r="AQ32" i="18"/>
  <c r="AQ30" i="18"/>
  <c r="AQ28" i="18"/>
  <c r="AQ26" i="18"/>
  <c r="AQ24" i="18"/>
  <c r="AQ22" i="18"/>
  <c r="AQ20" i="18"/>
  <c r="AQ18" i="18"/>
  <c r="AQ16" i="18"/>
  <c r="AQ14" i="18"/>
  <c r="AQ12" i="18"/>
  <c r="AQ10" i="18"/>
  <c r="AQ8" i="18"/>
  <c r="AQ6" i="18"/>
  <c r="AQ4" i="18"/>
  <c r="AS42" i="18"/>
  <c r="AS26" i="18"/>
  <c r="AS10" i="18"/>
  <c r="AU36" i="18"/>
  <c r="AU20" i="18"/>
  <c r="AS38" i="18"/>
  <c r="AS30" i="18"/>
  <c r="AS22" i="18"/>
  <c r="AS14" i="18"/>
  <c r="AS6" i="18"/>
  <c r="AU40" i="18"/>
  <c r="AU32" i="18"/>
  <c r="AU24" i="18"/>
  <c r="AU16" i="18"/>
  <c r="AU8" i="18"/>
  <c r="AU4" i="18"/>
  <c r="AW42" i="18"/>
  <c r="AW38" i="18"/>
  <c r="AW34" i="18"/>
  <c r="AW30" i="18"/>
  <c r="AW26" i="18"/>
  <c r="AW22" i="18"/>
  <c r="AW18" i="18"/>
  <c r="AW14" i="18"/>
  <c r="AW10" i="18"/>
  <c r="AW6" i="18"/>
  <c r="AY40" i="18"/>
  <c r="AY36" i="18"/>
  <c r="AY32" i="18"/>
  <c r="AY28" i="18"/>
  <c r="AY24" i="18"/>
  <c r="AY20" i="18"/>
  <c r="AY16" i="18"/>
  <c r="AY12" i="18"/>
  <c r="AY8" i="18"/>
  <c r="AY4" i="18"/>
  <c r="AS40" i="18"/>
  <c r="AS36" i="18"/>
  <c r="AS32" i="18"/>
  <c r="AS28" i="18"/>
  <c r="AS24" i="18"/>
  <c r="AS20" i="18"/>
  <c r="AS16" i="18"/>
  <c r="AS12" i="18"/>
  <c r="AS8" i="18"/>
  <c r="AS4" i="18"/>
  <c r="AU42" i="18"/>
  <c r="AU38" i="18"/>
  <c r="AU34" i="18"/>
  <c r="AU30" i="18"/>
  <c r="AU26" i="18"/>
  <c r="AU22" i="18"/>
  <c r="AU18" i="18"/>
  <c r="AU14" i="18"/>
  <c r="AU10" i="18"/>
  <c r="AU6" i="18"/>
  <c r="AW40" i="18"/>
  <c r="AW36" i="18"/>
  <c r="AW32" i="18"/>
  <c r="AW28" i="18"/>
  <c r="AW24" i="18"/>
  <c r="AW20" i="18"/>
  <c r="AW16" i="18"/>
  <c r="AW12" i="18"/>
  <c r="AW8" i="18"/>
  <c r="AW4" i="18"/>
  <c r="AY42" i="18"/>
  <c r="AY38" i="18"/>
  <c r="AY34" i="18"/>
  <c r="AY30" i="18"/>
  <c r="AY26" i="18"/>
  <c r="AY22" i="18"/>
  <c r="AY18" i="18"/>
  <c r="AY14" i="18"/>
  <c r="AY10" i="18"/>
  <c r="AY6" i="18"/>
  <c r="AS41" i="18"/>
  <c r="AS39" i="18"/>
  <c r="AS37" i="18"/>
  <c r="AS35" i="18"/>
  <c r="AS33" i="18"/>
  <c r="AS31" i="18"/>
  <c r="AS29" i="18"/>
  <c r="AS27" i="18"/>
  <c r="AS25" i="18"/>
  <c r="AS23" i="18"/>
  <c r="AS21" i="18"/>
  <c r="AS19" i="18"/>
  <c r="AS17" i="18"/>
  <c r="AS15" i="18"/>
  <c r="AS13" i="18"/>
  <c r="AS11" i="18"/>
  <c r="AS9" i="18"/>
  <c r="AS7" i="18"/>
  <c r="AS5" i="18"/>
  <c r="AU41" i="18"/>
  <c r="AU39" i="18"/>
  <c r="AU37" i="18"/>
  <c r="AU35" i="18"/>
  <c r="AU33" i="18"/>
  <c r="AU31" i="18"/>
  <c r="AU29" i="18"/>
  <c r="AU27" i="18"/>
  <c r="AU25" i="18"/>
  <c r="AU23" i="18"/>
  <c r="AU21" i="18"/>
  <c r="AU19" i="18"/>
  <c r="AU17" i="18"/>
  <c r="AU15" i="18"/>
  <c r="AU13" i="18"/>
  <c r="AU11" i="18"/>
  <c r="AU9" i="18"/>
  <c r="AU7" i="18"/>
  <c r="AU5" i="18"/>
  <c r="AW41" i="18"/>
  <c r="AW39" i="18"/>
  <c r="AW37" i="18"/>
  <c r="AW35" i="18"/>
  <c r="AW33" i="18"/>
  <c r="AW31" i="18"/>
  <c r="AW29" i="18"/>
  <c r="AW27" i="18"/>
  <c r="AW25" i="18"/>
  <c r="AW23" i="18"/>
  <c r="AW21" i="18"/>
  <c r="AW19" i="18"/>
  <c r="AW17" i="18"/>
  <c r="AW15" i="18"/>
  <c r="AW13" i="18"/>
  <c r="AW11" i="18"/>
  <c r="AW9" i="18"/>
  <c r="AW7" i="18"/>
  <c r="AW5" i="18"/>
  <c r="AY41" i="18"/>
  <c r="AY39" i="18"/>
  <c r="AY37" i="18"/>
  <c r="AY35" i="18"/>
  <c r="AY33" i="18"/>
  <c r="AY31" i="18"/>
  <c r="AY29" i="18"/>
  <c r="AY27" i="18"/>
  <c r="AY25" i="18"/>
  <c r="AY23" i="18"/>
  <c r="AY21" i="18"/>
  <c r="AY19" i="18"/>
  <c r="AY17" i="18"/>
  <c r="AY15" i="18"/>
  <c r="AY13" i="18"/>
  <c r="AY11" i="18"/>
  <c r="AY9" i="18"/>
  <c r="AY7" i="18"/>
  <c r="W35" i="22"/>
  <c r="W19" i="22"/>
  <c r="W27" i="22"/>
  <c r="W11" i="22"/>
  <c r="W39" i="22"/>
  <c r="W31" i="22"/>
  <c r="W23" i="22"/>
  <c r="W15" i="22"/>
  <c r="W7" i="22"/>
  <c r="W41" i="22"/>
  <c r="W37" i="22"/>
  <c r="W33" i="22"/>
  <c r="W29" i="22"/>
  <c r="W25" i="22"/>
  <c r="W21" i="22"/>
  <c r="W17" i="22"/>
  <c r="W13" i="22"/>
  <c r="W9" i="22"/>
  <c r="W5" i="22"/>
  <c r="Y42" i="22"/>
  <c r="Y10" i="22"/>
  <c r="AA36" i="22"/>
  <c r="AA4" i="22"/>
  <c r="AC42" i="22"/>
  <c r="AC10" i="22"/>
  <c r="AE36" i="22"/>
  <c r="AE4" i="22"/>
  <c r="Y26" i="22"/>
  <c r="AA20" i="22"/>
  <c r="AC26" i="22"/>
  <c r="AE20" i="22"/>
  <c r="Y34" i="22"/>
  <c r="Y18" i="22"/>
  <c r="AA28" i="22"/>
  <c r="AA12" i="22"/>
  <c r="AC34" i="22"/>
  <c r="AC18" i="22"/>
  <c r="AE28" i="22"/>
  <c r="AE12" i="22"/>
  <c r="Y38" i="22"/>
  <c r="Y30" i="22"/>
  <c r="Y22" i="22"/>
  <c r="Y14" i="22"/>
  <c r="Y6" i="22"/>
  <c r="AA40" i="22"/>
  <c r="AA32" i="22"/>
  <c r="AA24" i="22"/>
  <c r="AA16" i="22"/>
  <c r="AA8" i="22"/>
  <c r="AC38" i="22"/>
  <c r="AC30" i="22"/>
  <c r="AC22" i="22"/>
  <c r="AC14" i="22"/>
  <c r="AC6" i="22"/>
  <c r="AE40" i="22"/>
  <c r="AE32" i="22"/>
  <c r="AE24" i="22"/>
  <c r="AE16" i="22"/>
  <c r="AE8" i="22"/>
  <c r="Y40" i="22"/>
  <c r="Y36" i="22"/>
  <c r="Y32" i="22"/>
  <c r="Y28" i="22"/>
  <c r="Y24" i="22"/>
  <c r="Y20" i="22"/>
  <c r="Y16" i="22"/>
  <c r="Y12" i="22"/>
  <c r="Y8" i="22"/>
  <c r="Y4" i="22"/>
  <c r="AA42" i="22"/>
  <c r="AA38" i="22"/>
  <c r="AA34" i="22"/>
  <c r="AA30" i="22"/>
  <c r="AA26" i="22"/>
  <c r="AA22" i="22"/>
  <c r="AA18" i="22"/>
  <c r="AA14" i="22"/>
  <c r="AA10" i="22"/>
  <c r="AA6" i="22"/>
  <c r="AC40" i="22"/>
  <c r="AC36" i="22"/>
  <c r="AC32" i="22"/>
  <c r="AC28" i="22"/>
  <c r="AC24" i="22"/>
  <c r="AC20" i="22"/>
  <c r="AC16" i="22"/>
  <c r="AC12" i="22"/>
  <c r="AC8" i="22"/>
  <c r="AC4" i="22"/>
  <c r="AE42" i="22"/>
  <c r="AE38" i="22"/>
  <c r="AE34" i="22"/>
  <c r="AE30" i="22"/>
  <c r="AE26" i="22"/>
  <c r="AE22" i="22"/>
  <c r="AE18" i="22"/>
  <c r="AE14" i="22"/>
  <c r="AE10" i="22"/>
  <c r="AE6" i="22"/>
  <c r="Y41" i="22"/>
  <c r="Y39" i="22"/>
  <c r="Y37" i="22"/>
  <c r="Y35" i="22"/>
  <c r="Y33" i="22"/>
  <c r="Y31" i="22"/>
  <c r="Y29" i="22"/>
  <c r="Y27" i="22"/>
  <c r="Y25" i="22"/>
  <c r="Y23" i="22"/>
  <c r="Y21" i="22"/>
  <c r="Y19" i="22"/>
  <c r="Y17" i="22"/>
  <c r="Y15" i="22"/>
  <c r="Y13" i="22"/>
  <c r="Y11" i="22"/>
  <c r="Y9" i="22"/>
  <c r="Y7" i="22"/>
  <c r="Y5" i="22"/>
  <c r="AA41" i="22"/>
  <c r="AA39" i="22"/>
  <c r="AA37" i="22"/>
  <c r="AA35" i="22"/>
  <c r="AA33" i="22"/>
  <c r="AA31" i="22"/>
  <c r="AA29" i="22"/>
  <c r="AA27" i="22"/>
  <c r="AA25" i="22"/>
  <c r="AA23" i="22"/>
  <c r="AA21" i="22"/>
  <c r="AA19" i="22"/>
  <c r="AA17" i="22"/>
  <c r="AA15" i="22"/>
  <c r="AA13" i="22"/>
  <c r="AA11" i="22"/>
  <c r="AA9" i="22"/>
  <c r="AA7" i="22"/>
  <c r="AA5" i="22"/>
  <c r="AC41" i="22"/>
  <c r="AC39" i="22"/>
  <c r="AC37" i="22"/>
  <c r="AC35" i="22"/>
  <c r="AC33" i="22"/>
  <c r="AC31" i="22"/>
  <c r="AC29" i="22"/>
  <c r="AC27" i="22"/>
  <c r="AC25" i="22"/>
  <c r="AC23" i="22"/>
  <c r="AC21" i="22"/>
  <c r="AC19" i="22"/>
  <c r="AC17" i="22"/>
  <c r="AC15" i="22"/>
  <c r="AC13" i="22"/>
  <c r="AC11" i="22"/>
  <c r="AC9" i="22"/>
  <c r="AC7" i="22"/>
  <c r="AC5" i="22"/>
  <c r="AE41" i="22"/>
  <c r="AE39" i="22"/>
  <c r="AE37" i="22"/>
  <c r="AE35" i="22"/>
  <c r="AE33" i="22"/>
  <c r="AE31" i="22"/>
  <c r="AE29" i="22"/>
  <c r="AE27" i="22"/>
  <c r="AE25" i="22"/>
  <c r="AE23" i="22"/>
  <c r="AE21" i="22"/>
  <c r="AE19" i="22"/>
  <c r="AE17" i="22"/>
  <c r="AE15" i="22"/>
  <c r="AE13" i="22"/>
  <c r="AE11" i="22"/>
  <c r="AE9" i="22"/>
  <c r="AE7" i="22"/>
  <c r="AE5" i="22"/>
  <c r="W42" i="22"/>
  <c r="W40" i="22"/>
  <c r="W38" i="22"/>
  <c r="W36" i="22"/>
  <c r="W34" i="22"/>
  <c r="W32" i="22"/>
  <c r="W30" i="22"/>
  <c r="W28" i="22"/>
  <c r="W26" i="22"/>
  <c r="W24" i="22"/>
  <c r="W22" i="22"/>
  <c r="W20" i="22"/>
  <c r="W18" i="22"/>
  <c r="W16" i="22"/>
  <c r="W14" i="22"/>
  <c r="W12" i="22"/>
  <c r="W10" i="22"/>
  <c r="W8" i="22"/>
  <c r="W6" i="22"/>
  <c r="M40" i="22"/>
  <c r="M38" i="22"/>
  <c r="M36" i="22"/>
  <c r="M34" i="22"/>
  <c r="M32" i="22"/>
  <c r="M30" i="22"/>
  <c r="M28" i="22"/>
  <c r="M26" i="22"/>
  <c r="M24" i="22"/>
  <c r="M22" i="22"/>
  <c r="M20" i="22"/>
  <c r="M18" i="22"/>
  <c r="M16" i="22"/>
  <c r="M14" i="22"/>
  <c r="M12" i="22"/>
  <c r="M10" i="22"/>
  <c r="M8" i="22"/>
  <c r="M6" i="22"/>
  <c r="M4" i="22"/>
  <c r="O42" i="22"/>
  <c r="Q4" i="22"/>
  <c r="S42" i="22"/>
  <c r="U4" i="22"/>
  <c r="O10" i="22"/>
  <c r="Q36" i="22"/>
  <c r="S10" i="22"/>
  <c r="U36" i="22"/>
  <c r="O26" i="22"/>
  <c r="Q20" i="22"/>
  <c r="S26" i="22"/>
  <c r="U20" i="22"/>
  <c r="O34" i="22"/>
  <c r="O18" i="22"/>
  <c r="Q28" i="22"/>
  <c r="Q12" i="22"/>
  <c r="S34" i="22"/>
  <c r="S18" i="22"/>
  <c r="U28" i="22"/>
  <c r="U12" i="22"/>
  <c r="O38" i="22"/>
  <c r="O30" i="22"/>
  <c r="O22" i="22"/>
  <c r="O14" i="22"/>
  <c r="O6" i="22"/>
  <c r="Q40" i="22"/>
  <c r="Q32" i="22"/>
  <c r="Q24" i="22"/>
  <c r="Q16" i="22"/>
  <c r="Q8" i="22"/>
  <c r="S38" i="22"/>
  <c r="S30" i="22"/>
  <c r="S22" i="22"/>
  <c r="S14" i="22"/>
  <c r="S6" i="22"/>
  <c r="U40" i="22"/>
  <c r="U32" i="22"/>
  <c r="U24" i="22"/>
  <c r="U16" i="22"/>
  <c r="U8" i="22"/>
  <c r="O40" i="22"/>
  <c r="O36" i="22"/>
  <c r="O32" i="22"/>
  <c r="O28" i="22"/>
  <c r="O24" i="22"/>
  <c r="O20" i="22"/>
  <c r="O16" i="22"/>
  <c r="O12" i="22"/>
  <c r="O8" i="22"/>
  <c r="O4" i="22"/>
  <c r="Q42" i="22"/>
  <c r="Q38" i="22"/>
  <c r="Q34" i="22"/>
  <c r="Q30" i="22"/>
  <c r="Q26" i="22"/>
  <c r="Q22" i="22"/>
  <c r="Q18" i="22"/>
  <c r="Q14" i="22"/>
  <c r="Q10" i="22"/>
  <c r="Q6" i="22"/>
  <c r="S40" i="22"/>
  <c r="S36" i="22"/>
  <c r="S32" i="22"/>
  <c r="S28" i="22"/>
  <c r="S24" i="22"/>
  <c r="S20" i="22"/>
  <c r="S16" i="22"/>
  <c r="S12" i="22"/>
  <c r="S8" i="22"/>
  <c r="S4" i="22"/>
  <c r="U42" i="22"/>
  <c r="U38" i="22"/>
  <c r="U34" i="22"/>
  <c r="U30" i="22"/>
  <c r="U26" i="22"/>
  <c r="U22" i="22"/>
  <c r="U18" i="22"/>
  <c r="U14" i="22"/>
  <c r="U10" i="22"/>
  <c r="U6" i="22"/>
  <c r="O41" i="22"/>
  <c r="O39" i="22"/>
  <c r="O37" i="22"/>
  <c r="O35" i="22"/>
  <c r="O33" i="22"/>
  <c r="O31" i="22"/>
  <c r="O29" i="22"/>
  <c r="O27" i="22"/>
  <c r="O25" i="22"/>
  <c r="O23" i="22"/>
  <c r="O21" i="22"/>
  <c r="O19" i="22"/>
  <c r="O17" i="22"/>
  <c r="O15" i="22"/>
  <c r="O13" i="22"/>
  <c r="O11" i="22"/>
  <c r="O9" i="22"/>
  <c r="O7" i="22"/>
  <c r="O5" i="22"/>
  <c r="Q41" i="22"/>
  <c r="Q39" i="22"/>
  <c r="Q37" i="22"/>
  <c r="Q35" i="22"/>
  <c r="Q33" i="22"/>
  <c r="Q31" i="22"/>
  <c r="Q29" i="22"/>
  <c r="Q27" i="22"/>
  <c r="Q25" i="22"/>
  <c r="Q23" i="22"/>
  <c r="Q21" i="22"/>
  <c r="Q19" i="22"/>
  <c r="Q17" i="22"/>
  <c r="Q15" i="22"/>
  <c r="Q13" i="22"/>
  <c r="Q11" i="22"/>
  <c r="Q9" i="22"/>
  <c r="Q7" i="22"/>
  <c r="Q5" i="22"/>
  <c r="S41" i="22"/>
  <c r="S39" i="22"/>
  <c r="S37" i="22"/>
  <c r="S35" i="22"/>
  <c r="S33" i="22"/>
  <c r="S31" i="22"/>
  <c r="S29" i="22"/>
  <c r="S27" i="22"/>
  <c r="S25" i="22"/>
  <c r="S23" i="22"/>
  <c r="S21" i="22"/>
  <c r="S19" i="22"/>
  <c r="S17" i="22"/>
  <c r="S15" i="22"/>
  <c r="S13" i="22"/>
  <c r="S11" i="22"/>
  <c r="S9" i="22"/>
  <c r="S7" i="22"/>
  <c r="S5" i="22"/>
  <c r="U41" i="22"/>
  <c r="U39" i="22"/>
  <c r="U37" i="22"/>
  <c r="U35" i="22"/>
  <c r="U33" i="22"/>
  <c r="U31" i="22"/>
  <c r="U29" i="22"/>
  <c r="U27" i="22"/>
  <c r="U25" i="22"/>
  <c r="U23" i="22"/>
  <c r="U21" i="22"/>
  <c r="U19" i="22"/>
  <c r="U17" i="22"/>
  <c r="U15" i="22"/>
  <c r="U13" i="22"/>
  <c r="U11" i="22"/>
  <c r="U9" i="22"/>
  <c r="U7" i="22"/>
  <c r="AG37" i="18"/>
  <c r="AG21" i="18"/>
  <c r="AG41" i="18"/>
  <c r="AG33" i="18"/>
  <c r="AG25" i="18"/>
  <c r="AG17" i="18"/>
  <c r="AG39" i="18"/>
  <c r="AG35" i="18"/>
  <c r="AG31" i="18"/>
  <c r="AG27" i="18"/>
  <c r="AG23" i="18"/>
  <c r="AG19" i="18"/>
  <c r="AG15" i="18"/>
  <c r="AG11" i="18"/>
  <c r="AG7" i="18"/>
  <c r="AG42" i="18"/>
  <c r="AG40" i="18"/>
  <c r="AG38" i="18"/>
  <c r="AG36" i="18"/>
  <c r="AG34" i="18"/>
  <c r="AG32" i="18"/>
  <c r="AG30" i="18"/>
  <c r="AG28" i="18"/>
  <c r="AG26" i="18"/>
  <c r="AG24" i="18"/>
  <c r="AG22" i="18"/>
  <c r="AG20" i="18"/>
  <c r="AG18" i="18"/>
  <c r="AG16" i="18"/>
  <c r="AG13" i="18"/>
  <c r="AG9" i="18"/>
  <c r="AG5" i="18"/>
  <c r="AI42" i="18"/>
  <c r="AK4" i="18"/>
  <c r="AM42" i="18"/>
  <c r="AO4" i="18"/>
  <c r="AI10" i="18"/>
  <c r="AK36" i="18"/>
  <c r="AM10" i="18"/>
  <c r="AO36" i="18"/>
  <c r="AI26" i="18"/>
  <c r="AK20" i="18"/>
  <c r="AM26" i="18"/>
  <c r="AO20" i="18"/>
  <c r="AI34" i="18"/>
  <c r="AI18" i="18"/>
  <c r="AK28" i="18"/>
  <c r="AK12" i="18"/>
  <c r="AM34" i="18"/>
  <c r="AM18" i="18"/>
  <c r="AO28" i="18"/>
  <c r="AO12" i="18"/>
  <c r="AI38" i="18"/>
  <c r="AI30" i="18"/>
  <c r="AI22" i="18"/>
  <c r="AI14" i="18"/>
  <c r="AI6" i="18"/>
  <c r="AK40" i="18"/>
  <c r="AK32" i="18"/>
  <c r="AK24" i="18"/>
  <c r="AK16" i="18"/>
  <c r="AK8" i="18"/>
  <c r="AM38" i="18"/>
  <c r="AM30" i="18"/>
  <c r="AM22" i="18"/>
  <c r="AM14" i="18"/>
  <c r="AM6" i="18"/>
  <c r="AO40" i="18"/>
  <c r="AO32" i="18"/>
  <c r="AO24" i="18"/>
  <c r="AO16" i="18"/>
  <c r="AO8" i="18"/>
  <c r="AI40" i="18"/>
  <c r="AI36" i="18"/>
  <c r="AI32" i="18"/>
  <c r="AI28" i="18"/>
  <c r="AI24" i="18"/>
  <c r="AI20" i="18"/>
  <c r="AI16" i="18"/>
  <c r="AI12" i="18"/>
  <c r="AI8" i="18"/>
  <c r="AI4" i="18"/>
  <c r="AK42" i="18"/>
  <c r="AK38" i="18"/>
  <c r="AK34" i="18"/>
  <c r="AK30" i="18"/>
  <c r="AK26" i="18"/>
  <c r="AK22" i="18"/>
  <c r="AK18" i="18"/>
  <c r="AK14" i="18"/>
  <c r="AK10" i="18"/>
  <c r="AK6" i="18"/>
  <c r="AM40" i="18"/>
  <c r="AM36" i="18"/>
  <c r="AM32" i="18"/>
  <c r="AM28" i="18"/>
  <c r="AM24" i="18"/>
  <c r="AM20" i="18"/>
  <c r="AM16" i="18"/>
  <c r="AM12" i="18"/>
  <c r="AM8" i="18"/>
  <c r="AM4" i="18"/>
  <c r="AO42" i="18"/>
  <c r="AO38" i="18"/>
  <c r="AO34" i="18"/>
  <c r="AO30" i="18"/>
  <c r="AO26" i="18"/>
  <c r="AO22" i="18"/>
  <c r="AO18" i="18"/>
  <c r="AO14" i="18"/>
  <c r="AO10" i="18"/>
  <c r="AO6" i="18"/>
  <c r="AI41" i="18"/>
  <c r="AI39" i="18"/>
  <c r="AI37" i="18"/>
  <c r="AI35" i="18"/>
  <c r="AI33" i="18"/>
  <c r="AI31" i="18"/>
  <c r="AI29" i="18"/>
  <c r="AI27" i="18"/>
  <c r="AI25" i="18"/>
  <c r="AI23" i="18"/>
  <c r="AI21" i="18"/>
  <c r="AI19" i="18"/>
  <c r="AI17" i="18"/>
  <c r="AI15" i="18"/>
  <c r="AI13" i="18"/>
  <c r="AI11" i="18"/>
  <c r="AI9" i="18"/>
  <c r="AI7" i="18"/>
  <c r="AI5" i="18"/>
  <c r="AK41" i="18"/>
  <c r="AK39" i="18"/>
  <c r="AK37" i="18"/>
  <c r="AK35" i="18"/>
  <c r="AK33" i="18"/>
  <c r="AK31" i="18"/>
  <c r="AK29" i="18"/>
  <c r="AK27" i="18"/>
  <c r="AK25" i="18"/>
  <c r="AK23" i="18"/>
  <c r="AK21" i="18"/>
  <c r="AK19" i="18"/>
  <c r="AK17" i="18"/>
  <c r="AK15" i="18"/>
  <c r="AK13" i="18"/>
  <c r="AK11" i="18"/>
  <c r="AK9" i="18"/>
  <c r="AK7" i="18"/>
  <c r="AK5" i="18"/>
  <c r="AM41" i="18"/>
  <c r="AM39" i="18"/>
  <c r="AM37" i="18"/>
  <c r="AM35" i="18"/>
  <c r="AM33" i="18"/>
  <c r="AM31" i="18"/>
  <c r="AM29" i="18"/>
  <c r="AM27" i="18"/>
  <c r="AM25" i="18"/>
  <c r="AM23" i="18"/>
  <c r="AM21" i="18"/>
  <c r="AM19" i="18"/>
  <c r="AM17" i="18"/>
  <c r="AM15" i="18"/>
  <c r="AM13" i="18"/>
  <c r="AM11" i="18"/>
  <c r="AM9" i="18"/>
  <c r="AM7" i="18"/>
  <c r="AM5" i="18"/>
  <c r="AO41" i="18"/>
  <c r="AO39" i="18"/>
  <c r="AO37" i="18"/>
  <c r="AO35" i="18"/>
  <c r="AO33" i="18"/>
  <c r="AO31" i="18"/>
  <c r="AO29" i="18"/>
  <c r="AO27" i="18"/>
  <c r="AO25" i="18"/>
  <c r="AO23" i="18"/>
  <c r="AO21" i="18"/>
  <c r="AO19" i="18"/>
  <c r="AO17" i="18"/>
  <c r="AO15" i="18"/>
  <c r="AO13" i="18"/>
  <c r="AO11" i="18"/>
  <c r="AO9" i="18"/>
  <c r="AO7" i="18"/>
  <c r="AO5" i="18"/>
  <c r="AG14" i="18"/>
  <c r="AG12" i="18"/>
  <c r="AG10" i="18"/>
  <c r="AG8" i="18"/>
  <c r="AG6" i="18"/>
  <c r="C41" i="25"/>
  <c r="C39" i="25"/>
  <c r="C37" i="25"/>
  <c r="C35" i="25"/>
  <c r="C33" i="25"/>
  <c r="C31" i="25"/>
  <c r="C29" i="25"/>
  <c r="C27" i="25"/>
  <c r="C25" i="25"/>
  <c r="C23" i="25"/>
  <c r="C21" i="25"/>
  <c r="C19" i="25"/>
  <c r="C17" i="25"/>
  <c r="C15" i="25"/>
  <c r="C13" i="25"/>
  <c r="C11" i="25"/>
  <c r="C9" i="25"/>
  <c r="C7" i="25"/>
  <c r="C5" i="25"/>
  <c r="C42" i="25"/>
  <c r="C40" i="25"/>
  <c r="C38" i="25"/>
  <c r="C36" i="25"/>
  <c r="C34" i="25"/>
  <c r="C32" i="25"/>
  <c r="C30" i="25"/>
  <c r="C28" i="25"/>
  <c r="C26" i="25"/>
  <c r="C24" i="25"/>
  <c r="C22" i="25"/>
  <c r="C20" i="25"/>
  <c r="C18" i="25"/>
  <c r="C16" i="25"/>
  <c r="C14" i="25"/>
  <c r="C12" i="25"/>
  <c r="C10" i="25"/>
  <c r="C8" i="25"/>
  <c r="C6" i="25"/>
  <c r="C4" i="25"/>
  <c r="E42" i="25"/>
  <c r="E10" i="25"/>
  <c r="G36" i="25"/>
  <c r="G4" i="25"/>
  <c r="I42" i="25"/>
  <c r="I10" i="25"/>
  <c r="K36" i="25"/>
  <c r="K4" i="25"/>
  <c r="E26" i="25"/>
  <c r="G20" i="25"/>
  <c r="I26" i="25"/>
  <c r="K20" i="25"/>
  <c r="E34" i="25"/>
  <c r="E18" i="25"/>
  <c r="G28" i="25"/>
  <c r="G12" i="25"/>
  <c r="I34" i="25"/>
  <c r="I18" i="25"/>
  <c r="K28" i="25"/>
  <c r="K12" i="25"/>
  <c r="E38" i="25"/>
  <c r="E30" i="25"/>
  <c r="E22" i="25"/>
  <c r="E14" i="25"/>
  <c r="E6" i="25"/>
  <c r="G40" i="25"/>
  <c r="G32" i="25"/>
  <c r="G24" i="25"/>
  <c r="G16" i="25"/>
  <c r="G8" i="25"/>
  <c r="I38" i="25"/>
  <c r="I30" i="25"/>
  <c r="I22" i="25"/>
  <c r="I14" i="25"/>
  <c r="I6" i="25"/>
  <c r="K40" i="25"/>
  <c r="K32" i="25"/>
  <c r="K24" i="25"/>
  <c r="K16" i="25"/>
  <c r="K8" i="25"/>
  <c r="E40" i="25"/>
  <c r="E36" i="25"/>
  <c r="E32" i="25"/>
  <c r="E28" i="25"/>
  <c r="E24" i="25"/>
  <c r="E20" i="25"/>
  <c r="E16" i="25"/>
  <c r="E12" i="25"/>
  <c r="E8" i="25"/>
  <c r="E4" i="25"/>
  <c r="G42" i="25"/>
  <c r="G38" i="25"/>
  <c r="G34" i="25"/>
  <c r="G30" i="25"/>
  <c r="G26" i="25"/>
  <c r="G22" i="25"/>
  <c r="G18" i="25"/>
  <c r="G14" i="25"/>
  <c r="G10" i="25"/>
  <c r="G6" i="25"/>
  <c r="I40" i="25"/>
  <c r="I36" i="25"/>
  <c r="I32" i="25"/>
  <c r="I28" i="25"/>
  <c r="I24" i="25"/>
  <c r="I20" i="25"/>
  <c r="I16" i="25"/>
  <c r="I12" i="25"/>
  <c r="I8" i="25"/>
  <c r="I4" i="25"/>
  <c r="K42" i="25"/>
  <c r="K38" i="25"/>
  <c r="K34" i="25"/>
  <c r="K30" i="25"/>
  <c r="K26" i="25"/>
  <c r="K22" i="25"/>
  <c r="K18" i="25"/>
  <c r="K14" i="25"/>
  <c r="K10" i="25"/>
  <c r="K6" i="25"/>
  <c r="E41" i="25"/>
  <c r="E39" i="25"/>
  <c r="E37" i="25"/>
  <c r="E35" i="25"/>
  <c r="E33" i="25"/>
  <c r="E31" i="25"/>
  <c r="E29" i="25"/>
  <c r="E27" i="25"/>
  <c r="E25" i="25"/>
  <c r="E23" i="25"/>
  <c r="E21" i="25"/>
  <c r="E19" i="25"/>
  <c r="E17" i="25"/>
  <c r="E15" i="25"/>
  <c r="E13" i="25"/>
  <c r="E11" i="25"/>
  <c r="E9" i="25"/>
  <c r="E7" i="25"/>
  <c r="E5" i="25"/>
  <c r="G41" i="25"/>
  <c r="G39" i="25"/>
  <c r="G37" i="25"/>
  <c r="G35" i="25"/>
  <c r="G33" i="25"/>
  <c r="G31" i="25"/>
  <c r="G29" i="25"/>
  <c r="G27" i="25"/>
  <c r="G25" i="25"/>
  <c r="G23" i="25"/>
  <c r="G21" i="25"/>
  <c r="G19" i="25"/>
  <c r="G17" i="25"/>
  <c r="G15" i="25"/>
  <c r="G13" i="25"/>
  <c r="G11" i="25"/>
  <c r="G9" i="25"/>
  <c r="G7" i="25"/>
  <c r="G5" i="25"/>
  <c r="I41" i="25"/>
  <c r="I39" i="25"/>
  <c r="I37" i="25"/>
  <c r="I35" i="25"/>
  <c r="I33" i="25"/>
  <c r="I31" i="25"/>
  <c r="I29" i="25"/>
  <c r="I27" i="25"/>
  <c r="I25" i="25"/>
  <c r="I23" i="25"/>
  <c r="I21" i="25"/>
  <c r="I19" i="25"/>
  <c r="I17" i="25"/>
  <c r="I15" i="25"/>
  <c r="I13" i="25"/>
  <c r="I11" i="25"/>
  <c r="I9" i="25"/>
  <c r="I7" i="25"/>
  <c r="I5" i="25"/>
  <c r="K41" i="25"/>
  <c r="K39" i="25"/>
  <c r="K37" i="25"/>
  <c r="K35" i="25"/>
  <c r="K33" i="25"/>
  <c r="K31" i="25"/>
  <c r="K29" i="25"/>
  <c r="K27" i="25"/>
  <c r="K25" i="25"/>
  <c r="K23" i="25"/>
  <c r="K21" i="25"/>
  <c r="K19" i="25"/>
  <c r="K17" i="25"/>
  <c r="K15" i="25"/>
  <c r="K13" i="25"/>
  <c r="K11" i="25"/>
  <c r="K9" i="25"/>
  <c r="K7" i="25"/>
  <c r="C39" i="22"/>
  <c r="C31" i="22"/>
  <c r="C23" i="22"/>
  <c r="C15" i="22"/>
  <c r="C7" i="22"/>
  <c r="C41" i="22"/>
  <c r="C37" i="22"/>
  <c r="C33" i="22"/>
  <c r="C29" i="22"/>
  <c r="C25" i="22"/>
  <c r="C21" i="22"/>
  <c r="C17" i="22"/>
  <c r="C13" i="22"/>
  <c r="C9" i="22"/>
  <c r="C5" i="22"/>
  <c r="C42" i="22"/>
  <c r="C40" i="22"/>
  <c r="C38" i="22"/>
  <c r="C36" i="22"/>
  <c r="C34" i="22"/>
  <c r="C32" i="22"/>
  <c r="C30" i="22"/>
  <c r="C28" i="22"/>
  <c r="C26" i="22"/>
  <c r="C24" i="22"/>
  <c r="C22" i="22"/>
  <c r="C20" i="22"/>
  <c r="C18" i="22"/>
  <c r="C16" i="22"/>
  <c r="C14" i="22"/>
  <c r="C12" i="22"/>
  <c r="C10" i="22"/>
  <c r="C8" i="22"/>
  <c r="C6" i="22"/>
  <c r="C4" i="22"/>
  <c r="E42" i="22"/>
  <c r="E26" i="22"/>
  <c r="E10" i="22"/>
  <c r="G36" i="22"/>
  <c r="G20" i="22"/>
  <c r="G4" i="22"/>
  <c r="I42" i="22"/>
  <c r="I26" i="22"/>
  <c r="I10" i="22"/>
  <c r="K36" i="22"/>
  <c r="K20" i="22"/>
  <c r="K4" i="22"/>
  <c r="E34" i="22"/>
  <c r="E18" i="22"/>
  <c r="G28" i="22"/>
  <c r="G12" i="22"/>
  <c r="I34" i="22"/>
  <c r="I18" i="22"/>
  <c r="K28" i="22"/>
  <c r="K12" i="22"/>
  <c r="E38" i="22"/>
  <c r="E30" i="22"/>
  <c r="E22" i="22"/>
  <c r="E14" i="22"/>
  <c r="E6" i="22"/>
  <c r="G40" i="22"/>
  <c r="G32" i="22"/>
  <c r="G24" i="22"/>
  <c r="G16" i="22"/>
  <c r="G8" i="22"/>
  <c r="I38" i="22"/>
  <c r="I30" i="22"/>
  <c r="I22" i="22"/>
  <c r="I14" i="22"/>
  <c r="I6" i="22"/>
  <c r="K40" i="22"/>
  <c r="K32" i="22"/>
  <c r="K24" i="22"/>
  <c r="K16" i="22"/>
  <c r="K8" i="22"/>
  <c r="E40" i="22"/>
  <c r="E36" i="22"/>
  <c r="E32" i="22"/>
  <c r="E28" i="22"/>
  <c r="E24" i="22"/>
  <c r="E20" i="22"/>
  <c r="E16" i="22"/>
  <c r="E12" i="22"/>
  <c r="E8" i="22"/>
  <c r="E4" i="22"/>
  <c r="G42" i="22"/>
  <c r="G38" i="22"/>
  <c r="G34" i="22"/>
  <c r="G30" i="22"/>
  <c r="G26" i="22"/>
  <c r="G22" i="22"/>
  <c r="G18" i="22"/>
  <c r="G14" i="22"/>
  <c r="G10" i="22"/>
  <c r="G6" i="22"/>
  <c r="I40" i="22"/>
  <c r="I36" i="22"/>
  <c r="I32" i="22"/>
  <c r="I28" i="22"/>
  <c r="I24" i="22"/>
  <c r="I20" i="22"/>
  <c r="I16" i="22"/>
  <c r="I12" i="22"/>
  <c r="I8" i="22"/>
  <c r="I4" i="22"/>
  <c r="K42" i="22"/>
  <c r="K38" i="22"/>
  <c r="K34" i="22"/>
  <c r="K30" i="22"/>
  <c r="K26" i="22"/>
  <c r="K22" i="22"/>
  <c r="K18" i="22"/>
  <c r="K14" i="22"/>
  <c r="K10" i="22"/>
  <c r="K6" i="22"/>
  <c r="E41" i="22"/>
  <c r="E39" i="22"/>
  <c r="E37" i="22"/>
  <c r="E35" i="22"/>
  <c r="E33" i="22"/>
  <c r="E31" i="22"/>
  <c r="E29" i="22"/>
  <c r="E27" i="22"/>
  <c r="E25" i="22"/>
  <c r="E23" i="22"/>
  <c r="E21" i="22"/>
  <c r="E19" i="22"/>
  <c r="E17" i="22"/>
  <c r="E15" i="22"/>
  <c r="E13" i="22"/>
  <c r="E11" i="22"/>
  <c r="E9" i="22"/>
  <c r="E7" i="22"/>
  <c r="E5" i="22"/>
  <c r="G41" i="22"/>
  <c r="G39" i="22"/>
  <c r="G37" i="22"/>
  <c r="G35" i="22"/>
  <c r="G33" i="22"/>
  <c r="G31" i="22"/>
  <c r="G29" i="22"/>
  <c r="G27" i="22"/>
  <c r="G25" i="22"/>
  <c r="G23" i="22"/>
  <c r="G21" i="22"/>
  <c r="G19" i="22"/>
  <c r="G17" i="22"/>
  <c r="G15" i="22"/>
  <c r="G13" i="22"/>
  <c r="G11" i="22"/>
  <c r="G9" i="22"/>
  <c r="G7" i="22"/>
  <c r="G5" i="22"/>
  <c r="I41" i="22"/>
  <c r="I39" i="22"/>
  <c r="I37" i="22"/>
  <c r="I35" i="22"/>
  <c r="I33" i="22"/>
  <c r="I31" i="22"/>
  <c r="I29" i="22"/>
  <c r="I27" i="22"/>
  <c r="I25" i="22"/>
  <c r="I23" i="22"/>
  <c r="I21" i="22"/>
  <c r="I19" i="22"/>
  <c r="I17" i="22"/>
  <c r="I15" i="22"/>
  <c r="I13" i="22"/>
  <c r="I11" i="22"/>
  <c r="I9" i="22"/>
  <c r="I7" i="22"/>
  <c r="I5" i="22"/>
  <c r="K41" i="22"/>
  <c r="K39" i="22"/>
  <c r="K37" i="22"/>
  <c r="K35" i="22"/>
  <c r="K33" i="22"/>
  <c r="K31" i="22"/>
  <c r="K29" i="22"/>
  <c r="K27" i="22"/>
  <c r="K25" i="22"/>
  <c r="K23" i="22"/>
  <c r="K21" i="22"/>
  <c r="K19" i="22"/>
  <c r="K17" i="22"/>
  <c r="K15" i="22"/>
  <c r="K13" i="22"/>
  <c r="K11" i="22"/>
  <c r="K9" i="22"/>
  <c r="K7" i="22"/>
  <c r="C39" i="20"/>
  <c r="C23" i="20"/>
  <c r="C47" i="20"/>
  <c r="C31" i="20"/>
  <c r="C15" i="20"/>
  <c r="C51" i="20"/>
  <c r="C43" i="20"/>
  <c r="C35" i="20"/>
  <c r="C27" i="20"/>
  <c r="C19" i="20"/>
  <c r="C11" i="20"/>
  <c r="C53" i="20"/>
  <c r="C49" i="20"/>
  <c r="C45" i="20"/>
  <c r="C41" i="20"/>
  <c r="C37" i="20"/>
  <c r="C33" i="20"/>
  <c r="C29" i="20"/>
  <c r="C25" i="20"/>
  <c r="C21" i="20"/>
  <c r="C17" i="20"/>
  <c r="C13" i="20"/>
  <c r="C9" i="20"/>
  <c r="C7" i="20"/>
  <c r="K5" i="20"/>
  <c r="K7" i="20"/>
  <c r="K9" i="20"/>
  <c r="K11" i="20"/>
  <c r="K13" i="20"/>
  <c r="K15" i="20"/>
  <c r="K17" i="20"/>
  <c r="K19" i="20"/>
  <c r="K21" i="20"/>
  <c r="K23" i="20"/>
  <c r="K25" i="20"/>
  <c r="K27" i="20"/>
  <c r="K29" i="20"/>
  <c r="K31" i="20"/>
  <c r="K33" i="20"/>
  <c r="K35" i="20"/>
  <c r="K37" i="20"/>
  <c r="K39" i="20"/>
  <c r="K41" i="20"/>
  <c r="K43" i="20"/>
  <c r="K45" i="20"/>
  <c r="K47" i="20"/>
  <c r="K49" i="20"/>
  <c r="K51" i="20"/>
  <c r="K53" i="20"/>
  <c r="I5" i="20"/>
  <c r="I7" i="20"/>
  <c r="I9" i="20"/>
  <c r="I11" i="20"/>
  <c r="I13" i="20"/>
  <c r="I15" i="20"/>
  <c r="I17" i="20"/>
  <c r="I19" i="20"/>
  <c r="I21" i="20"/>
  <c r="I23" i="20"/>
  <c r="I25" i="20"/>
  <c r="I27" i="20"/>
  <c r="I29" i="20"/>
  <c r="I31" i="20"/>
  <c r="I33" i="20"/>
  <c r="I35" i="20"/>
  <c r="I37" i="20"/>
  <c r="I39" i="20"/>
  <c r="I41" i="20"/>
  <c r="I43" i="20"/>
  <c r="I45" i="20"/>
  <c r="I47" i="20"/>
  <c r="I49" i="20"/>
  <c r="I51" i="20"/>
  <c r="I53" i="20"/>
  <c r="G5" i="20"/>
  <c r="G7" i="20"/>
  <c r="G9" i="20"/>
  <c r="G11" i="20"/>
  <c r="G13" i="20"/>
  <c r="G15" i="20"/>
  <c r="G17" i="20"/>
  <c r="G19" i="20"/>
  <c r="G21" i="20"/>
  <c r="G23" i="20"/>
  <c r="G25" i="20"/>
  <c r="G27" i="20"/>
  <c r="G29" i="20"/>
  <c r="G31" i="20"/>
  <c r="G33" i="20"/>
  <c r="G35" i="20"/>
  <c r="G37" i="20"/>
  <c r="G39" i="20"/>
  <c r="G41" i="20"/>
  <c r="G43" i="20"/>
  <c r="G45" i="20"/>
  <c r="G47" i="20"/>
  <c r="G49" i="20"/>
  <c r="G51" i="20"/>
  <c r="G53" i="20"/>
  <c r="E5" i="20"/>
  <c r="E7" i="20"/>
  <c r="E9" i="20"/>
  <c r="E11" i="20"/>
  <c r="E13" i="20"/>
  <c r="E15" i="20"/>
  <c r="E17" i="20"/>
  <c r="E19" i="20"/>
  <c r="E21" i="20"/>
  <c r="E23" i="20"/>
  <c r="E53" i="20"/>
  <c r="E51" i="20"/>
  <c r="E49" i="20"/>
  <c r="E47" i="20"/>
  <c r="E45" i="20"/>
  <c r="E43" i="20"/>
  <c r="E41" i="20"/>
  <c r="E39" i="20"/>
  <c r="E37" i="20"/>
  <c r="E35" i="20"/>
  <c r="E33" i="20"/>
  <c r="E31" i="20"/>
  <c r="E29" i="20"/>
  <c r="E27" i="20"/>
  <c r="E25" i="20"/>
  <c r="E22" i="20"/>
  <c r="E18" i="20"/>
  <c r="E14" i="20"/>
  <c r="E10" i="20"/>
  <c r="E6" i="20"/>
  <c r="G52" i="20"/>
  <c r="G48" i="20"/>
  <c r="G44" i="20"/>
  <c r="G40" i="20"/>
  <c r="G36" i="20"/>
  <c r="G32" i="20"/>
  <c r="G28" i="20"/>
  <c r="G24" i="20"/>
  <c r="G20" i="20"/>
  <c r="G16" i="20"/>
  <c r="G12" i="20"/>
  <c r="G8" i="20"/>
  <c r="G4" i="20"/>
  <c r="I54" i="20"/>
  <c r="I50" i="20"/>
  <c r="I46" i="20"/>
  <c r="I42" i="20"/>
  <c r="I38" i="20"/>
  <c r="I34" i="20"/>
  <c r="I30" i="20"/>
  <c r="I26" i="20"/>
  <c r="I22" i="20"/>
  <c r="I18" i="20"/>
  <c r="I14" i="20"/>
  <c r="I10" i="20"/>
  <c r="I6" i="20"/>
  <c r="K52" i="20"/>
  <c r="K48" i="20"/>
  <c r="K44" i="20"/>
  <c r="K40" i="20"/>
  <c r="K36" i="20"/>
  <c r="K32" i="20"/>
  <c r="K28" i="20"/>
  <c r="K24" i="20"/>
  <c r="K20" i="20"/>
  <c r="K16" i="20"/>
  <c r="K12" i="20"/>
  <c r="K8" i="20"/>
  <c r="K4" i="20"/>
  <c r="C54" i="20"/>
  <c r="C52" i="20"/>
  <c r="C50" i="20"/>
  <c r="C48" i="20"/>
  <c r="C46" i="20"/>
  <c r="C44" i="20"/>
  <c r="C42" i="20"/>
  <c r="C40" i="20"/>
  <c r="C38" i="20"/>
  <c r="C36" i="20"/>
  <c r="C34" i="20"/>
  <c r="C32" i="20"/>
  <c r="C30" i="20"/>
  <c r="C28" i="20"/>
  <c r="C26" i="20"/>
  <c r="C24" i="20"/>
  <c r="C22" i="20"/>
  <c r="C20" i="20"/>
  <c r="C18" i="20"/>
  <c r="C16" i="20"/>
  <c r="C14" i="20"/>
  <c r="C12" i="20"/>
  <c r="C10" i="20"/>
  <c r="C8" i="20"/>
  <c r="C6" i="20"/>
  <c r="C4" i="20"/>
  <c r="E54" i="20"/>
  <c r="E52" i="20"/>
  <c r="E50" i="20"/>
  <c r="E48" i="20"/>
  <c r="E46" i="20"/>
  <c r="E44" i="20"/>
  <c r="E42" i="20"/>
  <c r="E40" i="20"/>
  <c r="E38" i="20"/>
  <c r="E36" i="20"/>
  <c r="E34" i="20"/>
  <c r="E32" i="20"/>
  <c r="E30" i="20"/>
  <c r="E28" i="20"/>
  <c r="E26" i="20"/>
  <c r="E24" i="20"/>
  <c r="E20" i="20"/>
  <c r="E16" i="20"/>
  <c r="E12" i="20"/>
  <c r="E8" i="20"/>
  <c r="E4" i="20"/>
  <c r="G54" i="20"/>
  <c r="G50" i="20"/>
  <c r="G46" i="20"/>
  <c r="G42" i="20"/>
  <c r="G38" i="20"/>
  <c r="G34" i="20"/>
  <c r="G30" i="20"/>
  <c r="G26" i="20"/>
  <c r="G22" i="20"/>
  <c r="G18" i="20"/>
  <c r="G14" i="20"/>
  <c r="G10" i="20"/>
  <c r="G6" i="20"/>
  <c r="I52" i="20"/>
  <c r="I48" i="20"/>
  <c r="I44" i="20"/>
  <c r="I40" i="20"/>
  <c r="I36" i="20"/>
  <c r="I32" i="20"/>
  <c r="I28" i="20"/>
  <c r="I24" i="20"/>
  <c r="I20" i="20"/>
  <c r="I16" i="20"/>
  <c r="I12" i="20"/>
  <c r="I8" i="20"/>
  <c r="I4" i="20"/>
  <c r="K54" i="20"/>
  <c r="K50" i="20"/>
  <c r="K46" i="20"/>
  <c r="K42" i="20"/>
  <c r="K38" i="20"/>
  <c r="K34" i="20"/>
  <c r="K30" i="20"/>
  <c r="K26" i="20"/>
  <c r="K22" i="20"/>
  <c r="K18" i="20"/>
  <c r="K14" i="20"/>
  <c r="K10" i="20"/>
  <c r="K6" i="20"/>
  <c r="C39" i="18"/>
  <c r="C23" i="18"/>
  <c r="C31" i="18"/>
  <c r="C15" i="18"/>
  <c r="C41" i="18"/>
  <c r="C35" i="18"/>
  <c r="C27" i="18"/>
  <c r="C19" i="18"/>
  <c r="C11" i="18"/>
  <c r="C7" i="18"/>
  <c r="C42" i="18"/>
  <c r="C40" i="18"/>
  <c r="C37" i="18"/>
  <c r="C33" i="18"/>
  <c r="C29" i="18"/>
  <c r="C25" i="18"/>
  <c r="C21" i="18"/>
  <c r="C17" i="18"/>
  <c r="C13" i="18"/>
  <c r="C9" i="18"/>
  <c r="C5" i="18"/>
  <c r="E42" i="18"/>
  <c r="E26" i="18"/>
  <c r="E10" i="18"/>
  <c r="G36" i="18"/>
  <c r="G20" i="18"/>
  <c r="G4" i="18"/>
  <c r="I42" i="18"/>
  <c r="I26" i="18"/>
  <c r="I10" i="18"/>
  <c r="K36" i="18"/>
  <c r="K20" i="18"/>
  <c r="K4" i="18"/>
  <c r="E34" i="18"/>
  <c r="E18" i="18"/>
  <c r="G28" i="18"/>
  <c r="G12" i="18"/>
  <c r="I34" i="18"/>
  <c r="I18" i="18"/>
  <c r="K28" i="18"/>
  <c r="K12" i="18"/>
  <c r="E38" i="18"/>
  <c r="E30" i="18"/>
  <c r="E22" i="18"/>
  <c r="E14" i="18"/>
  <c r="E6" i="18"/>
  <c r="G40" i="18"/>
  <c r="G32" i="18"/>
  <c r="G24" i="18"/>
  <c r="G16" i="18"/>
  <c r="G8" i="18"/>
  <c r="I38" i="18"/>
  <c r="I30" i="18"/>
  <c r="I22" i="18"/>
  <c r="I14" i="18"/>
  <c r="I6" i="18"/>
  <c r="K40" i="18"/>
  <c r="K32" i="18"/>
  <c r="K24" i="18"/>
  <c r="K16" i="18"/>
  <c r="K8" i="18"/>
  <c r="E40" i="18"/>
  <c r="E36" i="18"/>
  <c r="E32" i="18"/>
  <c r="E28" i="18"/>
  <c r="E24" i="18"/>
  <c r="E20" i="18"/>
  <c r="E16" i="18"/>
  <c r="E12" i="18"/>
  <c r="E8" i="18"/>
  <c r="E4" i="18"/>
  <c r="G42" i="18"/>
  <c r="G38" i="18"/>
  <c r="G34" i="18"/>
  <c r="G30" i="18"/>
  <c r="G26" i="18"/>
  <c r="G22" i="18"/>
  <c r="G18" i="18"/>
  <c r="G14" i="18"/>
  <c r="G10" i="18"/>
  <c r="G6" i="18"/>
  <c r="I40" i="18"/>
  <c r="I36" i="18"/>
  <c r="I32" i="18"/>
  <c r="I28" i="18"/>
  <c r="I24" i="18"/>
  <c r="I20" i="18"/>
  <c r="I16" i="18"/>
  <c r="I12" i="18"/>
  <c r="I8" i="18"/>
  <c r="I4" i="18"/>
  <c r="K42" i="18"/>
  <c r="K38" i="18"/>
  <c r="K34" i="18"/>
  <c r="K30" i="18"/>
  <c r="K26" i="18"/>
  <c r="K22" i="18"/>
  <c r="K18" i="18"/>
  <c r="K14" i="18"/>
  <c r="K10" i="18"/>
  <c r="K6" i="18"/>
  <c r="E41" i="18"/>
  <c r="E39" i="18"/>
  <c r="E37" i="18"/>
  <c r="E35" i="18"/>
  <c r="E33" i="18"/>
  <c r="E31" i="18"/>
  <c r="E29" i="18"/>
  <c r="E27" i="18"/>
  <c r="E25" i="18"/>
  <c r="E23" i="18"/>
  <c r="E21" i="18"/>
  <c r="E19" i="18"/>
  <c r="E17" i="18"/>
  <c r="E15" i="18"/>
  <c r="E13" i="18"/>
  <c r="E11" i="18"/>
  <c r="E9" i="18"/>
  <c r="E7" i="18"/>
  <c r="E5" i="18"/>
  <c r="G41" i="18"/>
  <c r="G39" i="18"/>
  <c r="G37" i="18"/>
  <c r="G35" i="18"/>
  <c r="G33" i="18"/>
  <c r="G31" i="18"/>
  <c r="G29" i="18"/>
  <c r="G27" i="18"/>
  <c r="G25" i="18"/>
  <c r="G23" i="18"/>
  <c r="G21" i="18"/>
  <c r="G19" i="18"/>
  <c r="G17" i="18"/>
  <c r="G15" i="18"/>
  <c r="G13" i="18"/>
  <c r="G11" i="18"/>
  <c r="G9" i="18"/>
  <c r="G7" i="18"/>
  <c r="G5" i="18"/>
  <c r="I41" i="18"/>
  <c r="I39" i="18"/>
  <c r="I37" i="18"/>
  <c r="I35" i="18"/>
  <c r="I33" i="18"/>
  <c r="I31" i="18"/>
  <c r="I29" i="18"/>
  <c r="I27" i="18"/>
  <c r="I25" i="18"/>
  <c r="I23" i="18"/>
  <c r="I21" i="18"/>
  <c r="I19" i="18"/>
  <c r="I17" i="18"/>
  <c r="I15" i="18"/>
  <c r="I13" i="18"/>
  <c r="I11" i="18"/>
  <c r="I9" i="18"/>
  <c r="I7" i="18"/>
  <c r="I5" i="18"/>
  <c r="K41" i="18"/>
  <c r="K39" i="18"/>
  <c r="K37" i="18"/>
  <c r="K35" i="18"/>
  <c r="K33" i="18"/>
  <c r="K31" i="18"/>
  <c r="K29" i="18"/>
  <c r="K27" i="18"/>
  <c r="K25" i="18"/>
  <c r="K23" i="18"/>
  <c r="K21" i="18"/>
  <c r="K19" i="18"/>
  <c r="K17" i="18"/>
  <c r="K15" i="18"/>
  <c r="K13" i="18"/>
  <c r="K11" i="18"/>
  <c r="K9" i="18"/>
  <c r="K7" i="18"/>
  <c r="K5" i="18"/>
  <c r="C38" i="18"/>
  <c r="C36" i="18"/>
  <c r="C34" i="18"/>
  <c r="C32" i="18"/>
  <c r="C30" i="18"/>
  <c r="C28" i="18"/>
  <c r="C26" i="18"/>
  <c r="C24" i="18"/>
  <c r="C22" i="18"/>
  <c r="C20" i="18"/>
  <c r="C18" i="18"/>
  <c r="C16" i="18"/>
  <c r="C14" i="18"/>
  <c r="C12" i="18"/>
  <c r="C10" i="18"/>
  <c r="C8" i="18"/>
  <c r="C6" i="18"/>
  <c r="M42" i="26"/>
  <c r="M40" i="26"/>
  <c r="M38" i="26"/>
  <c r="M36" i="26"/>
  <c r="M34" i="26"/>
  <c r="M32" i="26"/>
  <c r="M30" i="26"/>
  <c r="M28" i="26"/>
  <c r="M26" i="26"/>
  <c r="M24" i="26"/>
  <c r="M22" i="26"/>
  <c r="M20" i="26"/>
  <c r="M18" i="26"/>
  <c r="M16" i="26"/>
  <c r="M14" i="26"/>
  <c r="M12" i="26"/>
  <c r="M10" i="26"/>
  <c r="M8" i="26"/>
  <c r="M6" i="26"/>
  <c r="M4" i="26"/>
  <c r="O42" i="26"/>
  <c r="Q4" i="26"/>
  <c r="S42" i="26"/>
  <c r="U4" i="26"/>
  <c r="O10" i="26"/>
  <c r="Q36" i="26"/>
  <c r="S10" i="26"/>
  <c r="U36" i="26"/>
  <c r="O26" i="26"/>
  <c r="Q20" i="26"/>
  <c r="S26" i="26"/>
  <c r="U20" i="26"/>
  <c r="O34" i="26"/>
  <c r="O18" i="26"/>
  <c r="Q28" i="26"/>
  <c r="Q12" i="26"/>
  <c r="S34" i="26"/>
  <c r="S18" i="26"/>
  <c r="U28" i="26"/>
  <c r="U12" i="26"/>
  <c r="O38" i="26"/>
  <c r="O30" i="26"/>
  <c r="O22" i="26"/>
  <c r="O14" i="26"/>
  <c r="O6" i="26"/>
  <c r="Q40" i="26"/>
  <c r="Q32" i="26"/>
  <c r="Q24" i="26"/>
  <c r="Q16" i="26"/>
  <c r="Q8" i="26"/>
  <c r="S38" i="26"/>
  <c r="S30" i="26"/>
  <c r="S22" i="26"/>
  <c r="S14" i="26"/>
  <c r="S6" i="26"/>
  <c r="U40" i="26"/>
  <c r="U32" i="26"/>
  <c r="U24" i="26"/>
  <c r="U16" i="26"/>
  <c r="U8" i="26"/>
  <c r="O40" i="26"/>
  <c r="O36" i="26"/>
  <c r="O32" i="26"/>
  <c r="O28" i="26"/>
  <c r="O24" i="26"/>
  <c r="O20" i="26"/>
  <c r="O16" i="26"/>
  <c r="O12" i="26"/>
  <c r="O8" i="26"/>
  <c r="O4" i="26"/>
  <c r="Q42" i="26"/>
  <c r="Q38" i="26"/>
  <c r="Q34" i="26"/>
  <c r="Q30" i="26"/>
  <c r="Q26" i="26"/>
  <c r="Q22" i="26"/>
  <c r="Q18" i="26"/>
  <c r="Q14" i="26"/>
  <c r="Q10" i="26"/>
  <c r="Q6" i="26"/>
  <c r="S40" i="26"/>
  <c r="S36" i="26"/>
  <c r="S32" i="26"/>
  <c r="S28" i="26"/>
  <c r="S24" i="26"/>
  <c r="S20" i="26"/>
  <c r="S16" i="26"/>
  <c r="S12" i="26"/>
  <c r="S8" i="26"/>
  <c r="S4" i="26"/>
  <c r="U42" i="26"/>
  <c r="U38" i="26"/>
  <c r="U34" i="26"/>
  <c r="U30" i="26"/>
  <c r="U26" i="26"/>
  <c r="U22" i="26"/>
  <c r="U18" i="26"/>
  <c r="U14" i="26"/>
  <c r="U10" i="26"/>
  <c r="U6" i="26"/>
  <c r="O41" i="26"/>
  <c r="O39" i="26"/>
  <c r="O37" i="26"/>
  <c r="O35" i="26"/>
  <c r="O33" i="26"/>
  <c r="O31" i="26"/>
  <c r="O29" i="26"/>
  <c r="O27" i="26"/>
  <c r="O25" i="26"/>
  <c r="O23" i="26"/>
  <c r="O21" i="26"/>
  <c r="O19" i="26"/>
  <c r="O17" i="26"/>
  <c r="O15" i="26"/>
  <c r="O13" i="26"/>
  <c r="O11" i="26"/>
  <c r="O9" i="26"/>
  <c r="O7" i="26"/>
  <c r="O5" i="26"/>
  <c r="Q41" i="26"/>
  <c r="Q39" i="26"/>
  <c r="Q37" i="26"/>
  <c r="Q35" i="26"/>
  <c r="Q33" i="26"/>
  <c r="Q31" i="26"/>
  <c r="Q29" i="26"/>
  <c r="Q27" i="26"/>
  <c r="Q25" i="26"/>
  <c r="Q23" i="26"/>
  <c r="Q21" i="26"/>
  <c r="Q19" i="26"/>
  <c r="Q17" i="26"/>
  <c r="Q15" i="26"/>
  <c r="Q13" i="26"/>
  <c r="Q11" i="26"/>
  <c r="Q9" i="26"/>
  <c r="Q7" i="26"/>
  <c r="Q5" i="26"/>
  <c r="S41" i="26"/>
  <c r="S39" i="26"/>
  <c r="S37" i="26"/>
  <c r="S35" i="26"/>
  <c r="S33" i="26"/>
  <c r="S31" i="26"/>
  <c r="S29" i="26"/>
  <c r="S27" i="26"/>
  <c r="S25" i="26"/>
  <c r="S23" i="26"/>
  <c r="S21" i="26"/>
  <c r="S19" i="26"/>
  <c r="S17" i="26"/>
  <c r="S15" i="26"/>
  <c r="S13" i="26"/>
  <c r="S11" i="26"/>
  <c r="S9" i="26"/>
  <c r="S7" i="26"/>
  <c r="S5" i="26"/>
  <c r="U41" i="26"/>
  <c r="U39" i="26"/>
  <c r="U37" i="26"/>
  <c r="U35" i="26"/>
  <c r="U33" i="26"/>
  <c r="U31" i="26"/>
  <c r="U29" i="26"/>
  <c r="U27" i="26"/>
  <c r="U25" i="26"/>
  <c r="U23" i="26"/>
  <c r="U21" i="26"/>
  <c r="U19" i="26"/>
  <c r="U17" i="26"/>
  <c r="U15" i="26"/>
  <c r="U13" i="26"/>
  <c r="U11" i="26"/>
  <c r="U9" i="26"/>
  <c r="U7" i="26"/>
  <c r="C41" i="23"/>
  <c r="C37" i="23"/>
  <c r="C33" i="23"/>
  <c r="C29" i="23"/>
  <c r="C25" i="23"/>
  <c r="C21" i="23"/>
  <c r="C17" i="23"/>
  <c r="C11" i="23"/>
  <c r="C7" i="23"/>
  <c r="C42" i="23"/>
  <c r="C40" i="23"/>
  <c r="C38" i="23"/>
  <c r="C36" i="23"/>
  <c r="C34" i="23"/>
  <c r="C32" i="23"/>
  <c r="C30" i="23"/>
  <c r="C28" i="23"/>
  <c r="C26" i="23"/>
  <c r="C24" i="23"/>
  <c r="C22" i="23"/>
  <c r="C20" i="23"/>
  <c r="C18" i="23"/>
  <c r="C16" i="23"/>
  <c r="C13" i="23"/>
  <c r="C9" i="23"/>
  <c r="C5" i="23"/>
  <c r="C14" i="23"/>
  <c r="C12" i="23"/>
  <c r="C10" i="23"/>
  <c r="C8" i="23"/>
  <c r="C6" i="23"/>
  <c r="C4" i="23"/>
  <c r="E42" i="23"/>
  <c r="G4" i="23"/>
  <c r="I42" i="23"/>
  <c r="K4" i="23"/>
  <c r="E10" i="23"/>
  <c r="G36" i="23"/>
  <c r="I10" i="23"/>
  <c r="K36" i="23"/>
  <c r="E26" i="23"/>
  <c r="G20" i="23"/>
  <c r="I26" i="23"/>
  <c r="K20" i="23"/>
  <c r="E34" i="23"/>
  <c r="E18" i="23"/>
  <c r="G28" i="23"/>
  <c r="G12" i="23"/>
  <c r="I34" i="23"/>
  <c r="I18" i="23"/>
  <c r="K28" i="23"/>
  <c r="K12" i="23"/>
  <c r="E38" i="23"/>
  <c r="E30" i="23"/>
  <c r="E22" i="23"/>
  <c r="E14" i="23"/>
  <c r="E6" i="23"/>
  <c r="G40" i="23"/>
  <c r="G32" i="23"/>
  <c r="G24" i="23"/>
  <c r="G16" i="23"/>
  <c r="G8" i="23"/>
  <c r="I38" i="23"/>
  <c r="I30" i="23"/>
  <c r="I22" i="23"/>
  <c r="I14" i="23"/>
  <c r="I6" i="23"/>
  <c r="K40" i="23"/>
  <c r="K32" i="23"/>
  <c r="K24" i="23"/>
  <c r="K16" i="23"/>
  <c r="K8" i="23"/>
  <c r="E40" i="23"/>
  <c r="E36" i="23"/>
  <c r="E32" i="23"/>
  <c r="E28" i="23"/>
  <c r="E24" i="23"/>
  <c r="E20" i="23"/>
  <c r="E16" i="23"/>
  <c r="E12" i="23"/>
  <c r="E8" i="23"/>
  <c r="E4" i="23"/>
  <c r="G42" i="23"/>
  <c r="G38" i="23"/>
  <c r="G34" i="23"/>
  <c r="G30" i="23"/>
  <c r="G26" i="23"/>
  <c r="G22" i="23"/>
  <c r="G18" i="23"/>
  <c r="G14" i="23"/>
  <c r="G10" i="23"/>
  <c r="G6" i="23"/>
  <c r="I40" i="23"/>
  <c r="I36" i="23"/>
  <c r="I32" i="23"/>
  <c r="I28" i="23"/>
  <c r="I24" i="23"/>
  <c r="I20" i="23"/>
  <c r="I16" i="23"/>
  <c r="I12" i="23"/>
  <c r="I8" i="23"/>
  <c r="I4" i="23"/>
  <c r="K42" i="23"/>
  <c r="K38" i="23"/>
  <c r="K34" i="23"/>
  <c r="K30" i="23"/>
  <c r="K26" i="23"/>
  <c r="K22" i="23"/>
  <c r="K18" i="23"/>
  <c r="K14" i="23"/>
  <c r="K10" i="23"/>
  <c r="K6" i="23"/>
  <c r="E41" i="23"/>
  <c r="E39" i="23"/>
  <c r="E37" i="23"/>
  <c r="E35" i="23"/>
  <c r="E33" i="23"/>
  <c r="E31" i="23"/>
  <c r="E29" i="23"/>
  <c r="E27" i="23"/>
  <c r="E25" i="23"/>
  <c r="E23" i="23"/>
  <c r="E21" i="23"/>
  <c r="E19" i="23"/>
  <c r="E17" i="23"/>
  <c r="E15" i="23"/>
  <c r="E13" i="23"/>
  <c r="E11" i="23"/>
  <c r="E9" i="23"/>
  <c r="E7" i="23"/>
  <c r="E5" i="23"/>
  <c r="G41" i="23"/>
  <c r="G39" i="23"/>
  <c r="G37" i="23"/>
  <c r="G35" i="23"/>
  <c r="G33" i="23"/>
  <c r="G31" i="23"/>
  <c r="G29" i="23"/>
  <c r="G27" i="23"/>
  <c r="G25" i="23"/>
  <c r="G23" i="23"/>
  <c r="G21" i="23"/>
  <c r="G19" i="23"/>
  <c r="G17" i="23"/>
  <c r="G15" i="23"/>
  <c r="G13" i="23"/>
  <c r="G11" i="23"/>
  <c r="G9" i="23"/>
  <c r="G7" i="23"/>
  <c r="G5" i="23"/>
  <c r="I41" i="23"/>
  <c r="I39" i="23"/>
  <c r="I37" i="23"/>
  <c r="I35" i="23"/>
  <c r="I33" i="23"/>
  <c r="I31" i="23"/>
  <c r="I29" i="23"/>
  <c r="I27" i="23"/>
  <c r="I25" i="23"/>
  <c r="I23" i="23"/>
  <c r="I21" i="23"/>
  <c r="I19" i="23"/>
  <c r="I17" i="23"/>
  <c r="I15" i="23"/>
  <c r="I13" i="23"/>
  <c r="I11" i="23"/>
  <c r="I9" i="23"/>
  <c r="I7" i="23"/>
  <c r="I5" i="23"/>
  <c r="K41" i="23"/>
  <c r="K39" i="23"/>
  <c r="K37" i="23"/>
  <c r="K35" i="23"/>
  <c r="K33" i="23"/>
  <c r="K31" i="23"/>
  <c r="K29" i="23"/>
  <c r="K27" i="23"/>
  <c r="K25" i="23"/>
  <c r="K23" i="23"/>
  <c r="K21" i="23"/>
  <c r="K19" i="23"/>
  <c r="K17" i="23"/>
  <c r="K15" i="23"/>
  <c r="K13" i="23"/>
  <c r="K11" i="23"/>
  <c r="K9" i="23"/>
  <c r="K7" i="23"/>
  <c r="E10" i="26"/>
  <c r="G36" i="26"/>
  <c r="I10" i="26"/>
  <c r="K36" i="26"/>
  <c r="E26" i="26"/>
  <c r="G20" i="26"/>
  <c r="I26" i="26"/>
  <c r="K20" i="26"/>
  <c r="E34" i="26"/>
  <c r="E18" i="26"/>
  <c r="G28" i="26"/>
  <c r="G12" i="26"/>
  <c r="I34" i="26"/>
  <c r="I18" i="26"/>
  <c r="K28" i="26"/>
  <c r="K12" i="26"/>
  <c r="E38" i="26"/>
  <c r="E30" i="26"/>
  <c r="E22" i="26"/>
  <c r="E14" i="26"/>
  <c r="E6" i="26"/>
  <c r="G40" i="26"/>
  <c r="G32" i="26"/>
  <c r="G24" i="26"/>
  <c r="G16" i="26"/>
  <c r="G8" i="26"/>
  <c r="I38" i="26"/>
  <c r="I30" i="26"/>
  <c r="I22" i="26"/>
  <c r="I14" i="26"/>
  <c r="I6" i="26"/>
  <c r="K40" i="26"/>
  <c r="K32" i="26"/>
  <c r="K24" i="26"/>
  <c r="K16" i="26"/>
  <c r="K8" i="26"/>
  <c r="E40" i="26"/>
  <c r="E36" i="26"/>
  <c r="E32" i="26"/>
  <c r="E28" i="26"/>
  <c r="E24" i="26"/>
  <c r="E20" i="26"/>
  <c r="E16" i="26"/>
  <c r="E12" i="26"/>
  <c r="E8" i="26"/>
  <c r="E4" i="26"/>
  <c r="G42" i="26"/>
  <c r="G38" i="26"/>
  <c r="G34" i="26"/>
  <c r="G30" i="26"/>
  <c r="G26" i="26"/>
  <c r="G22" i="26"/>
  <c r="G18" i="26"/>
  <c r="G14" i="26"/>
  <c r="G10" i="26"/>
  <c r="G6" i="26"/>
  <c r="I40" i="26"/>
  <c r="I36" i="26"/>
  <c r="I32" i="26"/>
  <c r="I28" i="26"/>
  <c r="I24" i="26"/>
  <c r="I20" i="26"/>
  <c r="I16" i="26"/>
  <c r="I12" i="26"/>
  <c r="I8" i="26"/>
  <c r="I4" i="26"/>
  <c r="K42" i="26"/>
  <c r="K38" i="26"/>
  <c r="K34" i="26"/>
  <c r="K30" i="26"/>
  <c r="K26" i="26"/>
  <c r="K22" i="26"/>
  <c r="K18" i="26"/>
  <c r="K14" i="26"/>
  <c r="K10" i="26"/>
  <c r="K6" i="26"/>
  <c r="E41" i="26"/>
  <c r="E39" i="26"/>
  <c r="E37" i="26"/>
  <c r="E35" i="26"/>
  <c r="E33" i="26"/>
  <c r="E31" i="26"/>
  <c r="E29" i="26"/>
  <c r="E27" i="26"/>
  <c r="E25" i="26"/>
  <c r="E23" i="26"/>
  <c r="E21" i="26"/>
  <c r="E19" i="26"/>
  <c r="E17" i="26"/>
  <c r="E15" i="26"/>
  <c r="E13" i="26"/>
  <c r="E11" i="26"/>
  <c r="E9" i="26"/>
  <c r="E7" i="26"/>
  <c r="E5" i="26"/>
  <c r="G41" i="26"/>
  <c r="G39" i="26"/>
  <c r="G37" i="26"/>
  <c r="G35" i="26"/>
  <c r="G33" i="26"/>
  <c r="G31" i="26"/>
  <c r="G29" i="26"/>
  <c r="G27" i="26"/>
  <c r="G25" i="26"/>
  <c r="G23" i="26"/>
  <c r="G21" i="26"/>
  <c r="G19" i="26"/>
  <c r="G17" i="26"/>
  <c r="G15" i="26"/>
  <c r="G13" i="26"/>
  <c r="G11" i="26"/>
  <c r="G9" i="26"/>
  <c r="G7" i="26"/>
  <c r="G5" i="26"/>
  <c r="I41" i="26"/>
  <c r="I39" i="26"/>
  <c r="I37" i="26"/>
  <c r="I35" i="26"/>
  <c r="I33" i="26"/>
  <c r="I31" i="26"/>
  <c r="I29" i="26"/>
  <c r="I27" i="26"/>
  <c r="I25" i="26"/>
  <c r="I23" i="26"/>
  <c r="I21" i="26"/>
  <c r="I19" i="26"/>
  <c r="I17" i="26"/>
  <c r="I15" i="26"/>
  <c r="I13" i="26"/>
  <c r="I11" i="26"/>
  <c r="I9" i="26"/>
  <c r="I7" i="26"/>
  <c r="I5" i="26"/>
  <c r="K41" i="26"/>
  <c r="K39" i="26"/>
  <c r="K37" i="26"/>
  <c r="K35" i="26"/>
  <c r="K33" i="26"/>
  <c r="K31" i="26"/>
  <c r="K29" i="26"/>
  <c r="K27" i="26"/>
  <c r="K25" i="26"/>
  <c r="K23" i="26"/>
  <c r="K21" i="26"/>
  <c r="K19" i="26"/>
  <c r="K17" i="26"/>
  <c r="K15" i="26"/>
  <c r="K13" i="26"/>
  <c r="K11" i="26"/>
  <c r="K9" i="26"/>
  <c r="K7" i="26"/>
  <c r="C596" i="37" l="1"/>
  <c r="B596" i="37"/>
  <c r="C556" i="37"/>
  <c r="B556" i="37"/>
  <c r="C502" i="37"/>
  <c r="B502" i="37"/>
  <c r="C462" i="37"/>
  <c r="B462" i="37"/>
  <c r="C422" i="37"/>
  <c r="B422" i="37"/>
  <c r="C382" i="37"/>
  <c r="B382" i="37"/>
  <c r="C342" i="37"/>
  <c r="B342" i="37"/>
  <c r="C302" i="37"/>
  <c r="B302" i="37"/>
  <c r="C262" i="37"/>
  <c r="B262" i="37"/>
  <c r="C222" i="37"/>
  <c r="B222" i="37"/>
  <c r="C164" i="37"/>
  <c r="B164" i="37"/>
  <c r="C120" i="37"/>
  <c r="B120" i="37"/>
  <c r="C80" i="37"/>
  <c r="B80" i="37"/>
  <c r="C40" i="37"/>
  <c r="B40" i="37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G30" i="1" s="1"/>
  <c r="H30" i="1" s="1"/>
  <c r="F31" i="1"/>
  <c r="F32" i="1"/>
  <c r="G32" i="1" s="1"/>
  <c r="H32" i="1" s="1"/>
  <c r="G31" i="1"/>
  <c r="H31" i="1" s="1"/>
  <c r="G29" i="1"/>
  <c r="H29" i="1" s="1"/>
  <c r="G28" i="1"/>
  <c r="H28" i="1" s="1"/>
  <c r="G27" i="1"/>
  <c r="H27" i="1" s="1"/>
  <c r="G26" i="1"/>
  <c r="H26" i="1" s="1"/>
  <c r="G25" i="1"/>
  <c r="H25" i="1" s="1"/>
  <c r="G24" i="1"/>
  <c r="H24" i="1" s="1"/>
  <c r="G23" i="1"/>
  <c r="H23" i="1" s="1"/>
  <c r="G22" i="1"/>
  <c r="H22" i="1" s="1"/>
  <c r="G21" i="1"/>
  <c r="H21" i="1" s="1"/>
  <c r="G20" i="1"/>
  <c r="H20" i="1" s="1"/>
  <c r="G19" i="1"/>
  <c r="H19" i="1" s="1"/>
  <c r="G18" i="1"/>
  <c r="H18" i="1" s="1"/>
  <c r="G17" i="1"/>
  <c r="H17" i="1" s="1"/>
  <c r="G16" i="1"/>
  <c r="H16" i="1" s="1"/>
  <c r="H15" i="1"/>
  <c r="I15" i="1" s="1"/>
  <c r="G15" i="1"/>
  <c r="I14" i="1"/>
  <c r="G14" i="1"/>
  <c r="H14" i="1" s="1"/>
  <c r="J14" i="1" s="1"/>
  <c r="G13" i="1"/>
  <c r="H13" i="1" s="1"/>
  <c r="G12" i="1"/>
  <c r="H12" i="1" s="1"/>
  <c r="J12" i="1" s="1"/>
  <c r="G11" i="1"/>
  <c r="H11" i="1" s="1"/>
  <c r="G10" i="1"/>
  <c r="H10" i="1" s="1"/>
  <c r="J10" i="1" s="1"/>
  <c r="G9" i="1"/>
  <c r="H9" i="1" s="1"/>
  <c r="G8" i="1"/>
  <c r="H8" i="1" s="1"/>
  <c r="J8" i="1" s="1"/>
  <c r="G7" i="1"/>
  <c r="H7" i="1" s="1"/>
  <c r="G6" i="1"/>
  <c r="H6" i="1" s="1"/>
  <c r="J6" i="1" s="1"/>
  <c r="G5" i="1"/>
  <c r="H5" i="1" s="1"/>
  <c r="G4" i="1"/>
  <c r="H4" i="1" s="1"/>
  <c r="J4" i="1" s="1"/>
  <c r="G3" i="1"/>
  <c r="H3" i="1" s="1"/>
  <c r="I13" i="1" l="1"/>
  <c r="J13" i="1"/>
  <c r="I5" i="1"/>
  <c r="J5" i="1"/>
  <c r="I9" i="1"/>
  <c r="J9" i="1"/>
  <c r="I3" i="1"/>
  <c r="J3" i="1"/>
  <c r="I7" i="1"/>
  <c r="J7" i="1"/>
  <c r="I11" i="1"/>
  <c r="J11" i="1"/>
  <c r="I4" i="1"/>
  <c r="I6" i="1"/>
  <c r="I8" i="1"/>
  <c r="I10" i="1"/>
  <c r="I12" i="1"/>
  <c r="I17" i="1"/>
  <c r="J17" i="1"/>
  <c r="J18" i="1"/>
  <c r="I18" i="1"/>
  <c r="I21" i="1"/>
  <c r="J21" i="1"/>
  <c r="J22" i="1"/>
  <c r="I22" i="1"/>
  <c r="I25" i="1"/>
  <c r="J25" i="1"/>
  <c r="J26" i="1"/>
  <c r="I26" i="1"/>
  <c r="I29" i="1"/>
  <c r="J29" i="1"/>
  <c r="J30" i="1"/>
  <c r="I30" i="1"/>
  <c r="J15" i="1"/>
  <c r="J16" i="1"/>
  <c r="I16" i="1"/>
  <c r="I19" i="1"/>
  <c r="J19" i="1"/>
  <c r="J20" i="1"/>
  <c r="I20" i="1"/>
  <c r="I23" i="1"/>
  <c r="J23" i="1"/>
  <c r="J24" i="1"/>
  <c r="I24" i="1"/>
  <c r="I27" i="1"/>
  <c r="J27" i="1"/>
  <c r="J28" i="1"/>
  <c r="I28" i="1"/>
  <c r="I31" i="1"/>
  <c r="J31" i="1"/>
  <c r="J32" i="1"/>
  <c r="I32" i="1"/>
  <c r="J54" i="24" l="1"/>
  <c r="H54" i="24"/>
  <c r="F54" i="24"/>
  <c r="B54" i="24"/>
  <c r="H10" i="4" l="1"/>
  <c r="J10" i="4"/>
  <c r="H11" i="4"/>
  <c r="J11" i="4"/>
  <c r="H12" i="4"/>
  <c r="J12" i="4"/>
  <c r="H13" i="4"/>
  <c r="J13" i="4"/>
  <c r="L32" i="1"/>
  <c r="O32" i="1" s="1"/>
  <c r="N32" i="1" l="1"/>
  <c r="L31" i="1"/>
  <c r="O31" i="1" s="1"/>
  <c r="L30" i="1"/>
  <c r="N30" i="1" s="1"/>
  <c r="L29" i="1"/>
  <c r="O29" i="1" s="1"/>
  <c r="L28" i="1"/>
  <c r="N28" i="1" s="1"/>
  <c r="L27" i="1"/>
  <c r="O27" i="1" s="1"/>
  <c r="L26" i="1"/>
  <c r="N26" i="1" s="1"/>
  <c r="L25" i="1"/>
  <c r="O25" i="1" s="1"/>
  <c r="L24" i="1"/>
  <c r="O24" i="1" s="1"/>
  <c r="L23" i="1"/>
  <c r="N23" i="1" s="1"/>
  <c r="L22" i="1"/>
  <c r="O22" i="1" s="1"/>
  <c r="L21" i="1"/>
  <c r="O21" i="1" s="1"/>
  <c r="L20" i="1"/>
  <c r="N20" i="1" s="1"/>
  <c r="L19" i="1"/>
  <c r="O19" i="1" s="1"/>
  <c r="L18" i="1"/>
  <c r="N18" i="1" s="1"/>
  <c r="L17" i="1"/>
  <c r="O17" i="1" s="1"/>
  <c r="L16" i="1"/>
  <c r="N16" i="1" s="1"/>
  <c r="L15" i="1"/>
  <c r="O15" i="1" s="1"/>
  <c r="L14" i="1"/>
  <c r="N14" i="1" s="1"/>
  <c r="L13" i="1"/>
  <c r="N13" i="1" s="1"/>
  <c r="L12" i="1"/>
  <c r="O12" i="1" s="1"/>
  <c r="L11" i="1"/>
  <c r="N11" i="1" s="1"/>
  <c r="L10" i="1"/>
  <c r="N10" i="1" s="1"/>
  <c r="L9" i="1"/>
  <c r="O9" i="1" s="1"/>
  <c r="L8" i="1"/>
  <c r="N8" i="1" s="1"/>
  <c r="L7" i="1"/>
  <c r="O7" i="1" s="1"/>
  <c r="L6" i="1"/>
  <c r="N6" i="1" s="1"/>
  <c r="L5" i="1"/>
  <c r="O5" i="1" s="1"/>
  <c r="L4" i="1"/>
  <c r="N4" i="1" s="1"/>
  <c r="L3" i="1"/>
  <c r="O3" i="1" s="1"/>
  <c r="N12" i="1" l="1"/>
  <c r="N5" i="1"/>
  <c r="N19" i="1"/>
  <c r="N25" i="1"/>
  <c r="N9" i="1"/>
  <c r="N15" i="1"/>
  <c r="N22" i="1"/>
  <c r="N29" i="1"/>
  <c r="N3" i="1"/>
  <c r="N7" i="1"/>
  <c r="N17" i="1"/>
  <c r="N21" i="1"/>
  <c r="N24" i="1"/>
  <c r="N27" i="1"/>
  <c r="N31" i="1"/>
  <c r="O4" i="1"/>
  <c r="O6" i="1"/>
  <c r="O8" i="1"/>
  <c r="O10" i="1"/>
  <c r="O11" i="1"/>
  <c r="O13" i="1"/>
  <c r="O14" i="1"/>
  <c r="O16" i="1"/>
  <c r="O18" i="1"/>
  <c r="O20" i="1"/>
  <c r="O23" i="1"/>
  <c r="O26" i="1"/>
  <c r="O28" i="1"/>
  <c r="O30" i="1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4" i="24"/>
  <c r="D2" i="4" l="1" a="1"/>
  <c r="D2" i="4" s="1"/>
  <c r="D3" i="4" l="1" a="1"/>
  <c r="D3" i="4" s="1"/>
  <c r="D4" i="4" s="1" a="1"/>
  <c r="D4" i="4" s="1"/>
  <c r="D5" i="4" s="1" a="1"/>
  <c r="D5" i="4" s="1"/>
  <c r="C7" i="29"/>
  <c r="C6" i="29"/>
  <c r="C5" i="29"/>
  <c r="C4" i="29"/>
  <c r="C3" i="29"/>
  <c r="C2" i="29"/>
  <c r="C1" i="29"/>
  <c r="U35" i="28"/>
  <c r="U38" i="27"/>
  <c r="W32" i="26"/>
  <c r="AE38" i="26"/>
  <c r="D54" i="24"/>
  <c r="M31" i="23"/>
  <c r="AE29" i="23"/>
  <c r="M29" i="23"/>
  <c r="AE38" i="18"/>
  <c r="Z38" i="4"/>
  <c r="X38" i="4"/>
  <c r="V38" i="4"/>
  <c r="T38" i="4"/>
  <c r="R38" i="4"/>
  <c r="AA37" i="4"/>
  <c r="Y37" i="4"/>
  <c r="W37" i="4"/>
  <c r="U37" i="4"/>
  <c r="S37" i="4"/>
  <c r="AA36" i="4"/>
  <c r="Y36" i="4"/>
  <c r="W36" i="4"/>
  <c r="U36" i="4"/>
  <c r="S36" i="4"/>
  <c r="AA35" i="4"/>
  <c r="Y35" i="4"/>
  <c r="W35" i="4"/>
  <c r="U35" i="4"/>
  <c r="S35" i="4"/>
  <c r="AA34" i="4"/>
  <c r="Y34" i="4"/>
  <c r="W34" i="4"/>
  <c r="U34" i="4"/>
  <c r="S34" i="4"/>
  <c r="AA33" i="4"/>
  <c r="Y33" i="4"/>
  <c r="W33" i="4"/>
  <c r="U33" i="4"/>
  <c r="S33" i="4"/>
  <c r="AA32" i="4"/>
  <c r="Y32" i="4"/>
  <c r="W32" i="4"/>
  <c r="U32" i="4"/>
  <c r="S32" i="4"/>
  <c r="AA31" i="4"/>
  <c r="Y31" i="4"/>
  <c r="W31" i="4"/>
  <c r="U31" i="4"/>
  <c r="S31" i="4"/>
  <c r="AA30" i="4"/>
  <c r="Y30" i="4"/>
  <c r="W30" i="4"/>
  <c r="U30" i="4"/>
  <c r="S30" i="4"/>
  <c r="AA29" i="4"/>
  <c r="Y29" i="4"/>
  <c r="W29" i="4"/>
  <c r="U29" i="4"/>
  <c r="S29" i="4"/>
  <c r="AA28" i="4"/>
  <c r="Y28" i="4"/>
  <c r="W28" i="4"/>
  <c r="U28" i="4"/>
  <c r="S28" i="4"/>
  <c r="AA27" i="4"/>
  <c r="Y27" i="4"/>
  <c r="W27" i="4"/>
  <c r="U27" i="4"/>
  <c r="S27" i="4"/>
  <c r="AA26" i="4"/>
  <c r="Y26" i="4"/>
  <c r="W26" i="4"/>
  <c r="U26" i="4"/>
  <c r="S26" i="4"/>
  <c r="AA25" i="4"/>
  <c r="Y25" i="4"/>
  <c r="W25" i="4"/>
  <c r="U25" i="4"/>
  <c r="S25" i="4"/>
  <c r="AA24" i="4"/>
  <c r="Y24" i="4"/>
  <c r="W24" i="4"/>
  <c r="U24" i="4"/>
  <c r="S24" i="4"/>
  <c r="AA23" i="4"/>
  <c r="Y23" i="4"/>
  <c r="W23" i="4"/>
  <c r="U23" i="4"/>
  <c r="S23" i="4"/>
  <c r="AA22" i="4"/>
  <c r="Y22" i="4"/>
  <c r="W22" i="4"/>
  <c r="U22" i="4"/>
  <c r="S22" i="4"/>
  <c r="AA21" i="4"/>
  <c r="Y21" i="4"/>
  <c r="W21" i="4"/>
  <c r="U21" i="4"/>
  <c r="S21" i="4"/>
  <c r="AA20" i="4"/>
  <c r="Y20" i="4"/>
  <c r="W20" i="4"/>
  <c r="U20" i="4"/>
  <c r="S20" i="4"/>
  <c r="AA19" i="4"/>
  <c r="Y19" i="4"/>
  <c r="W19" i="4"/>
  <c r="U19" i="4"/>
  <c r="S19" i="4"/>
  <c r="AA18" i="4"/>
  <c r="Y18" i="4"/>
  <c r="W18" i="4"/>
  <c r="U18" i="4"/>
  <c r="S18" i="4"/>
  <c r="AA17" i="4"/>
  <c r="Y17" i="4"/>
  <c r="W17" i="4"/>
  <c r="U17" i="4"/>
  <c r="S17" i="4"/>
  <c r="AA16" i="4"/>
  <c r="Y16" i="4"/>
  <c r="W16" i="4"/>
  <c r="U16" i="4"/>
  <c r="S16" i="4"/>
  <c r="AA15" i="4"/>
  <c r="Y15" i="4"/>
  <c r="W15" i="4"/>
  <c r="U15" i="4"/>
  <c r="S15" i="4"/>
  <c r="AA14" i="4"/>
  <c r="Y14" i="4"/>
  <c r="W14" i="4"/>
  <c r="U14" i="4"/>
  <c r="S14" i="4"/>
  <c r="AA13" i="4"/>
  <c r="Y13" i="4"/>
  <c r="W13" i="4"/>
  <c r="U13" i="4"/>
  <c r="S13" i="4"/>
  <c r="AA12" i="4"/>
  <c r="Y12" i="4"/>
  <c r="W12" i="4"/>
  <c r="U12" i="4"/>
  <c r="S12" i="4"/>
  <c r="AA11" i="4"/>
  <c r="Y11" i="4"/>
  <c r="W11" i="4"/>
  <c r="U11" i="4"/>
  <c r="S11" i="4"/>
  <c r="AA10" i="4"/>
  <c r="Y10" i="4"/>
  <c r="W10" i="4"/>
  <c r="U10" i="4"/>
  <c r="S10" i="4"/>
  <c r="AA9" i="4"/>
  <c r="Y9" i="4"/>
  <c r="W9" i="4"/>
  <c r="U9" i="4"/>
  <c r="S9" i="4"/>
  <c r="AA8" i="4"/>
  <c r="Y8" i="4"/>
  <c r="W8" i="4"/>
  <c r="U8" i="4"/>
  <c r="S8" i="4"/>
  <c r="AA7" i="4"/>
  <c r="Y7" i="4"/>
  <c r="W7" i="4"/>
  <c r="U7" i="4"/>
  <c r="S7" i="4"/>
  <c r="AA6" i="4"/>
  <c r="Y6" i="4"/>
  <c r="W6" i="4"/>
  <c r="U6" i="4"/>
  <c r="S6" i="4"/>
  <c r="AA5" i="4"/>
  <c r="Y5" i="4"/>
  <c r="W5" i="4"/>
  <c r="U5" i="4"/>
  <c r="S5" i="4"/>
  <c r="T54" i="20"/>
  <c r="U53" i="20" s="1"/>
  <c r="R54" i="20"/>
  <c r="S53" i="20" s="1"/>
  <c r="P54" i="20"/>
  <c r="Q53" i="20" s="1"/>
  <c r="N54" i="20"/>
  <c r="O50" i="20" s="1"/>
  <c r="L54" i="20"/>
  <c r="M49" i="20" s="1"/>
  <c r="T54" i="19"/>
  <c r="U53" i="19" s="1"/>
  <c r="R54" i="19"/>
  <c r="S53" i="19" s="1"/>
  <c r="P54" i="19"/>
  <c r="Q45" i="19" s="1"/>
  <c r="N54" i="19"/>
  <c r="O53" i="19" s="1"/>
  <c r="L54" i="19"/>
  <c r="M53" i="19" s="1"/>
  <c r="O55" i="4"/>
  <c r="M55" i="4"/>
  <c r="K55" i="4"/>
  <c r="I55" i="4"/>
  <c r="G55" i="4"/>
  <c r="P54" i="4"/>
  <c r="N54" i="4"/>
  <c r="L54" i="4"/>
  <c r="J54" i="4"/>
  <c r="H54" i="4"/>
  <c r="P53" i="4"/>
  <c r="N53" i="4"/>
  <c r="L53" i="4"/>
  <c r="J53" i="4"/>
  <c r="H53" i="4"/>
  <c r="P52" i="4"/>
  <c r="N52" i="4"/>
  <c r="L52" i="4"/>
  <c r="J52" i="4"/>
  <c r="H52" i="4"/>
  <c r="P51" i="4"/>
  <c r="N51" i="4"/>
  <c r="L51" i="4"/>
  <c r="J51" i="4"/>
  <c r="H51" i="4"/>
  <c r="P50" i="4"/>
  <c r="N50" i="4"/>
  <c r="L50" i="4"/>
  <c r="J50" i="4"/>
  <c r="H50" i="4"/>
  <c r="P49" i="4"/>
  <c r="N49" i="4"/>
  <c r="L49" i="4"/>
  <c r="J49" i="4"/>
  <c r="H49" i="4"/>
  <c r="P48" i="4"/>
  <c r="N48" i="4"/>
  <c r="L48" i="4"/>
  <c r="J48" i="4"/>
  <c r="H48" i="4"/>
  <c r="P47" i="4"/>
  <c r="N47" i="4"/>
  <c r="L47" i="4"/>
  <c r="J47" i="4"/>
  <c r="H47" i="4"/>
  <c r="P46" i="4"/>
  <c r="N46" i="4"/>
  <c r="L46" i="4"/>
  <c r="J46" i="4"/>
  <c r="H46" i="4"/>
  <c r="P45" i="4"/>
  <c r="N45" i="4"/>
  <c r="L45" i="4"/>
  <c r="J45" i="4"/>
  <c r="H45" i="4"/>
  <c r="P44" i="4"/>
  <c r="N44" i="4"/>
  <c r="L44" i="4"/>
  <c r="J44" i="4"/>
  <c r="H44" i="4"/>
  <c r="P43" i="4"/>
  <c r="N43" i="4"/>
  <c r="L43" i="4"/>
  <c r="J43" i="4"/>
  <c r="H43" i="4"/>
  <c r="P42" i="4"/>
  <c r="N42" i="4"/>
  <c r="L42" i="4"/>
  <c r="J42" i="4"/>
  <c r="H42" i="4"/>
  <c r="P41" i="4"/>
  <c r="N41" i="4"/>
  <c r="L41" i="4"/>
  <c r="J41" i="4"/>
  <c r="H41" i="4"/>
  <c r="P40" i="4"/>
  <c r="N40" i="4"/>
  <c r="L40" i="4"/>
  <c r="J40" i="4"/>
  <c r="H40" i="4"/>
  <c r="P39" i="4"/>
  <c r="N39" i="4"/>
  <c r="L39" i="4"/>
  <c r="J39" i="4"/>
  <c r="H39" i="4"/>
  <c r="P38" i="4"/>
  <c r="N38" i="4"/>
  <c r="L38" i="4"/>
  <c r="J38" i="4"/>
  <c r="H38" i="4"/>
  <c r="P37" i="4"/>
  <c r="N37" i="4"/>
  <c r="L37" i="4"/>
  <c r="J37" i="4"/>
  <c r="H37" i="4"/>
  <c r="P36" i="4"/>
  <c r="N36" i="4"/>
  <c r="L36" i="4"/>
  <c r="J36" i="4"/>
  <c r="H36" i="4"/>
  <c r="P35" i="4"/>
  <c r="N35" i="4"/>
  <c r="L35" i="4"/>
  <c r="J35" i="4"/>
  <c r="H35" i="4"/>
  <c r="P34" i="4"/>
  <c r="N34" i="4"/>
  <c r="L34" i="4"/>
  <c r="J34" i="4"/>
  <c r="H34" i="4"/>
  <c r="P33" i="4"/>
  <c r="N33" i="4"/>
  <c r="L33" i="4"/>
  <c r="J33" i="4"/>
  <c r="H33" i="4"/>
  <c r="P32" i="4"/>
  <c r="N32" i="4"/>
  <c r="L32" i="4"/>
  <c r="J32" i="4"/>
  <c r="H32" i="4"/>
  <c r="P31" i="4"/>
  <c r="N31" i="4"/>
  <c r="L31" i="4"/>
  <c r="J31" i="4"/>
  <c r="H31" i="4"/>
  <c r="P30" i="4"/>
  <c r="N30" i="4"/>
  <c r="L30" i="4"/>
  <c r="J30" i="4"/>
  <c r="H30" i="4"/>
  <c r="P29" i="4"/>
  <c r="N29" i="4"/>
  <c r="L29" i="4"/>
  <c r="J29" i="4"/>
  <c r="H29" i="4"/>
  <c r="P28" i="4"/>
  <c r="N28" i="4"/>
  <c r="L28" i="4"/>
  <c r="J28" i="4"/>
  <c r="H28" i="4"/>
  <c r="P27" i="4"/>
  <c r="N27" i="4"/>
  <c r="L27" i="4"/>
  <c r="J27" i="4"/>
  <c r="H27" i="4"/>
  <c r="P26" i="4"/>
  <c r="N26" i="4"/>
  <c r="L26" i="4"/>
  <c r="J26" i="4"/>
  <c r="H26" i="4"/>
  <c r="P25" i="4"/>
  <c r="N25" i="4"/>
  <c r="L25" i="4"/>
  <c r="J25" i="4"/>
  <c r="H25" i="4"/>
  <c r="P24" i="4"/>
  <c r="N24" i="4"/>
  <c r="L24" i="4"/>
  <c r="J24" i="4"/>
  <c r="H24" i="4"/>
  <c r="P23" i="4"/>
  <c r="N23" i="4"/>
  <c r="L23" i="4"/>
  <c r="J23" i="4"/>
  <c r="H23" i="4"/>
  <c r="P22" i="4"/>
  <c r="N22" i="4"/>
  <c r="L22" i="4"/>
  <c r="J22" i="4"/>
  <c r="H22" i="4"/>
  <c r="P21" i="4"/>
  <c r="N21" i="4"/>
  <c r="L21" i="4"/>
  <c r="J21" i="4"/>
  <c r="H21" i="4"/>
  <c r="P20" i="4"/>
  <c r="N20" i="4"/>
  <c r="L20" i="4"/>
  <c r="J20" i="4"/>
  <c r="H20" i="4"/>
  <c r="P19" i="4"/>
  <c r="N19" i="4"/>
  <c r="L19" i="4"/>
  <c r="J19" i="4"/>
  <c r="H19" i="4"/>
  <c r="P18" i="4"/>
  <c r="N18" i="4"/>
  <c r="L18" i="4"/>
  <c r="J18" i="4"/>
  <c r="H18" i="4"/>
  <c r="P17" i="4"/>
  <c r="N17" i="4"/>
  <c r="L17" i="4"/>
  <c r="J17" i="4"/>
  <c r="H17" i="4"/>
  <c r="P16" i="4"/>
  <c r="N16" i="4"/>
  <c r="L16" i="4"/>
  <c r="J16" i="4"/>
  <c r="H16" i="4"/>
  <c r="P15" i="4"/>
  <c r="N15" i="4"/>
  <c r="L15" i="4"/>
  <c r="J15" i="4"/>
  <c r="H15" i="4"/>
  <c r="P14" i="4"/>
  <c r="N14" i="4"/>
  <c r="L14" i="4"/>
  <c r="J14" i="4"/>
  <c r="H14" i="4"/>
  <c r="P13" i="4"/>
  <c r="N13" i="4"/>
  <c r="L13" i="4"/>
  <c r="P12" i="4"/>
  <c r="N12" i="4"/>
  <c r="L12" i="4"/>
  <c r="P11" i="4"/>
  <c r="N11" i="4"/>
  <c r="L11" i="4"/>
  <c r="P10" i="4"/>
  <c r="N10" i="4"/>
  <c r="L10" i="4"/>
  <c r="P9" i="4"/>
  <c r="N9" i="4"/>
  <c r="L9" i="4"/>
  <c r="J9" i="4"/>
  <c r="H9" i="4"/>
  <c r="P8" i="4"/>
  <c r="N8" i="4"/>
  <c r="L8" i="4"/>
  <c r="J8" i="4"/>
  <c r="H8" i="4"/>
  <c r="P7" i="4"/>
  <c r="N7" i="4"/>
  <c r="L7" i="4"/>
  <c r="J7" i="4"/>
  <c r="H7" i="4"/>
  <c r="P6" i="4"/>
  <c r="N6" i="4"/>
  <c r="L6" i="4"/>
  <c r="J6" i="4"/>
  <c r="H6" i="4"/>
  <c r="P5" i="4"/>
  <c r="N5" i="4"/>
  <c r="L5" i="4"/>
  <c r="J5" i="4"/>
  <c r="H5" i="4"/>
  <c r="J54" i="19"/>
  <c r="K53" i="19" s="1"/>
  <c r="H54" i="19"/>
  <c r="I53" i="19" s="1"/>
  <c r="F54" i="19"/>
  <c r="G53" i="19" s="1"/>
  <c r="D54" i="19"/>
  <c r="E53" i="19" s="1"/>
  <c r="B54" i="19"/>
  <c r="C5" i="19" s="1"/>
  <c r="T54" i="17"/>
  <c r="R54" i="17"/>
  <c r="P54" i="17"/>
  <c r="N54" i="17"/>
  <c r="L54" i="17"/>
  <c r="J54" i="17"/>
  <c r="H54" i="17"/>
  <c r="F54" i="17"/>
  <c r="D54" i="17"/>
  <c r="B54" i="17"/>
  <c r="U23" i="28" l="1"/>
  <c r="U15" i="28"/>
  <c r="U14" i="28"/>
  <c r="S38" i="28"/>
  <c r="S15" i="28"/>
  <c r="S14" i="28"/>
  <c r="Q35" i="28"/>
  <c r="Q15" i="28"/>
  <c r="Q14" i="28"/>
  <c r="O38" i="28"/>
  <c r="O15" i="28"/>
  <c r="O14" i="28"/>
  <c r="M35" i="28"/>
  <c r="M15" i="28"/>
  <c r="M14" i="28"/>
  <c r="AE35" i="27"/>
  <c r="AE22" i="27"/>
  <c r="AE20" i="27"/>
  <c r="AE23" i="27"/>
  <c r="AE21" i="27"/>
  <c r="AC37" i="27"/>
  <c r="AC22" i="27"/>
  <c r="AC20" i="27"/>
  <c r="AC23" i="27"/>
  <c r="AC21" i="27"/>
  <c r="Y38" i="27"/>
  <c r="Y23" i="27"/>
  <c r="Y21" i="27"/>
  <c r="Y24" i="27"/>
  <c r="Y22" i="27"/>
  <c r="Y20" i="27"/>
  <c r="W33" i="27"/>
  <c r="W23" i="27"/>
  <c r="W21" i="27"/>
  <c r="W22" i="27"/>
  <c r="W20" i="27"/>
  <c r="U33" i="27"/>
  <c r="U23" i="27"/>
  <c r="U21" i="27"/>
  <c r="U22" i="27"/>
  <c r="U20" i="27"/>
  <c r="S37" i="27"/>
  <c r="S24" i="27"/>
  <c r="S22" i="27"/>
  <c r="S23" i="27"/>
  <c r="S21" i="27"/>
  <c r="Q37" i="27"/>
  <c r="Q23" i="27"/>
  <c r="Q21" i="27"/>
  <c r="Q22" i="27"/>
  <c r="Q20" i="27"/>
  <c r="O33" i="27"/>
  <c r="O23" i="27"/>
  <c r="O21" i="27"/>
  <c r="O22" i="27"/>
  <c r="M38" i="27"/>
  <c r="M22" i="27"/>
  <c r="M23" i="27"/>
  <c r="M21" i="27"/>
  <c r="K37" i="27"/>
  <c r="K23" i="27"/>
  <c r="K21" i="27"/>
  <c r="K22" i="27"/>
  <c r="K20" i="27"/>
  <c r="I36" i="27"/>
  <c r="I23" i="27"/>
  <c r="I21" i="27"/>
  <c r="I22" i="27"/>
  <c r="G10" i="27"/>
  <c r="G21" i="27"/>
  <c r="G22" i="27"/>
  <c r="E38" i="27"/>
  <c r="E22" i="27"/>
  <c r="E20" i="27"/>
  <c r="E23" i="27"/>
  <c r="E21" i="27"/>
  <c r="C10" i="27"/>
  <c r="C23" i="27"/>
  <c r="C21" i="27"/>
  <c r="C24" i="27"/>
  <c r="C22" i="27"/>
  <c r="W15" i="26"/>
  <c r="W16" i="26"/>
  <c r="W24" i="26"/>
  <c r="W25" i="26"/>
  <c r="W28" i="26"/>
  <c r="W11" i="26"/>
  <c r="AO38" i="26"/>
  <c r="AO22" i="26"/>
  <c r="AO20" i="26"/>
  <c r="AO18" i="26"/>
  <c r="AO23" i="26"/>
  <c r="AO21" i="26"/>
  <c r="AO19" i="26"/>
  <c r="AI38" i="26"/>
  <c r="AI20" i="26"/>
  <c r="AI18" i="26"/>
  <c r="AI21" i="26"/>
  <c r="AI19" i="26"/>
  <c r="AI17" i="26"/>
  <c r="AG37" i="26"/>
  <c r="AG24" i="26"/>
  <c r="AG22" i="26"/>
  <c r="AG20" i="26"/>
  <c r="AG18" i="26"/>
  <c r="AG23" i="26"/>
  <c r="AG21" i="26"/>
  <c r="AG19" i="26"/>
  <c r="AE37" i="26"/>
  <c r="AE21" i="26"/>
  <c r="AE19" i="26"/>
  <c r="AE17" i="26"/>
  <c r="AE22" i="26"/>
  <c r="AE20" i="26"/>
  <c r="AE18" i="26"/>
  <c r="AE4" i="26"/>
  <c r="AE5" i="26"/>
  <c r="Y38" i="26"/>
  <c r="Y22" i="26"/>
  <c r="Y20" i="26"/>
  <c r="Y23" i="26"/>
  <c r="Y21" i="26"/>
  <c r="Y19" i="26"/>
  <c r="W37" i="26"/>
  <c r="W23" i="26"/>
  <c r="W21" i="26"/>
  <c r="W19" i="26"/>
  <c r="W22" i="26"/>
  <c r="W20" i="26"/>
  <c r="W18" i="26"/>
  <c r="W9" i="26"/>
  <c r="W13" i="26"/>
  <c r="W26" i="26"/>
  <c r="W30" i="26"/>
  <c r="W34" i="26"/>
  <c r="AE34" i="23"/>
  <c r="AE16" i="23"/>
  <c r="AE17" i="23"/>
  <c r="Y37" i="23"/>
  <c r="Y17" i="23"/>
  <c r="Y18" i="23"/>
  <c r="Y16" i="23"/>
  <c r="W38" i="23"/>
  <c r="W18" i="23"/>
  <c r="W16" i="23"/>
  <c r="W17" i="23"/>
  <c r="U37" i="23"/>
  <c r="U17" i="23"/>
  <c r="U18" i="23"/>
  <c r="U16" i="23"/>
  <c r="O37" i="23"/>
  <c r="O18" i="23"/>
  <c r="O16" i="23"/>
  <c r="O17" i="23"/>
  <c r="O15" i="23"/>
  <c r="M38" i="23"/>
  <c r="M19" i="23"/>
  <c r="M17" i="23"/>
  <c r="M15" i="23"/>
  <c r="M18" i="23"/>
  <c r="M16" i="23"/>
  <c r="Y38" i="18"/>
  <c r="Y18" i="18"/>
  <c r="Y17" i="18"/>
  <c r="U38" i="18"/>
  <c r="U18" i="18"/>
  <c r="U17" i="18"/>
  <c r="O38" i="18"/>
  <c r="O18" i="18"/>
  <c r="O17" i="18"/>
  <c r="M38" i="18"/>
  <c r="M17" i="18"/>
  <c r="M18" i="18"/>
  <c r="AC38" i="18"/>
  <c r="AC18" i="18"/>
  <c r="AC17" i="18"/>
  <c r="S38" i="18"/>
  <c r="S18" i="18"/>
  <c r="S17" i="18"/>
  <c r="AA38" i="18"/>
  <c r="AA17" i="18"/>
  <c r="AA18" i="18"/>
  <c r="Q38" i="18"/>
  <c r="Q18" i="18"/>
  <c r="Q17" i="18"/>
  <c r="AC38" i="23"/>
  <c r="AC17" i="23"/>
  <c r="AC18" i="23"/>
  <c r="AC16" i="23"/>
  <c r="S36" i="23"/>
  <c r="S16" i="23"/>
  <c r="S17" i="23"/>
  <c r="AA35" i="23"/>
  <c r="AA18" i="23"/>
  <c r="AA16" i="23"/>
  <c r="AA17" i="23"/>
  <c r="Q37" i="23"/>
  <c r="Q18" i="23"/>
  <c r="Q16" i="23"/>
  <c r="Q17" i="23"/>
  <c r="AM38" i="26"/>
  <c r="AM23" i="26"/>
  <c r="AM21" i="26"/>
  <c r="AM19" i="26"/>
  <c r="AM22" i="26"/>
  <c r="AM20" i="26"/>
  <c r="AM18" i="26"/>
  <c r="AC37" i="26"/>
  <c r="AC23" i="26"/>
  <c r="AC21" i="26"/>
  <c r="AC19" i="26"/>
  <c r="AC24" i="26"/>
  <c r="AC22" i="26"/>
  <c r="AC20" i="26"/>
  <c r="AC18" i="26"/>
  <c r="AK38" i="26"/>
  <c r="AK22" i="26"/>
  <c r="AK20" i="26"/>
  <c r="AK18" i="26"/>
  <c r="AK23" i="26"/>
  <c r="AK21" i="26"/>
  <c r="AK19" i="26"/>
  <c r="W38" i="18"/>
  <c r="W18" i="18"/>
  <c r="W17" i="18"/>
  <c r="AA37" i="26"/>
  <c r="AA23" i="26"/>
  <c r="AA21" i="26"/>
  <c r="AA19" i="26"/>
  <c r="AA24" i="26"/>
  <c r="AA22" i="26"/>
  <c r="AA20" i="26"/>
  <c r="AA18" i="26"/>
  <c r="AA37" i="27"/>
  <c r="AA21" i="27"/>
  <c r="AA20" i="27"/>
  <c r="AA23" i="27"/>
  <c r="AA22" i="27"/>
  <c r="M9" i="27"/>
  <c r="E5" i="27"/>
  <c r="E7" i="27"/>
  <c r="E17" i="27"/>
  <c r="E29" i="27"/>
  <c r="W36" i="26"/>
  <c r="D6" i="4" a="1"/>
  <c r="D6" i="4" s="1"/>
  <c r="D7" i="4" s="1" a="1"/>
  <c r="D7" i="4" s="1"/>
  <c r="D8" i="4" s="1" a="1"/>
  <c r="D8" i="4" s="1"/>
  <c r="K52" i="24"/>
  <c r="K50" i="24"/>
  <c r="K48" i="24"/>
  <c r="K46" i="24"/>
  <c r="K44" i="24"/>
  <c r="K42" i="24"/>
  <c r="K40" i="24"/>
  <c r="K38" i="24"/>
  <c r="K36" i="24"/>
  <c r="K34" i="24"/>
  <c r="K32" i="24"/>
  <c r="K30" i="24"/>
  <c r="K28" i="24"/>
  <c r="K26" i="24"/>
  <c r="K24" i="24"/>
  <c r="K22" i="24"/>
  <c r="K20" i="24"/>
  <c r="K18" i="24"/>
  <c r="K16" i="24"/>
  <c r="K14" i="24"/>
  <c r="K12" i="24"/>
  <c r="K10" i="24"/>
  <c r="K8" i="24"/>
  <c r="K6" i="24"/>
  <c r="K4" i="24"/>
  <c r="K53" i="24"/>
  <c r="K51" i="24"/>
  <c r="K49" i="24"/>
  <c r="K47" i="24"/>
  <c r="K45" i="24"/>
  <c r="K43" i="24"/>
  <c r="K41" i="24"/>
  <c r="K39" i="24"/>
  <c r="K37" i="24"/>
  <c r="K35" i="24"/>
  <c r="K33" i="24"/>
  <c r="K31" i="24"/>
  <c r="K29" i="24"/>
  <c r="K27" i="24"/>
  <c r="K25" i="24"/>
  <c r="K23" i="24"/>
  <c r="K21" i="24"/>
  <c r="K19" i="24"/>
  <c r="K17" i="24"/>
  <c r="K15" i="24"/>
  <c r="K13" i="24"/>
  <c r="K11" i="24"/>
  <c r="K9" i="24"/>
  <c r="K7" i="24"/>
  <c r="K5" i="24"/>
  <c r="I52" i="24"/>
  <c r="I50" i="24"/>
  <c r="I48" i="24"/>
  <c r="I46" i="24"/>
  <c r="I44" i="24"/>
  <c r="I42" i="24"/>
  <c r="I40" i="24"/>
  <c r="I38" i="24"/>
  <c r="I36" i="24"/>
  <c r="I34" i="24"/>
  <c r="I32" i="24"/>
  <c r="I30" i="24"/>
  <c r="I28" i="24"/>
  <c r="I26" i="24"/>
  <c r="I24" i="24"/>
  <c r="I22" i="24"/>
  <c r="I20" i="24"/>
  <c r="I18" i="24"/>
  <c r="I16" i="24"/>
  <c r="I14" i="24"/>
  <c r="I12" i="24"/>
  <c r="I10" i="24"/>
  <c r="I8" i="24"/>
  <c r="I6" i="24"/>
  <c r="I4" i="24"/>
  <c r="I53" i="24"/>
  <c r="I51" i="24"/>
  <c r="I49" i="24"/>
  <c r="I47" i="24"/>
  <c r="I45" i="24"/>
  <c r="I43" i="24"/>
  <c r="I41" i="24"/>
  <c r="I39" i="24"/>
  <c r="I37" i="24"/>
  <c r="I35" i="24"/>
  <c r="I33" i="24"/>
  <c r="I31" i="24"/>
  <c r="I29" i="24"/>
  <c r="I27" i="24"/>
  <c r="I25" i="24"/>
  <c r="I23" i="24"/>
  <c r="I21" i="24"/>
  <c r="I19" i="24"/>
  <c r="I17" i="24"/>
  <c r="I15" i="24"/>
  <c r="I13" i="24"/>
  <c r="I11" i="24"/>
  <c r="I9" i="24"/>
  <c r="I7" i="24"/>
  <c r="I5" i="24"/>
  <c r="G52" i="24"/>
  <c r="G50" i="24"/>
  <c r="G48" i="24"/>
  <c r="G46" i="24"/>
  <c r="G44" i="24"/>
  <c r="G42" i="24"/>
  <c r="G40" i="24"/>
  <c r="G38" i="24"/>
  <c r="G36" i="24"/>
  <c r="G34" i="24"/>
  <c r="G32" i="24"/>
  <c r="G30" i="24"/>
  <c r="G28" i="24"/>
  <c r="G26" i="24"/>
  <c r="G24" i="24"/>
  <c r="G22" i="24"/>
  <c r="G20" i="24"/>
  <c r="G18" i="24"/>
  <c r="G16" i="24"/>
  <c r="G14" i="24"/>
  <c r="G12" i="24"/>
  <c r="G10" i="24"/>
  <c r="G8" i="24"/>
  <c r="G6" i="24"/>
  <c r="G4" i="24"/>
  <c r="G53" i="24"/>
  <c r="G51" i="24"/>
  <c r="G49" i="24"/>
  <c r="G47" i="24"/>
  <c r="G45" i="24"/>
  <c r="G43" i="24"/>
  <c r="G41" i="24"/>
  <c r="G39" i="24"/>
  <c r="G37" i="24"/>
  <c r="G35" i="24"/>
  <c r="G33" i="24"/>
  <c r="G31" i="24"/>
  <c r="G29" i="24"/>
  <c r="G27" i="24"/>
  <c r="G25" i="24"/>
  <c r="G23" i="24"/>
  <c r="G21" i="24"/>
  <c r="G19" i="24"/>
  <c r="G17" i="24"/>
  <c r="G15" i="24"/>
  <c r="G13" i="24"/>
  <c r="G11" i="24"/>
  <c r="G9" i="24"/>
  <c r="G7" i="24"/>
  <c r="G5" i="24"/>
  <c r="E6" i="24"/>
  <c r="E8" i="24"/>
  <c r="E10" i="24"/>
  <c r="E12" i="24"/>
  <c r="E14" i="24"/>
  <c r="E16" i="24"/>
  <c r="E18" i="24"/>
  <c r="E20" i="24"/>
  <c r="E22" i="24"/>
  <c r="E24" i="24"/>
  <c r="E26" i="24"/>
  <c r="E28" i="24"/>
  <c r="E30" i="24"/>
  <c r="E32" i="24"/>
  <c r="E34" i="24"/>
  <c r="E36" i="24"/>
  <c r="E38" i="24"/>
  <c r="E40" i="24"/>
  <c r="E42" i="24"/>
  <c r="E44" i="24"/>
  <c r="E46" i="24"/>
  <c r="E48" i="24"/>
  <c r="E50" i="24"/>
  <c r="E52" i="24"/>
  <c r="E4" i="24"/>
  <c r="E5" i="24"/>
  <c r="E7" i="24"/>
  <c r="E9" i="24"/>
  <c r="E11" i="24"/>
  <c r="E13" i="24"/>
  <c r="E15" i="24"/>
  <c r="E17" i="24"/>
  <c r="E19" i="24"/>
  <c r="E21" i="24"/>
  <c r="E23" i="24"/>
  <c r="E25" i="24"/>
  <c r="E27" i="24"/>
  <c r="E29" i="24"/>
  <c r="E31" i="24"/>
  <c r="E33" i="24"/>
  <c r="E35" i="24"/>
  <c r="E37" i="24"/>
  <c r="E39" i="24"/>
  <c r="E41" i="24"/>
  <c r="E43" i="24"/>
  <c r="E45" i="24"/>
  <c r="E47" i="24"/>
  <c r="E49" i="24"/>
  <c r="E51" i="24"/>
  <c r="E53" i="24"/>
  <c r="M13" i="27"/>
  <c r="M32" i="27"/>
  <c r="E35" i="27"/>
  <c r="M31" i="27"/>
  <c r="E6" i="27"/>
  <c r="E15" i="27"/>
  <c r="E18" i="27"/>
  <c r="E26" i="27"/>
  <c r="E31" i="27"/>
  <c r="E32" i="27"/>
  <c r="E33" i="27"/>
  <c r="E37" i="27"/>
  <c r="W38" i="26"/>
  <c r="AE6" i="26"/>
  <c r="AE7" i="26"/>
  <c r="M12" i="23"/>
  <c r="U52" i="17"/>
  <c r="U50" i="17"/>
  <c r="U48" i="17"/>
  <c r="U46" i="17"/>
  <c r="U44" i="17"/>
  <c r="U42" i="17"/>
  <c r="U40" i="17"/>
  <c r="U38" i="17"/>
  <c r="U36" i="17"/>
  <c r="U34" i="17"/>
  <c r="U32" i="17"/>
  <c r="U30" i="17"/>
  <c r="U28" i="17"/>
  <c r="U26" i="17"/>
  <c r="U24" i="17"/>
  <c r="U22" i="17"/>
  <c r="U20" i="17"/>
  <c r="U18" i="17"/>
  <c r="U16" i="17"/>
  <c r="U14" i="17"/>
  <c r="U12" i="17"/>
  <c r="U10" i="17"/>
  <c r="U8" i="17"/>
  <c r="U6" i="17"/>
  <c r="U4" i="17"/>
  <c r="U53" i="17"/>
  <c r="U51" i="17"/>
  <c r="U49" i="17"/>
  <c r="U47" i="17"/>
  <c r="U45" i="17"/>
  <c r="U43" i="17"/>
  <c r="U41" i="17"/>
  <c r="U39" i="17"/>
  <c r="U37" i="17"/>
  <c r="U35" i="17"/>
  <c r="U33" i="17"/>
  <c r="U31" i="17"/>
  <c r="U29" i="17"/>
  <c r="U27" i="17"/>
  <c r="U25" i="17"/>
  <c r="U23" i="17"/>
  <c r="U21" i="17"/>
  <c r="U19" i="17"/>
  <c r="U17" i="17"/>
  <c r="U15" i="17"/>
  <c r="U13" i="17"/>
  <c r="U11" i="17"/>
  <c r="U9" i="17"/>
  <c r="U7" i="17"/>
  <c r="U5" i="17"/>
  <c r="S52" i="17"/>
  <c r="S50" i="17"/>
  <c r="S48" i="17"/>
  <c r="S46" i="17"/>
  <c r="S44" i="17"/>
  <c r="S42" i="17"/>
  <c r="S40" i="17"/>
  <c r="S38" i="17"/>
  <c r="S36" i="17"/>
  <c r="S34" i="17"/>
  <c r="S32" i="17"/>
  <c r="S30" i="17"/>
  <c r="S28" i="17"/>
  <c r="S26" i="17"/>
  <c r="S24" i="17"/>
  <c r="S22" i="17"/>
  <c r="S20" i="17"/>
  <c r="S18" i="17"/>
  <c r="S16" i="17"/>
  <c r="S14" i="17"/>
  <c r="S12" i="17"/>
  <c r="S10" i="17"/>
  <c r="S8" i="17"/>
  <c r="S6" i="17"/>
  <c r="S4" i="17"/>
  <c r="S53" i="17"/>
  <c r="S51" i="17"/>
  <c r="S49" i="17"/>
  <c r="S47" i="17"/>
  <c r="S45" i="17"/>
  <c r="S43" i="17"/>
  <c r="S41" i="17"/>
  <c r="S39" i="17"/>
  <c r="S37" i="17"/>
  <c r="S35" i="17"/>
  <c r="S33" i="17"/>
  <c r="S31" i="17"/>
  <c r="S29" i="17"/>
  <c r="S27" i="17"/>
  <c r="S25" i="17"/>
  <c r="S23" i="17"/>
  <c r="S21" i="17"/>
  <c r="S19" i="17"/>
  <c r="S17" i="17"/>
  <c r="S15" i="17"/>
  <c r="S13" i="17"/>
  <c r="S11" i="17"/>
  <c r="S9" i="17"/>
  <c r="S7" i="17"/>
  <c r="S5" i="17"/>
  <c r="Q52" i="17"/>
  <c r="Q50" i="17"/>
  <c r="Q48" i="17"/>
  <c r="Q46" i="17"/>
  <c r="Q44" i="17"/>
  <c r="Q42" i="17"/>
  <c r="Q40" i="17"/>
  <c r="Q38" i="17"/>
  <c r="Q36" i="17"/>
  <c r="Q34" i="17"/>
  <c r="Q32" i="17"/>
  <c r="Q30" i="17"/>
  <c r="Q28" i="17"/>
  <c r="Q26" i="17"/>
  <c r="Q24" i="17"/>
  <c r="Q22" i="17"/>
  <c r="Q20" i="17"/>
  <c r="Q18" i="17"/>
  <c r="Q16" i="17"/>
  <c r="Q14" i="17"/>
  <c r="Q12" i="17"/>
  <c r="Q10" i="17"/>
  <c r="Q8" i="17"/>
  <c r="Q6" i="17"/>
  <c r="Q4" i="17"/>
  <c r="Q53" i="17"/>
  <c r="Q51" i="17"/>
  <c r="Q49" i="17"/>
  <c r="Q47" i="17"/>
  <c r="Q45" i="17"/>
  <c r="Q43" i="17"/>
  <c r="Q41" i="17"/>
  <c r="Q39" i="17"/>
  <c r="Q37" i="17"/>
  <c r="Q35" i="17"/>
  <c r="Q33" i="17"/>
  <c r="Q31" i="17"/>
  <c r="Q29" i="17"/>
  <c r="Q27" i="17"/>
  <c r="Q25" i="17"/>
  <c r="Q23" i="17"/>
  <c r="Q21" i="17"/>
  <c r="Q19" i="17"/>
  <c r="Q17" i="17"/>
  <c r="Q15" i="17"/>
  <c r="Q13" i="17"/>
  <c r="Q11" i="17"/>
  <c r="Q9" i="17"/>
  <c r="Q7" i="17"/>
  <c r="Q5" i="17"/>
  <c r="O52" i="17"/>
  <c r="O50" i="17"/>
  <c r="O48" i="17"/>
  <c r="O46" i="17"/>
  <c r="O44" i="17"/>
  <c r="O42" i="17"/>
  <c r="O40" i="17"/>
  <c r="O38" i="17"/>
  <c r="O36" i="17"/>
  <c r="O34" i="17"/>
  <c r="O32" i="17"/>
  <c r="O30" i="17"/>
  <c r="O28" i="17"/>
  <c r="O26" i="17"/>
  <c r="O24" i="17"/>
  <c r="O22" i="17"/>
  <c r="O20" i="17"/>
  <c r="O18" i="17"/>
  <c r="O16" i="17"/>
  <c r="O14" i="17"/>
  <c r="O12" i="17"/>
  <c r="O10" i="17"/>
  <c r="O8" i="17"/>
  <c r="O6" i="17"/>
  <c r="O4" i="17"/>
  <c r="O53" i="17"/>
  <c r="O51" i="17"/>
  <c r="O49" i="17"/>
  <c r="O47" i="17"/>
  <c r="O45" i="17"/>
  <c r="O43" i="17"/>
  <c r="O41" i="17"/>
  <c r="O39" i="17"/>
  <c r="O37" i="17"/>
  <c r="O35" i="17"/>
  <c r="O33" i="17"/>
  <c r="O31" i="17"/>
  <c r="O29" i="17"/>
  <c r="O27" i="17"/>
  <c r="O25" i="17"/>
  <c r="O23" i="17"/>
  <c r="O21" i="17"/>
  <c r="O19" i="17"/>
  <c r="O17" i="17"/>
  <c r="O15" i="17"/>
  <c r="O13" i="17"/>
  <c r="O11" i="17"/>
  <c r="O9" i="17"/>
  <c r="O7" i="17"/>
  <c r="O5" i="17"/>
  <c r="M52" i="17"/>
  <c r="M50" i="17"/>
  <c r="M48" i="17"/>
  <c r="M46" i="17"/>
  <c r="M44" i="17"/>
  <c r="M42" i="17"/>
  <c r="M40" i="17"/>
  <c r="M38" i="17"/>
  <c r="M36" i="17"/>
  <c r="M34" i="17"/>
  <c r="M32" i="17"/>
  <c r="M30" i="17"/>
  <c r="M28" i="17"/>
  <c r="M26" i="17"/>
  <c r="M24" i="17"/>
  <c r="M22" i="17"/>
  <c r="M20" i="17"/>
  <c r="M18" i="17"/>
  <c r="M16" i="17"/>
  <c r="M14" i="17"/>
  <c r="M12" i="17"/>
  <c r="M10" i="17"/>
  <c r="M8" i="17"/>
  <c r="M6" i="17"/>
  <c r="M4" i="17"/>
  <c r="M53" i="17"/>
  <c r="M51" i="17"/>
  <c r="M49" i="17"/>
  <c r="M47" i="17"/>
  <c r="M45" i="17"/>
  <c r="M43" i="17"/>
  <c r="M41" i="17"/>
  <c r="M39" i="17"/>
  <c r="M37" i="17"/>
  <c r="M35" i="17"/>
  <c r="M33" i="17"/>
  <c r="M31" i="17"/>
  <c r="M29" i="17"/>
  <c r="M27" i="17"/>
  <c r="M25" i="17"/>
  <c r="M23" i="17"/>
  <c r="M21" i="17"/>
  <c r="M19" i="17"/>
  <c r="M17" i="17"/>
  <c r="M15" i="17"/>
  <c r="M13" i="17"/>
  <c r="M11" i="17"/>
  <c r="M9" i="17"/>
  <c r="M7" i="17"/>
  <c r="M5" i="17"/>
  <c r="K52" i="17"/>
  <c r="K50" i="17"/>
  <c r="K48" i="17"/>
  <c r="K46" i="17"/>
  <c r="K44" i="17"/>
  <c r="K42" i="17"/>
  <c r="K40" i="17"/>
  <c r="K38" i="17"/>
  <c r="K36" i="17"/>
  <c r="K34" i="17"/>
  <c r="K32" i="17"/>
  <c r="K30" i="17"/>
  <c r="K28" i="17"/>
  <c r="K26" i="17"/>
  <c r="K24" i="17"/>
  <c r="K22" i="17"/>
  <c r="K20" i="17"/>
  <c r="K18" i="17"/>
  <c r="K16" i="17"/>
  <c r="K14" i="17"/>
  <c r="K12" i="17"/>
  <c r="K10" i="17"/>
  <c r="K8" i="17"/>
  <c r="K6" i="17"/>
  <c r="K4" i="17"/>
  <c r="K53" i="17"/>
  <c r="K51" i="17"/>
  <c r="K49" i="17"/>
  <c r="K47" i="17"/>
  <c r="K45" i="17"/>
  <c r="K43" i="17"/>
  <c r="K41" i="17"/>
  <c r="K39" i="17"/>
  <c r="K37" i="17"/>
  <c r="K35" i="17"/>
  <c r="K33" i="17"/>
  <c r="K31" i="17"/>
  <c r="K29" i="17"/>
  <c r="K27" i="17"/>
  <c r="K25" i="17"/>
  <c r="K23" i="17"/>
  <c r="K21" i="17"/>
  <c r="K19" i="17"/>
  <c r="K17" i="17"/>
  <c r="K15" i="17"/>
  <c r="K13" i="17"/>
  <c r="K11" i="17"/>
  <c r="K9" i="17"/>
  <c r="K7" i="17"/>
  <c r="K5" i="17"/>
  <c r="I52" i="17"/>
  <c r="I50" i="17"/>
  <c r="I48" i="17"/>
  <c r="I46" i="17"/>
  <c r="I44" i="17"/>
  <c r="I42" i="17"/>
  <c r="I40" i="17"/>
  <c r="I38" i="17"/>
  <c r="I36" i="17"/>
  <c r="I34" i="17"/>
  <c r="I32" i="17"/>
  <c r="I30" i="17"/>
  <c r="I28" i="17"/>
  <c r="I26" i="17"/>
  <c r="I24" i="17"/>
  <c r="I22" i="17"/>
  <c r="I20" i="17"/>
  <c r="I18" i="17"/>
  <c r="I16" i="17"/>
  <c r="I14" i="17"/>
  <c r="I12" i="17"/>
  <c r="I10" i="17"/>
  <c r="I8" i="17"/>
  <c r="I6" i="17"/>
  <c r="I4" i="17"/>
  <c r="I53" i="17"/>
  <c r="I51" i="17"/>
  <c r="I49" i="17"/>
  <c r="I47" i="17"/>
  <c r="I45" i="17"/>
  <c r="I43" i="17"/>
  <c r="I41" i="17"/>
  <c r="I39" i="17"/>
  <c r="I37" i="17"/>
  <c r="I35" i="17"/>
  <c r="I33" i="17"/>
  <c r="I31" i="17"/>
  <c r="I29" i="17"/>
  <c r="I27" i="17"/>
  <c r="I25" i="17"/>
  <c r="I23" i="17"/>
  <c r="I21" i="17"/>
  <c r="I19" i="17"/>
  <c r="I17" i="17"/>
  <c r="I15" i="17"/>
  <c r="I13" i="17"/>
  <c r="I11" i="17"/>
  <c r="I9" i="17"/>
  <c r="I7" i="17"/>
  <c r="I5" i="17"/>
  <c r="G52" i="17"/>
  <c r="G50" i="17"/>
  <c r="G48" i="17"/>
  <c r="G46" i="17"/>
  <c r="G44" i="17"/>
  <c r="G42" i="17"/>
  <c r="G40" i="17"/>
  <c r="G38" i="17"/>
  <c r="G36" i="17"/>
  <c r="G34" i="17"/>
  <c r="G32" i="17"/>
  <c r="G30" i="17"/>
  <c r="G28" i="17"/>
  <c r="G26" i="17"/>
  <c r="G24" i="17"/>
  <c r="G22" i="17"/>
  <c r="G20" i="17"/>
  <c r="G18" i="17"/>
  <c r="G16" i="17"/>
  <c r="G14" i="17"/>
  <c r="G12" i="17"/>
  <c r="G10" i="17"/>
  <c r="G8" i="17"/>
  <c r="G6" i="17"/>
  <c r="G4" i="17"/>
  <c r="G53" i="17"/>
  <c r="G51" i="17"/>
  <c r="G49" i="17"/>
  <c r="G47" i="17"/>
  <c r="G45" i="17"/>
  <c r="G43" i="17"/>
  <c r="G41" i="17"/>
  <c r="G39" i="17"/>
  <c r="G37" i="17"/>
  <c r="G35" i="17"/>
  <c r="G33" i="17"/>
  <c r="G31" i="17"/>
  <c r="G29" i="17"/>
  <c r="G27" i="17"/>
  <c r="G25" i="17"/>
  <c r="G23" i="17"/>
  <c r="G21" i="17"/>
  <c r="G19" i="17"/>
  <c r="G17" i="17"/>
  <c r="G15" i="17"/>
  <c r="G13" i="17"/>
  <c r="G11" i="17"/>
  <c r="G9" i="17"/>
  <c r="G7" i="17"/>
  <c r="G5" i="17"/>
  <c r="E52" i="17"/>
  <c r="E50" i="17"/>
  <c r="E48" i="17"/>
  <c r="E46" i="17"/>
  <c r="E44" i="17"/>
  <c r="E42" i="17"/>
  <c r="E40" i="17"/>
  <c r="E38" i="17"/>
  <c r="E36" i="17"/>
  <c r="E34" i="17"/>
  <c r="E32" i="17"/>
  <c r="E30" i="17"/>
  <c r="E28" i="17"/>
  <c r="E26" i="17"/>
  <c r="E24" i="17"/>
  <c r="E22" i="17"/>
  <c r="E20" i="17"/>
  <c r="E18" i="17"/>
  <c r="E16" i="17"/>
  <c r="E14" i="17"/>
  <c r="E12" i="17"/>
  <c r="E10" i="17"/>
  <c r="E8" i="17"/>
  <c r="E6" i="17"/>
  <c r="E4" i="17"/>
  <c r="E53" i="17"/>
  <c r="E51" i="17"/>
  <c r="E49" i="17"/>
  <c r="E47" i="17"/>
  <c r="E45" i="17"/>
  <c r="E43" i="17"/>
  <c r="E41" i="17"/>
  <c r="E39" i="17"/>
  <c r="E37" i="17"/>
  <c r="E35" i="17"/>
  <c r="E33" i="17"/>
  <c r="E31" i="17"/>
  <c r="E29" i="17"/>
  <c r="E27" i="17"/>
  <c r="E25" i="17"/>
  <c r="E23" i="17"/>
  <c r="E21" i="17"/>
  <c r="E19" i="17"/>
  <c r="E17" i="17"/>
  <c r="E15" i="17"/>
  <c r="E13" i="17"/>
  <c r="E11" i="17"/>
  <c r="E9" i="17"/>
  <c r="E7" i="17"/>
  <c r="E5" i="17"/>
  <c r="C52" i="17"/>
  <c r="C50" i="17"/>
  <c r="C48" i="17"/>
  <c r="C46" i="17"/>
  <c r="C44" i="17"/>
  <c r="C42" i="17"/>
  <c r="C40" i="17"/>
  <c r="C38" i="17"/>
  <c r="C36" i="17"/>
  <c r="C34" i="17"/>
  <c r="C32" i="17"/>
  <c r="C30" i="17"/>
  <c r="C28" i="17"/>
  <c r="C26" i="17"/>
  <c r="C24" i="17"/>
  <c r="C22" i="17"/>
  <c r="C20" i="17"/>
  <c r="C18" i="17"/>
  <c r="C16" i="17"/>
  <c r="C14" i="17"/>
  <c r="C12" i="17"/>
  <c r="C10" i="17"/>
  <c r="C8" i="17"/>
  <c r="C6" i="17"/>
  <c r="C4" i="17"/>
  <c r="C53" i="17"/>
  <c r="C51" i="17"/>
  <c r="C49" i="17"/>
  <c r="C47" i="17"/>
  <c r="C45" i="17"/>
  <c r="C43" i="17"/>
  <c r="C41" i="17"/>
  <c r="C39" i="17"/>
  <c r="C37" i="17"/>
  <c r="C35" i="17"/>
  <c r="C33" i="17"/>
  <c r="C31" i="17"/>
  <c r="C29" i="17"/>
  <c r="C27" i="17"/>
  <c r="C25" i="17"/>
  <c r="C23" i="17"/>
  <c r="C21" i="17"/>
  <c r="C19" i="17"/>
  <c r="C17" i="17"/>
  <c r="C15" i="17"/>
  <c r="C13" i="17"/>
  <c r="C11" i="17"/>
  <c r="C9" i="17"/>
  <c r="C7" i="17"/>
  <c r="C5" i="17"/>
  <c r="AO24" i="26"/>
  <c r="U27" i="28"/>
  <c r="U31" i="28"/>
  <c r="O28" i="28"/>
  <c r="O34" i="28"/>
  <c r="O5" i="28"/>
  <c r="U13" i="28"/>
  <c r="O10" i="28"/>
  <c r="O20" i="28"/>
  <c r="U8" i="28"/>
  <c r="Q10" i="28"/>
  <c r="Q19" i="28"/>
  <c r="Q6" i="28"/>
  <c r="U6" i="28"/>
  <c r="M8" i="28"/>
  <c r="U4" i="28"/>
  <c r="U10" i="28"/>
  <c r="U12" i="28"/>
  <c r="U19" i="28"/>
  <c r="Q4" i="28"/>
  <c r="Q8" i="28"/>
  <c r="Q12" i="28"/>
  <c r="Q13" i="28"/>
  <c r="Q23" i="28"/>
  <c r="Q27" i="28"/>
  <c r="O7" i="28"/>
  <c r="O8" i="28"/>
  <c r="O17" i="28"/>
  <c r="O27" i="28"/>
  <c r="O4" i="28"/>
  <c r="O6" i="28"/>
  <c r="O9" i="28"/>
  <c r="O11" i="28"/>
  <c r="O12" i="28"/>
  <c r="O13" i="28"/>
  <c r="O16" i="28"/>
  <c r="O19" i="28"/>
  <c r="M23" i="28"/>
  <c r="O21" i="28"/>
  <c r="O24" i="28"/>
  <c r="O30" i="28"/>
  <c r="O18" i="28"/>
  <c r="O22" i="28"/>
  <c r="O23" i="28"/>
  <c r="O25" i="28"/>
  <c r="O26" i="28"/>
  <c r="O29" i="28"/>
  <c r="O31" i="28"/>
  <c r="O32" i="28"/>
  <c r="O33" i="28"/>
  <c r="O36" i="28"/>
  <c r="Q31" i="28"/>
  <c r="M4" i="28"/>
  <c r="M12" i="28"/>
  <c r="M13" i="28"/>
  <c r="M31" i="28"/>
  <c r="O35" i="28"/>
  <c r="O37" i="28"/>
  <c r="M6" i="28"/>
  <c r="M10" i="28"/>
  <c r="M19" i="28"/>
  <c r="M27" i="28"/>
  <c r="M5" i="27"/>
  <c r="M6" i="27"/>
  <c r="M7" i="27"/>
  <c r="M11" i="27"/>
  <c r="M17" i="27"/>
  <c r="M18" i="27"/>
  <c r="M24" i="27"/>
  <c r="M27" i="27"/>
  <c r="U4" i="27"/>
  <c r="U18" i="27"/>
  <c r="M4" i="27"/>
  <c r="M8" i="27"/>
  <c r="M10" i="27"/>
  <c r="M12" i="27"/>
  <c r="M14" i="27"/>
  <c r="M28" i="27"/>
  <c r="M35" i="27"/>
  <c r="M37" i="27"/>
  <c r="G35" i="27"/>
  <c r="U7" i="27"/>
  <c r="U28" i="27"/>
  <c r="U37" i="27"/>
  <c r="AA14" i="27"/>
  <c r="E4" i="27"/>
  <c r="E8" i="27"/>
  <c r="E9" i="27"/>
  <c r="E10" i="27"/>
  <c r="E11" i="27"/>
  <c r="E12" i="27"/>
  <c r="E13" i="27"/>
  <c r="E14" i="27"/>
  <c r="E16" i="27"/>
  <c r="E19" i="27"/>
  <c r="E24" i="27"/>
  <c r="E25" i="27"/>
  <c r="E27" i="27"/>
  <c r="E28" i="27"/>
  <c r="E30" i="27"/>
  <c r="E34" i="27"/>
  <c r="E36" i="27"/>
  <c r="U24" i="27"/>
  <c r="U32" i="27"/>
  <c r="AE11" i="27"/>
  <c r="U6" i="27"/>
  <c r="U9" i="27"/>
  <c r="U13" i="27"/>
  <c r="U16" i="27"/>
  <c r="U26" i="27"/>
  <c r="U30" i="27"/>
  <c r="U34" i="27"/>
  <c r="U35" i="27"/>
  <c r="U36" i="27"/>
  <c r="O35" i="27"/>
  <c r="G37" i="27"/>
  <c r="C35" i="27"/>
  <c r="C37" i="27"/>
  <c r="W35" i="27"/>
  <c r="W37" i="27"/>
  <c r="O7" i="27"/>
  <c r="O37" i="27"/>
  <c r="M15" i="27"/>
  <c r="M16" i="27"/>
  <c r="M19" i="27"/>
  <c r="M20" i="27"/>
  <c r="M25" i="27"/>
  <c r="M26" i="27"/>
  <c r="M29" i="27"/>
  <c r="M30" i="27"/>
  <c r="M33" i="27"/>
  <c r="M34" i="27"/>
  <c r="M36" i="27"/>
  <c r="AE10" i="27"/>
  <c r="U5" i="27"/>
  <c r="U8" i="27"/>
  <c r="U10" i="27"/>
  <c r="U11" i="27"/>
  <c r="U12" i="27"/>
  <c r="U14" i="27"/>
  <c r="U15" i="27"/>
  <c r="U17" i="27"/>
  <c r="U19" i="27"/>
  <c r="U25" i="27"/>
  <c r="U27" i="27"/>
  <c r="U29" i="27"/>
  <c r="U31" i="27"/>
  <c r="O5" i="27"/>
  <c r="AE33" i="27"/>
  <c r="AE5" i="27"/>
  <c r="AA10" i="27"/>
  <c r="AE14" i="27"/>
  <c r="AE15" i="27"/>
  <c r="AA12" i="27"/>
  <c r="O9" i="27"/>
  <c r="AE8" i="27"/>
  <c r="AE25" i="27"/>
  <c r="Y10" i="27"/>
  <c r="W4" i="27"/>
  <c r="W11" i="27"/>
  <c r="G14" i="27"/>
  <c r="G29" i="27"/>
  <c r="C29" i="27"/>
  <c r="AE19" i="27"/>
  <c r="AE29" i="27"/>
  <c r="W14" i="27"/>
  <c r="W15" i="27"/>
  <c r="W19" i="27"/>
  <c r="W29" i="27"/>
  <c r="W31" i="27"/>
  <c r="O12" i="27"/>
  <c r="G4" i="27"/>
  <c r="G12" i="27"/>
  <c r="C7" i="27"/>
  <c r="C19" i="27"/>
  <c r="O6" i="27"/>
  <c r="O13" i="27"/>
  <c r="O19" i="27"/>
  <c r="C17" i="27"/>
  <c r="W5" i="27"/>
  <c r="W6" i="27"/>
  <c r="W7" i="27"/>
  <c r="W8" i="27"/>
  <c r="W9" i="27"/>
  <c r="W10" i="27"/>
  <c r="W12" i="27"/>
  <c r="W13" i="27"/>
  <c r="W17" i="27"/>
  <c r="W25" i="27"/>
  <c r="W27" i="27"/>
  <c r="O17" i="27"/>
  <c r="O25" i="27"/>
  <c r="G15" i="27"/>
  <c r="G17" i="27"/>
  <c r="G19" i="27"/>
  <c r="G23" i="27"/>
  <c r="G27" i="27"/>
  <c r="G31" i="27"/>
  <c r="C9" i="27"/>
  <c r="C14" i="27"/>
  <c r="C27" i="27"/>
  <c r="O4" i="27"/>
  <c r="O8" i="27"/>
  <c r="O10" i="27"/>
  <c r="O11" i="27"/>
  <c r="O14" i="27"/>
  <c r="O15" i="27"/>
  <c r="O27" i="27"/>
  <c r="O29" i="27"/>
  <c r="O31" i="27"/>
  <c r="K6" i="27"/>
  <c r="K10" i="27"/>
  <c r="G7" i="27"/>
  <c r="G8" i="27"/>
  <c r="G11" i="27"/>
  <c r="G13" i="27"/>
  <c r="G16" i="27"/>
  <c r="G25" i="27"/>
  <c r="G33" i="27"/>
  <c r="C5" i="27"/>
  <c r="C11" i="27"/>
  <c r="C12" i="27"/>
  <c r="C13" i="27"/>
  <c r="C15" i="27"/>
  <c r="C16" i="27"/>
  <c r="C25" i="27"/>
  <c r="C31" i="27"/>
  <c r="C33" i="27"/>
  <c r="AE37" i="27"/>
  <c r="AE4" i="27"/>
  <c r="AE6" i="27"/>
  <c r="AE7" i="27"/>
  <c r="AE9" i="27"/>
  <c r="AE12" i="27"/>
  <c r="AE13" i="27"/>
  <c r="AE17" i="27"/>
  <c r="AE27" i="27"/>
  <c r="AE31" i="27"/>
  <c r="AA11" i="27"/>
  <c r="AA13" i="27"/>
  <c r="AA15" i="27"/>
  <c r="K4" i="27"/>
  <c r="K5" i="27"/>
  <c r="K7" i="27"/>
  <c r="K8" i="27"/>
  <c r="K9" i="27"/>
  <c r="K11" i="27"/>
  <c r="K12" i="27"/>
  <c r="K13" i="27"/>
  <c r="K14" i="27"/>
  <c r="K15" i="27"/>
  <c r="K16" i="27"/>
  <c r="K17" i="27"/>
  <c r="K19" i="27"/>
  <c r="K25" i="27"/>
  <c r="K27" i="27"/>
  <c r="K29" i="27"/>
  <c r="K31" i="27"/>
  <c r="K33" i="27"/>
  <c r="K35" i="27"/>
  <c r="G5" i="27"/>
  <c r="G6" i="27"/>
  <c r="G9" i="27"/>
  <c r="C4" i="27"/>
  <c r="C6" i="27"/>
  <c r="C8" i="27"/>
  <c r="AC25" i="26"/>
  <c r="AC38" i="26"/>
  <c r="AG15" i="26"/>
  <c r="W4" i="26"/>
  <c r="W5" i="26"/>
  <c r="W6" i="26"/>
  <c r="W7" i="26"/>
  <c r="W8" i="26"/>
  <c r="W10" i="26"/>
  <c r="W12" i="26"/>
  <c r="W14" i="26"/>
  <c r="W17" i="26"/>
  <c r="W27" i="26"/>
  <c r="W29" i="26"/>
  <c r="W31" i="26"/>
  <c r="W33" i="26"/>
  <c r="W35" i="26"/>
  <c r="AC10" i="26"/>
  <c r="AC16" i="26"/>
  <c r="AE12" i="26"/>
  <c r="AE13" i="26"/>
  <c r="AC8" i="26"/>
  <c r="AE24" i="26"/>
  <c r="AE25" i="26"/>
  <c r="AE26" i="26"/>
  <c r="AE27" i="26"/>
  <c r="AE28" i="26"/>
  <c r="AE29" i="26"/>
  <c r="AO13" i="26"/>
  <c r="AO15" i="26"/>
  <c r="AO36" i="26"/>
  <c r="AE8" i="26"/>
  <c r="AE9" i="26"/>
  <c r="AE10" i="26"/>
  <c r="AE11" i="26"/>
  <c r="AE14" i="26"/>
  <c r="AE16" i="26"/>
  <c r="AE35" i="26"/>
  <c r="AE36" i="26"/>
  <c r="AC5" i="26"/>
  <c r="AC30" i="26"/>
  <c r="AC35" i="26"/>
  <c r="AE15" i="26"/>
  <c r="AE23" i="26"/>
  <c r="AE30" i="26"/>
  <c r="AE31" i="26"/>
  <c r="AE32" i="26"/>
  <c r="AE33" i="26"/>
  <c r="AE34" i="26"/>
  <c r="AC4" i="26"/>
  <c r="AC7" i="26"/>
  <c r="AC11" i="26"/>
  <c r="AC13" i="26"/>
  <c r="AC15" i="26"/>
  <c r="AC17" i="26"/>
  <c r="AC29" i="26"/>
  <c r="AC31" i="26"/>
  <c r="AA14" i="26"/>
  <c r="AO6" i="26"/>
  <c r="AO7" i="26"/>
  <c r="AG10" i="26"/>
  <c r="AG16" i="26"/>
  <c r="AO4" i="26"/>
  <c r="AO5" i="26"/>
  <c r="AO12" i="26"/>
  <c r="AO16" i="26"/>
  <c r="AO17" i="26"/>
  <c r="AO29" i="26"/>
  <c r="AO30" i="26"/>
  <c r="AO33" i="26"/>
  <c r="AA13" i="26"/>
  <c r="AA15" i="26"/>
  <c r="AA16" i="26"/>
  <c r="AA38" i="26"/>
  <c r="AG4" i="26"/>
  <c r="AG5" i="26"/>
  <c r="AG6" i="26"/>
  <c r="AG12" i="26"/>
  <c r="AA17" i="26"/>
  <c r="AO35" i="26"/>
  <c r="AM27" i="26"/>
  <c r="AG25" i="26"/>
  <c r="AG35" i="26"/>
  <c r="AG8" i="26"/>
  <c r="AG9" i="26"/>
  <c r="AG29" i="26"/>
  <c r="AG31" i="26"/>
  <c r="AC6" i="26"/>
  <c r="AC9" i="26"/>
  <c r="AC12" i="26"/>
  <c r="AC14" i="26"/>
  <c r="AC26" i="26"/>
  <c r="AC27" i="26"/>
  <c r="AC28" i="26"/>
  <c r="AC32" i="26"/>
  <c r="AC33" i="26"/>
  <c r="AC34" i="26"/>
  <c r="AC36" i="26"/>
  <c r="AO8" i="26"/>
  <c r="AO9" i="26"/>
  <c r="AO10" i="26"/>
  <c r="AO11" i="26"/>
  <c r="AO14" i="26"/>
  <c r="AO25" i="26"/>
  <c r="AO26" i="26"/>
  <c r="AO27" i="26"/>
  <c r="AO28" i="26"/>
  <c r="AO31" i="26"/>
  <c r="AO32" i="26"/>
  <c r="AO34" i="26"/>
  <c r="AO37" i="26"/>
  <c r="AM28" i="26"/>
  <c r="AK28" i="26"/>
  <c r="AG38" i="26"/>
  <c r="AG7" i="26"/>
  <c r="AG11" i="26"/>
  <c r="AG13" i="26"/>
  <c r="AG14" i="26"/>
  <c r="AG17" i="26"/>
  <c r="AG26" i="26"/>
  <c r="AG27" i="26"/>
  <c r="AG28" i="26"/>
  <c r="AG30" i="26"/>
  <c r="AG32" i="26"/>
  <c r="AG33" i="26"/>
  <c r="AG34" i="26"/>
  <c r="AG36" i="26"/>
  <c r="M27" i="23"/>
  <c r="W22" i="23"/>
  <c r="W8" i="23"/>
  <c r="W32" i="23"/>
  <c r="AE5" i="23"/>
  <c r="AE12" i="23"/>
  <c r="AE19" i="23"/>
  <c r="AE24" i="23"/>
  <c r="AE38" i="23"/>
  <c r="W6" i="23"/>
  <c r="W7" i="23"/>
  <c r="W9" i="23"/>
  <c r="W12" i="23"/>
  <c r="W13" i="23"/>
  <c r="W19" i="23"/>
  <c r="W21" i="23"/>
  <c r="W24" i="23"/>
  <c r="W26" i="23"/>
  <c r="W27" i="23"/>
  <c r="W29" i="23"/>
  <c r="W30" i="23"/>
  <c r="W31" i="23"/>
  <c r="W34" i="23"/>
  <c r="W35" i="23"/>
  <c r="AE14" i="23"/>
  <c r="AE15" i="23"/>
  <c r="AE35" i="23"/>
  <c r="AE36" i="23"/>
  <c r="AE4" i="23"/>
  <c r="AE6" i="23"/>
  <c r="AE7" i="23"/>
  <c r="AE8" i="23"/>
  <c r="AE9" i="23"/>
  <c r="AE10" i="23"/>
  <c r="AE11" i="23"/>
  <c r="AE13" i="23"/>
  <c r="AE18" i="23"/>
  <c r="AE20" i="23"/>
  <c r="AE21" i="23"/>
  <c r="AE22" i="23"/>
  <c r="AE23" i="23"/>
  <c r="AE25" i="23"/>
  <c r="AE28" i="23"/>
  <c r="AE30" i="23"/>
  <c r="AE37" i="23"/>
  <c r="W4" i="23"/>
  <c r="W5" i="23"/>
  <c r="W10" i="23"/>
  <c r="W11" i="23"/>
  <c r="W14" i="23"/>
  <c r="W15" i="23"/>
  <c r="W20" i="23"/>
  <c r="W23" i="23"/>
  <c r="W25" i="23"/>
  <c r="W28" i="23"/>
  <c r="W33" i="23"/>
  <c r="W36" i="23"/>
  <c r="W37" i="23"/>
  <c r="U20" i="23"/>
  <c r="M5" i="23"/>
  <c r="M6" i="23"/>
  <c r="M11" i="23"/>
  <c r="M4" i="23"/>
  <c r="M13" i="23"/>
  <c r="M14" i="23"/>
  <c r="M21" i="23"/>
  <c r="M22" i="23"/>
  <c r="M23" i="23"/>
  <c r="M24" i="23"/>
  <c r="M25" i="23"/>
  <c r="M30" i="23"/>
  <c r="M32" i="23"/>
  <c r="M33" i="23"/>
  <c r="M35" i="23"/>
  <c r="M36" i="23"/>
  <c r="M37" i="23"/>
  <c r="U8" i="23"/>
  <c r="U10" i="23"/>
  <c r="U28" i="23"/>
  <c r="AE26" i="23"/>
  <c r="AE27" i="23"/>
  <c r="AE31" i="23"/>
  <c r="AE32" i="23"/>
  <c r="AE33" i="23"/>
  <c r="U4" i="23"/>
  <c r="U6" i="23"/>
  <c r="U12" i="23"/>
  <c r="U14" i="23"/>
  <c r="U22" i="23"/>
  <c r="U24" i="23"/>
  <c r="U26" i="23"/>
  <c r="U30" i="23"/>
  <c r="M7" i="23"/>
  <c r="M8" i="23"/>
  <c r="M9" i="23"/>
  <c r="M10" i="23"/>
  <c r="M20" i="23"/>
  <c r="M26" i="23"/>
  <c r="M28" i="23"/>
  <c r="M34" i="23"/>
  <c r="U32" i="23"/>
  <c r="U34" i="23"/>
  <c r="U36" i="23"/>
  <c r="U38" i="23"/>
  <c r="U5" i="23"/>
  <c r="U7" i="23"/>
  <c r="U9" i="23"/>
  <c r="U11" i="23"/>
  <c r="U13" i="23"/>
  <c r="U15" i="23"/>
  <c r="U19" i="23"/>
  <c r="U21" i="23"/>
  <c r="U23" i="23"/>
  <c r="U25" i="23"/>
  <c r="U27" i="23"/>
  <c r="U29" i="23"/>
  <c r="U31" i="23"/>
  <c r="U33" i="23"/>
  <c r="U35" i="23"/>
  <c r="Q4" i="23"/>
  <c r="Q5" i="23"/>
  <c r="Q6" i="23"/>
  <c r="Q7" i="23"/>
  <c r="Q8" i="23"/>
  <c r="Q9" i="23"/>
  <c r="Q10" i="23"/>
  <c r="Q11" i="23"/>
  <c r="Q12" i="23"/>
  <c r="Q13" i="23"/>
  <c r="Q14" i="23"/>
  <c r="Q15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8" i="23"/>
  <c r="M5" i="18"/>
  <c r="W15" i="18"/>
  <c r="M23" i="18"/>
  <c r="W7" i="18"/>
  <c r="W25" i="18"/>
  <c r="M13" i="18"/>
  <c r="M31" i="18"/>
  <c r="W11" i="18"/>
  <c r="W21" i="18"/>
  <c r="W31" i="18"/>
  <c r="M9" i="18"/>
  <c r="M19" i="18"/>
  <c r="M27" i="18"/>
  <c r="M35" i="18"/>
  <c r="W5" i="18"/>
  <c r="W9" i="18"/>
  <c r="W13" i="18"/>
  <c r="W19" i="18"/>
  <c r="W23" i="18"/>
  <c r="W27" i="18"/>
  <c r="W35" i="18"/>
  <c r="M7" i="18"/>
  <c r="M11" i="18"/>
  <c r="M15" i="18"/>
  <c r="M21" i="18"/>
  <c r="M25" i="18"/>
  <c r="M29" i="18"/>
  <c r="M33" i="18"/>
  <c r="M37" i="18"/>
  <c r="W4" i="18"/>
  <c r="W6" i="18"/>
  <c r="W8" i="18"/>
  <c r="W10" i="18"/>
  <c r="W12" i="18"/>
  <c r="W14" i="18"/>
  <c r="W16" i="18"/>
  <c r="W20" i="18"/>
  <c r="W22" i="18"/>
  <c r="W24" i="18"/>
  <c r="W26" i="18"/>
  <c r="W29" i="18"/>
  <c r="W33" i="18"/>
  <c r="W37" i="18"/>
  <c r="W28" i="18"/>
  <c r="W30" i="18"/>
  <c r="W32" i="18"/>
  <c r="W34" i="18"/>
  <c r="W36" i="18"/>
  <c r="M4" i="18"/>
  <c r="M6" i="18"/>
  <c r="M8" i="18"/>
  <c r="M10" i="18"/>
  <c r="M12" i="18"/>
  <c r="M14" i="18"/>
  <c r="M16" i="18"/>
  <c r="M20" i="18"/>
  <c r="M22" i="18"/>
  <c r="M24" i="18"/>
  <c r="M26" i="18"/>
  <c r="M28" i="18"/>
  <c r="M30" i="18"/>
  <c r="M32" i="18"/>
  <c r="M34" i="18"/>
  <c r="M36" i="18"/>
  <c r="AE4" i="18"/>
  <c r="AE5" i="18"/>
  <c r="AE6" i="18"/>
  <c r="AE7" i="18"/>
  <c r="AE8" i="18"/>
  <c r="AE9" i="18"/>
  <c r="AE10" i="18"/>
  <c r="AE11" i="18"/>
  <c r="AE12" i="18"/>
  <c r="AE13" i="18"/>
  <c r="AE14" i="18"/>
  <c r="AE15" i="18"/>
  <c r="AE16" i="18"/>
  <c r="AE19" i="18"/>
  <c r="AE20" i="18"/>
  <c r="AE21" i="18"/>
  <c r="AE22" i="18"/>
  <c r="AE23" i="18"/>
  <c r="AE24" i="18"/>
  <c r="AE25" i="18"/>
  <c r="AE26" i="18"/>
  <c r="AE27" i="18"/>
  <c r="AE28" i="18"/>
  <c r="AE29" i="18"/>
  <c r="AE30" i="18"/>
  <c r="AE31" i="18"/>
  <c r="AE32" i="18"/>
  <c r="AE33" i="18"/>
  <c r="AE34" i="18"/>
  <c r="AE35" i="18"/>
  <c r="AE36" i="18"/>
  <c r="AE37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S11" i="20"/>
  <c r="O51" i="20"/>
  <c r="S15" i="20"/>
  <c r="S14" i="20"/>
  <c r="S22" i="20"/>
  <c r="M10" i="20"/>
  <c r="M14" i="20"/>
  <c r="M15" i="20"/>
  <c r="M17" i="20"/>
  <c r="M6" i="20"/>
  <c r="M30" i="20"/>
  <c r="M38" i="20"/>
  <c r="M53" i="20"/>
  <c r="M24" i="20"/>
  <c r="M33" i="20"/>
  <c r="M51" i="20"/>
  <c r="M52" i="20"/>
  <c r="O52" i="20"/>
  <c r="O53" i="20"/>
  <c r="S31" i="20"/>
  <c r="S34" i="20"/>
  <c r="M4" i="20"/>
  <c r="M8" i="20"/>
  <c r="M28" i="20"/>
  <c r="M48" i="20"/>
  <c r="O44" i="20"/>
  <c r="S6" i="20"/>
  <c r="S46" i="20"/>
  <c r="M5" i="20"/>
  <c r="M9" i="20"/>
  <c r="M26" i="20"/>
  <c r="M29" i="20"/>
  <c r="M31" i="20"/>
  <c r="M32" i="20"/>
  <c r="M34" i="20"/>
  <c r="M36" i="20"/>
  <c r="M39" i="20"/>
  <c r="M45" i="20"/>
  <c r="M47" i="20"/>
  <c r="M50" i="20"/>
  <c r="S50" i="20"/>
  <c r="S26" i="20"/>
  <c r="U28" i="20"/>
  <c r="O42" i="20"/>
  <c r="U15" i="20"/>
  <c r="U30" i="20"/>
  <c r="U46" i="20"/>
  <c r="S7" i="20"/>
  <c r="S10" i="20"/>
  <c r="S18" i="20"/>
  <c r="S23" i="20"/>
  <c r="S30" i="20"/>
  <c r="S38" i="20"/>
  <c r="S39" i="20"/>
  <c r="S42" i="20"/>
  <c r="S47" i="20"/>
  <c r="O22" i="20"/>
  <c r="U31" i="20"/>
  <c r="O8" i="20"/>
  <c r="O9" i="20"/>
  <c r="O10" i="20"/>
  <c r="O20" i="20"/>
  <c r="O29" i="20"/>
  <c r="O30" i="20"/>
  <c r="O31" i="20"/>
  <c r="O32" i="20"/>
  <c r="O33" i="20"/>
  <c r="O34" i="20"/>
  <c r="O39" i="20"/>
  <c r="O40" i="20"/>
  <c r="U23" i="20"/>
  <c r="Q22" i="20"/>
  <c r="Q26" i="20"/>
  <c r="Q42" i="20"/>
  <c r="O5" i="20"/>
  <c r="O6" i="20"/>
  <c r="O7" i="20"/>
  <c r="O12" i="20"/>
  <c r="O19" i="20"/>
  <c r="O21" i="20"/>
  <c r="O41" i="20"/>
  <c r="O43" i="20"/>
  <c r="U44" i="20"/>
  <c r="M7" i="20"/>
  <c r="M11" i="20"/>
  <c r="M12" i="20"/>
  <c r="M13" i="20"/>
  <c r="M16" i="20"/>
  <c r="M18" i="20"/>
  <c r="M19" i="20"/>
  <c r="M20" i="20"/>
  <c r="M21" i="20"/>
  <c r="M22" i="20"/>
  <c r="M23" i="20"/>
  <c r="M25" i="20"/>
  <c r="M27" i="20"/>
  <c r="M35" i="20"/>
  <c r="M37" i="20"/>
  <c r="M40" i="20"/>
  <c r="M41" i="20"/>
  <c r="M42" i="20"/>
  <c r="M43" i="20"/>
  <c r="M44" i="20"/>
  <c r="M46" i="20"/>
  <c r="U4" i="20"/>
  <c r="U6" i="20"/>
  <c r="U7" i="20"/>
  <c r="U12" i="20"/>
  <c r="U14" i="20"/>
  <c r="U22" i="20"/>
  <c r="U38" i="20"/>
  <c r="U39" i="20"/>
  <c r="U47" i="20"/>
  <c r="Q38" i="20"/>
  <c r="O4" i="20"/>
  <c r="O11" i="20"/>
  <c r="O13" i="20"/>
  <c r="O14" i="20"/>
  <c r="O15" i="20"/>
  <c r="O16" i="20"/>
  <c r="O17" i="20"/>
  <c r="O18" i="20"/>
  <c r="O23" i="20"/>
  <c r="O24" i="20"/>
  <c r="O25" i="20"/>
  <c r="O26" i="20"/>
  <c r="O27" i="20"/>
  <c r="O28" i="20"/>
  <c r="O35" i="20"/>
  <c r="O36" i="20"/>
  <c r="O37" i="20"/>
  <c r="O38" i="20"/>
  <c r="O45" i="20"/>
  <c r="O46" i="20"/>
  <c r="O47" i="20"/>
  <c r="O48" i="20"/>
  <c r="O49" i="20"/>
  <c r="U9" i="20"/>
  <c r="U17" i="20"/>
  <c r="U20" i="20"/>
  <c r="U25" i="20"/>
  <c r="U33" i="20"/>
  <c r="U36" i="20"/>
  <c r="U41" i="20"/>
  <c r="U49" i="20"/>
  <c r="U52" i="20"/>
  <c r="Q6" i="20"/>
  <c r="Q10" i="20"/>
  <c r="Q14" i="20"/>
  <c r="Q18" i="20"/>
  <c r="Q30" i="20"/>
  <c r="Q34" i="20"/>
  <c r="Q46" i="20"/>
  <c r="Q50" i="20"/>
  <c r="S19" i="20"/>
  <c r="S27" i="20"/>
  <c r="S35" i="20"/>
  <c r="S43" i="20"/>
  <c r="S51" i="20"/>
  <c r="U5" i="20"/>
  <c r="U8" i="20"/>
  <c r="U10" i="20"/>
  <c r="U11" i="20"/>
  <c r="U13" i="20"/>
  <c r="U16" i="20"/>
  <c r="U18" i="20"/>
  <c r="U19" i="20"/>
  <c r="U21" i="20"/>
  <c r="U24" i="20"/>
  <c r="U26" i="20"/>
  <c r="U27" i="20"/>
  <c r="U29" i="20"/>
  <c r="U32" i="20"/>
  <c r="U34" i="20"/>
  <c r="U35" i="20"/>
  <c r="U37" i="20"/>
  <c r="U40" i="20"/>
  <c r="U42" i="20"/>
  <c r="U43" i="20"/>
  <c r="U45" i="20"/>
  <c r="U48" i="20"/>
  <c r="U50" i="20"/>
  <c r="U51" i="20"/>
  <c r="Q4" i="20"/>
  <c r="Q8" i="20"/>
  <c r="Q12" i="20"/>
  <c r="Q16" i="20"/>
  <c r="Q20" i="20"/>
  <c r="Q24" i="20"/>
  <c r="Q28" i="20"/>
  <c r="Q32" i="20"/>
  <c r="Q36" i="20"/>
  <c r="Q40" i="20"/>
  <c r="Q44" i="20"/>
  <c r="Q48" i="20"/>
  <c r="Q52" i="20"/>
  <c r="S4" i="20"/>
  <c r="S5" i="20"/>
  <c r="S8" i="20"/>
  <c r="S9" i="20"/>
  <c r="S12" i="20"/>
  <c r="S13" i="20"/>
  <c r="S16" i="20"/>
  <c r="S17" i="20"/>
  <c r="S20" i="20"/>
  <c r="S21" i="20"/>
  <c r="S24" i="20"/>
  <c r="S25" i="20"/>
  <c r="S28" i="20"/>
  <c r="S29" i="20"/>
  <c r="S32" i="20"/>
  <c r="S33" i="20"/>
  <c r="S36" i="20"/>
  <c r="S37" i="20"/>
  <c r="S40" i="20"/>
  <c r="S41" i="20"/>
  <c r="S44" i="20"/>
  <c r="S45" i="20"/>
  <c r="S48" i="20"/>
  <c r="S49" i="20"/>
  <c r="S52" i="20"/>
  <c r="Q5" i="20"/>
  <c r="Q7" i="20"/>
  <c r="Q9" i="20"/>
  <c r="Q11" i="20"/>
  <c r="Q13" i="20"/>
  <c r="Q15" i="20"/>
  <c r="Q17" i="20"/>
  <c r="Q19" i="20"/>
  <c r="Q21" i="20"/>
  <c r="Q23" i="20"/>
  <c r="Q25" i="20"/>
  <c r="Q27" i="20"/>
  <c r="Q29" i="20"/>
  <c r="Q31" i="20"/>
  <c r="Q33" i="20"/>
  <c r="Q35" i="20"/>
  <c r="Q37" i="20"/>
  <c r="Q39" i="20"/>
  <c r="Q41" i="20"/>
  <c r="Q43" i="20"/>
  <c r="Q45" i="20"/>
  <c r="Q47" i="20"/>
  <c r="Q49" i="20"/>
  <c r="Q51" i="20"/>
  <c r="M4" i="19"/>
  <c r="M22" i="19"/>
  <c r="M12" i="19"/>
  <c r="M28" i="19"/>
  <c r="Q6" i="19"/>
  <c r="U8" i="19"/>
  <c r="U9" i="19"/>
  <c r="U17" i="19"/>
  <c r="Q35" i="19"/>
  <c r="Q4" i="19"/>
  <c r="Q31" i="19"/>
  <c r="Q48" i="19"/>
  <c r="Q8" i="19"/>
  <c r="Q9" i="19"/>
  <c r="Q10" i="19"/>
  <c r="Q15" i="19"/>
  <c r="Q18" i="19"/>
  <c r="Q23" i="19"/>
  <c r="Q29" i="19"/>
  <c r="Q33" i="19"/>
  <c r="Q46" i="19"/>
  <c r="Q50" i="19"/>
  <c r="M14" i="19"/>
  <c r="M20" i="19"/>
  <c r="U25" i="19"/>
  <c r="U39" i="19"/>
  <c r="U13" i="19"/>
  <c r="U21" i="19"/>
  <c r="Q5" i="19"/>
  <c r="Q7" i="19"/>
  <c r="Q11" i="19"/>
  <c r="Q14" i="19"/>
  <c r="Q19" i="19"/>
  <c r="Q22" i="19"/>
  <c r="Q28" i="19"/>
  <c r="Q30" i="19"/>
  <c r="Q32" i="19"/>
  <c r="Q34" i="19"/>
  <c r="Q47" i="19"/>
  <c r="Q49" i="19"/>
  <c r="Q51" i="19"/>
  <c r="Q53" i="19"/>
  <c r="Q52" i="19"/>
  <c r="M8" i="19"/>
  <c r="U4" i="19"/>
  <c r="U5" i="19"/>
  <c r="U27" i="19"/>
  <c r="U37" i="19"/>
  <c r="U41" i="19"/>
  <c r="U45" i="19"/>
  <c r="U43" i="19"/>
  <c r="M6" i="19"/>
  <c r="M10" i="19"/>
  <c r="M16" i="19"/>
  <c r="M18" i="19"/>
  <c r="M24" i="19"/>
  <c r="M36" i="19"/>
  <c r="M46" i="19"/>
  <c r="K22" i="19"/>
  <c r="K6" i="19"/>
  <c r="K38" i="19"/>
  <c r="U6" i="19"/>
  <c r="U7" i="19"/>
  <c r="U10" i="19"/>
  <c r="U11" i="19"/>
  <c r="U12" i="19"/>
  <c r="U14" i="19"/>
  <c r="U15" i="19"/>
  <c r="U16" i="19"/>
  <c r="U18" i="19"/>
  <c r="U19" i="19"/>
  <c r="U20" i="19"/>
  <c r="U22" i="19"/>
  <c r="U23" i="19"/>
  <c r="U24" i="19"/>
  <c r="U26" i="19"/>
  <c r="U28" i="19"/>
  <c r="U29" i="19"/>
  <c r="U30" i="19"/>
  <c r="U31" i="19"/>
  <c r="U32" i="19"/>
  <c r="U33" i="19"/>
  <c r="U34" i="19"/>
  <c r="U35" i="19"/>
  <c r="U36" i="19"/>
  <c r="U38" i="19"/>
  <c r="U40" i="19"/>
  <c r="U42" i="19"/>
  <c r="U44" i="19"/>
  <c r="U46" i="19"/>
  <c r="U47" i="19"/>
  <c r="U48" i="19"/>
  <c r="U49" i="19"/>
  <c r="U50" i="19"/>
  <c r="U51" i="19"/>
  <c r="U52" i="19"/>
  <c r="Q12" i="19"/>
  <c r="Q13" i="19"/>
  <c r="Q16" i="19"/>
  <c r="Q17" i="19"/>
  <c r="Q20" i="19"/>
  <c r="Q21" i="19"/>
  <c r="Q24" i="19"/>
  <c r="Q25" i="19"/>
  <c r="Q26" i="19"/>
  <c r="Q27" i="19"/>
  <c r="Q36" i="19"/>
  <c r="Q37" i="19"/>
  <c r="Q38" i="19"/>
  <c r="Q39" i="19"/>
  <c r="Q40" i="19"/>
  <c r="Q41" i="19"/>
  <c r="Q42" i="19"/>
  <c r="Q43" i="19"/>
  <c r="Q44" i="19"/>
  <c r="M5" i="19"/>
  <c r="M7" i="19"/>
  <c r="M9" i="19"/>
  <c r="M11" i="19"/>
  <c r="M13" i="19"/>
  <c r="M15" i="19"/>
  <c r="M17" i="19"/>
  <c r="M19" i="19"/>
  <c r="M21" i="19"/>
  <c r="M23" i="19"/>
  <c r="M26" i="19"/>
  <c r="M30" i="19"/>
  <c r="M41" i="19"/>
  <c r="M49" i="19"/>
  <c r="K14" i="19"/>
  <c r="K30" i="19"/>
  <c r="K46" i="19"/>
  <c r="E22" i="19"/>
  <c r="E6" i="19"/>
  <c r="E38" i="19"/>
  <c r="E14" i="19"/>
  <c r="E30" i="19"/>
  <c r="E46" i="19"/>
  <c r="E10" i="19"/>
  <c r="E18" i="19"/>
  <c r="E26" i="19"/>
  <c r="E34" i="19"/>
  <c r="E42" i="19"/>
  <c r="E50" i="19"/>
  <c r="E4" i="19"/>
  <c r="E8" i="19"/>
  <c r="E12" i="19"/>
  <c r="E16" i="19"/>
  <c r="E20" i="19"/>
  <c r="E24" i="19"/>
  <c r="E28" i="19"/>
  <c r="E32" i="19"/>
  <c r="E36" i="19"/>
  <c r="E40" i="19"/>
  <c r="E44" i="19"/>
  <c r="E48" i="19"/>
  <c r="E52" i="19"/>
  <c r="I18" i="19"/>
  <c r="G5" i="19"/>
  <c r="E5" i="19"/>
  <c r="E7" i="19"/>
  <c r="E9" i="19"/>
  <c r="E11" i="19"/>
  <c r="E13" i="19"/>
  <c r="E15" i="19"/>
  <c r="E17" i="19"/>
  <c r="E19" i="19"/>
  <c r="E21" i="19"/>
  <c r="E23" i="19"/>
  <c r="E25" i="19"/>
  <c r="E27" i="19"/>
  <c r="E29" i="19"/>
  <c r="E31" i="19"/>
  <c r="E33" i="19"/>
  <c r="E35" i="19"/>
  <c r="E37" i="19"/>
  <c r="E39" i="19"/>
  <c r="E41" i="19"/>
  <c r="E43" i="19"/>
  <c r="E45" i="19"/>
  <c r="E47" i="19"/>
  <c r="E49" i="19"/>
  <c r="E51" i="19"/>
  <c r="O46" i="19"/>
  <c r="M25" i="19"/>
  <c r="M27" i="19"/>
  <c r="M29" i="19"/>
  <c r="M33" i="19"/>
  <c r="M38" i="19"/>
  <c r="M44" i="19"/>
  <c r="M52" i="19"/>
  <c r="I34" i="19"/>
  <c r="O6" i="19"/>
  <c r="K10" i="19"/>
  <c r="K18" i="19"/>
  <c r="K26" i="19"/>
  <c r="K34" i="19"/>
  <c r="K42" i="19"/>
  <c r="K50" i="19"/>
  <c r="G21" i="19"/>
  <c r="O22" i="19"/>
  <c r="I10" i="19"/>
  <c r="I26" i="19"/>
  <c r="I42" i="19"/>
  <c r="G13" i="19"/>
  <c r="G29" i="19"/>
  <c r="C41" i="19"/>
  <c r="S38" i="19"/>
  <c r="O14" i="19"/>
  <c r="O30" i="19"/>
  <c r="O38" i="19"/>
  <c r="I6" i="19"/>
  <c r="I14" i="19"/>
  <c r="I22" i="19"/>
  <c r="I30" i="19"/>
  <c r="I38" i="19"/>
  <c r="I46" i="19"/>
  <c r="G9" i="19"/>
  <c r="G17" i="19"/>
  <c r="G25" i="19"/>
  <c r="G33" i="19"/>
  <c r="C25" i="19"/>
  <c r="S31" i="19"/>
  <c r="S47" i="19"/>
  <c r="O10" i="19"/>
  <c r="O18" i="19"/>
  <c r="O26" i="19"/>
  <c r="O34" i="19"/>
  <c r="O42" i="19"/>
  <c r="O50" i="19"/>
  <c r="I50" i="19"/>
  <c r="I4" i="19"/>
  <c r="I8" i="19"/>
  <c r="I12" i="19"/>
  <c r="I16" i="19"/>
  <c r="I20" i="19"/>
  <c r="I24" i="19"/>
  <c r="I28" i="19"/>
  <c r="I32" i="19"/>
  <c r="I36" i="19"/>
  <c r="I40" i="19"/>
  <c r="I44" i="19"/>
  <c r="I48" i="19"/>
  <c r="I52" i="19"/>
  <c r="G7" i="19"/>
  <c r="G11" i="19"/>
  <c r="G15" i="19"/>
  <c r="G19" i="19"/>
  <c r="G23" i="19"/>
  <c r="G27" i="19"/>
  <c r="G31" i="19"/>
  <c r="G35" i="19"/>
  <c r="C49" i="19"/>
  <c r="C33" i="19"/>
  <c r="C17" i="19"/>
  <c r="S6" i="19"/>
  <c r="S7" i="19"/>
  <c r="S14" i="19"/>
  <c r="S15" i="19"/>
  <c r="S22" i="19"/>
  <c r="S23" i="19"/>
  <c r="S30" i="19"/>
  <c r="S39" i="19"/>
  <c r="S46" i="19"/>
  <c r="M31" i="19"/>
  <c r="M32" i="19"/>
  <c r="M34" i="19"/>
  <c r="M35" i="19"/>
  <c r="M37" i="19"/>
  <c r="M39" i="19"/>
  <c r="M40" i="19"/>
  <c r="M42" i="19"/>
  <c r="M43" i="19"/>
  <c r="M45" i="19"/>
  <c r="M47" i="19"/>
  <c r="M48" i="19"/>
  <c r="M50" i="19"/>
  <c r="M51" i="19"/>
  <c r="K4" i="19"/>
  <c r="K8" i="19"/>
  <c r="K12" i="19"/>
  <c r="K16" i="19"/>
  <c r="K20" i="19"/>
  <c r="K24" i="19"/>
  <c r="K28" i="19"/>
  <c r="K32" i="19"/>
  <c r="K36" i="19"/>
  <c r="K40" i="19"/>
  <c r="K44" i="19"/>
  <c r="K48" i="19"/>
  <c r="K52" i="19"/>
  <c r="G37" i="19"/>
  <c r="G39" i="19"/>
  <c r="G41" i="19"/>
  <c r="G43" i="19"/>
  <c r="G46" i="19"/>
  <c r="G50" i="19"/>
  <c r="G4" i="19"/>
  <c r="G6" i="19"/>
  <c r="G8" i="19"/>
  <c r="G10" i="19"/>
  <c r="G12" i="19"/>
  <c r="G14" i="19"/>
  <c r="G16" i="19"/>
  <c r="G18" i="19"/>
  <c r="G20" i="19"/>
  <c r="G22" i="19"/>
  <c r="G24" i="19"/>
  <c r="G26" i="19"/>
  <c r="G28" i="19"/>
  <c r="G30" i="19"/>
  <c r="G32" i="19"/>
  <c r="G34" i="19"/>
  <c r="G36" i="19"/>
  <c r="G38" i="19"/>
  <c r="G40" i="19"/>
  <c r="G42" i="19"/>
  <c r="G44" i="19"/>
  <c r="G48" i="19"/>
  <c r="G52" i="19"/>
  <c r="C53" i="19"/>
  <c r="C45" i="19"/>
  <c r="C37" i="19"/>
  <c r="C29" i="19"/>
  <c r="C21" i="19"/>
  <c r="C12" i="19"/>
  <c r="S10" i="19"/>
  <c r="S11" i="19"/>
  <c r="S18" i="19"/>
  <c r="S19" i="19"/>
  <c r="S26" i="19"/>
  <c r="S27" i="19"/>
  <c r="S34" i="19"/>
  <c r="S35" i="19"/>
  <c r="S42" i="19"/>
  <c r="S43" i="19"/>
  <c r="S50" i="19"/>
  <c r="S51" i="19"/>
  <c r="O4" i="19"/>
  <c r="O8" i="19"/>
  <c r="O12" i="19"/>
  <c r="O16" i="19"/>
  <c r="O20" i="19"/>
  <c r="O24" i="19"/>
  <c r="O28" i="19"/>
  <c r="O32" i="19"/>
  <c r="O36" i="19"/>
  <c r="O40" i="19"/>
  <c r="O44" i="19"/>
  <c r="O48" i="19"/>
  <c r="O52" i="19"/>
  <c r="K5" i="19"/>
  <c r="K7" i="19"/>
  <c r="K9" i="19"/>
  <c r="K11" i="19"/>
  <c r="K13" i="19"/>
  <c r="K15" i="19"/>
  <c r="K17" i="19"/>
  <c r="K19" i="19"/>
  <c r="K21" i="19"/>
  <c r="K23" i="19"/>
  <c r="K25" i="19"/>
  <c r="K27" i="19"/>
  <c r="K29" i="19"/>
  <c r="K31" i="19"/>
  <c r="K33" i="19"/>
  <c r="K35" i="19"/>
  <c r="K37" i="19"/>
  <c r="K39" i="19"/>
  <c r="K41" i="19"/>
  <c r="K43" i="19"/>
  <c r="K45" i="19"/>
  <c r="K47" i="19"/>
  <c r="K49" i="19"/>
  <c r="K51" i="19"/>
  <c r="C51" i="19"/>
  <c r="C47" i="19"/>
  <c r="C43" i="19"/>
  <c r="C39" i="19"/>
  <c r="C35" i="19"/>
  <c r="C31" i="19"/>
  <c r="C27" i="19"/>
  <c r="C23" i="19"/>
  <c r="C19" i="19"/>
  <c r="C15" i="19"/>
  <c r="C8" i="19"/>
  <c r="S4" i="19"/>
  <c r="S5" i="19"/>
  <c r="S8" i="19"/>
  <c r="S9" i="19"/>
  <c r="S12" i="19"/>
  <c r="S13" i="19"/>
  <c r="S16" i="19"/>
  <c r="S17" i="19"/>
  <c r="S20" i="19"/>
  <c r="S21" i="19"/>
  <c r="S24" i="19"/>
  <c r="S25" i="19"/>
  <c r="S28" i="19"/>
  <c r="S29" i="19"/>
  <c r="S32" i="19"/>
  <c r="S33" i="19"/>
  <c r="S36" i="19"/>
  <c r="S37" i="19"/>
  <c r="S40" i="19"/>
  <c r="S41" i="19"/>
  <c r="S44" i="19"/>
  <c r="S45" i="19"/>
  <c r="S48" i="19"/>
  <c r="S49" i="19"/>
  <c r="S52" i="19"/>
  <c r="O5" i="19"/>
  <c r="O7" i="19"/>
  <c r="O9" i="19"/>
  <c r="O11" i="19"/>
  <c r="O13" i="19"/>
  <c r="O15" i="19"/>
  <c r="O17" i="19"/>
  <c r="O19" i="19"/>
  <c r="O21" i="19"/>
  <c r="O23" i="19"/>
  <c r="O25" i="19"/>
  <c r="O27" i="19"/>
  <c r="O29" i="19"/>
  <c r="O31" i="19"/>
  <c r="O33" i="19"/>
  <c r="O35" i="19"/>
  <c r="O37" i="19"/>
  <c r="O39" i="19"/>
  <c r="O41" i="19"/>
  <c r="O43" i="19"/>
  <c r="O45" i="19"/>
  <c r="O47" i="19"/>
  <c r="O49" i="19"/>
  <c r="O51" i="19"/>
  <c r="I5" i="19"/>
  <c r="I7" i="19"/>
  <c r="I9" i="19"/>
  <c r="I11" i="19"/>
  <c r="I13" i="19"/>
  <c r="I15" i="19"/>
  <c r="I17" i="19"/>
  <c r="I19" i="19"/>
  <c r="I21" i="19"/>
  <c r="I23" i="19"/>
  <c r="I25" i="19"/>
  <c r="I27" i="19"/>
  <c r="I29" i="19"/>
  <c r="I31" i="19"/>
  <c r="I33" i="19"/>
  <c r="I35" i="19"/>
  <c r="I37" i="19"/>
  <c r="I39" i="19"/>
  <c r="I41" i="19"/>
  <c r="I43" i="19"/>
  <c r="I45" i="19"/>
  <c r="I47" i="19"/>
  <c r="I49" i="19"/>
  <c r="I51" i="19"/>
  <c r="C4" i="19"/>
  <c r="C52" i="19"/>
  <c r="C50" i="19"/>
  <c r="C48" i="19"/>
  <c r="C46" i="19"/>
  <c r="C44" i="19"/>
  <c r="C42" i="19"/>
  <c r="C40" i="19"/>
  <c r="C38" i="19"/>
  <c r="C36" i="19"/>
  <c r="C34" i="19"/>
  <c r="C32" i="19"/>
  <c r="C30" i="19"/>
  <c r="C28" i="19"/>
  <c r="C26" i="19"/>
  <c r="C24" i="19"/>
  <c r="C22" i="19"/>
  <c r="C20" i="19"/>
  <c r="C18" i="19"/>
  <c r="C16" i="19"/>
  <c r="C14" i="19"/>
  <c r="C10" i="19"/>
  <c r="C6" i="19"/>
  <c r="AC38" i="27"/>
  <c r="AC14" i="27"/>
  <c r="AC32" i="27"/>
  <c r="AC34" i="27"/>
  <c r="AC33" i="27"/>
  <c r="AC35" i="27"/>
  <c r="S33" i="27"/>
  <c r="I4" i="27"/>
  <c r="I5" i="27"/>
  <c r="I6" i="27"/>
  <c r="I7" i="27"/>
  <c r="I8" i="27"/>
  <c r="I9" i="27"/>
  <c r="I10" i="27"/>
  <c r="I37" i="27"/>
  <c r="I38" i="27"/>
  <c r="Q38" i="27"/>
  <c r="Q34" i="27"/>
  <c r="Q16" i="27"/>
  <c r="Q17" i="27"/>
  <c r="Q26" i="27"/>
  <c r="Q27" i="27"/>
  <c r="Q30" i="27"/>
  <c r="Q31" i="27"/>
  <c r="Q35" i="27"/>
  <c r="Y38" i="23"/>
  <c r="O38" i="23"/>
  <c r="S5" i="28"/>
  <c r="S6" i="28"/>
  <c r="S9" i="28"/>
  <c r="S10" i="28"/>
  <c r="S13" i="28"/>
  <c r="S20" i="28"/>
  <c r="S21" i="28"/>
  <c r="S22" i="28"/>
  <c r="S23" i="28"/>
  <c r="S28" i="28"/>
  <c r="S29" i="28"/>
  <c r="S30" i="28"/>
  <c r="S31" i="28"/>
  <c r="S36" i="28"/>
  <c r="S37" i="28"/>
  <c r="S4" i="28"/>
  <c r="S7" i="28"/>
  <c r="S8" i="28"/>
  <c r="S11" i="28"/>
  <c r="S12" i="28"/>
  <c r="S16" i="28"/>
  <c r="S17" i="28"/>
  <c r="S18" i="28"/>
  <c r="S19" i="28"/>
  <c r="S24" i="28"/>
  <c r="S25" i="28"/>
  <c r="S26" i="28"/>
  <c r="S27" i="28"/>
  <c r="S32" i="28"/>
  <c r="S33" i="28"/>
  <c r="S34" i="28"/>
  <c r="S35" i="28"/>
  <c r="AC5" i="27"/>
  <c r="AC9" i="27"/>
  <c r="AC7" i="27"/>
  <c r="AC11" i="27"/>
  <c r="AC4" i="27"/>
  <c r="AC6" i="27"/>
  <c r="AC8" i="27"/>
  <c r="AC10" i="27"/>
  <c r="AC12" i="27"/>
  <c r="AC13" i="27"/>
  <c r="AC15" i="27"/>
  <c r="AC18" i="27"/>
  <c r="AC24" i="27"/>
  <c r="AC28" i="27"/>
  <c r="AC16" i="27"/>
  <c r="AC17" i="27"/>
  <c r="AC19" i="27"/>
  <c r="AC25" i="27"/>
  <c r="AC26" i="27"/>
  <c r="AC27" i="27"/>
  <c r="AC29" i="27"/>
  <c r="AC30" i="27"/>
  <c r="AC31" i="27"/>
  <c r="AC36" i="27"/>
  <c r="S11" i="27"/>
  <c r="S12" i="27"/>
  <c r="S13" i="27"/>
  <c r="S14" i="27"/>
  <c r="S15" i="27"/>
  <c r="S25" i="27"/>
  <c r="S19" i="27"/>
  <c r="S29" i="27"/>
  <c r="S4" i="27"/>
  <c r="S5" i="27"/>
  <c r="S6" i="27"/>
  <c r="S7" i="27"/>
  <c r="S8" i="27"/>
  <c r="S9" i="27"/>
  <c r="S10" i="27"/>
  <c r="S17" i="27"/>
  <c r="S27" i="27"/>
  <c r="S31" i="27"/>
  <c r="S35" i="27"/>
  <c r="I15" i="27"/>
  <c r="I11" i="27"/>
  <c r="I19" i="27"/>
  <c r="I20" i="27"/>
  <c r="I13" i="27"/>
  <c r="I17" i="27"/>
  <c r="I29" i="27"/>
  <c r="I30" i="27"/>
  <c r="I31" i="27"/>
  <c r="I12" i="27"/>
  <c r="I14" i="27"/>
  <c r="I16" i="27"/>
  <c r="I18" i="27"/>
  <c r="I25" i="27"/>
  <c r="I26" i="27"/>
  <c r="I27" i="27"/>
  <c r="I33" i="27"/>
  <c r="I34" i="27"/>
  <c r="I35" i="27"/>
  <c r="I24" i="27"/>
  <c r="I28" i="27"/>
  <c r="I32" i="27"/>
  <c r="AC7" i="18"/>
  <c r="AC23" i="18"/>
  <c r="AC13" i="18"/>
  <c r="AC31" i="18"/>
  <c r="AC5" i="18"/>
  <c r="AC9" i="18"/>
  <c r="AC19" i="18"/>
  <c r="AC27" i="18"/>
  <c r="AC35" i="18"/>
  <c r="AC11" i="18"/>
  <c r="AC15" i="18"/>
  <c r="AC21" i="18"/>
  <c r="AC25" i="18"/>
  <c r="AC29" i="18"/>
  <c r="AC33" i="18"/>
  <c r="AC37" i="18"/>
  <c r="AC4" i="18"/>
  <c r="AC6" i="18"/>
  <c r="AC8" i="18"/>
  <c r="AC10" i="18"/>
  <c r="AC12" i="18"/>
  <c r="AC14" i="18"/>
  <c r="AC16" i="18"/>
  <c r="AC20" i="18"/>
  <c r="AC22" i="18"/>
  <c r="AC24" i="18"/>
  <c r="AC26" i="18"/>
  <c r="AC28" i="18"/>
  <c r="AC30" i="18"/>
  <c r="AC32" i="18"/>
  <c r="AC34" i="18"/>
  <c r="AC36" i="18"/>
  <c r="AM4" i="26"/>
  <c r="AM5" i="26"/>
  <c r="AM6" i="26"/>
  <c r="AM7" i="26"/>
  <c r="AM8" i="26"/>
  <c r="AM9" i="26"/>
  <c r="AM10" i="26"/>
  <c r="AM12" i="26"/>
  <c r="AM13" i="26"/>
  <c r="AM14" i="26"/>
  <c r="AM15" i="26"/>
  <c r="AM16" i="26"/>
  <c r="AM17" i="26"/>
  <c r="AM25" i="26"/>
  <c r="AM30" i="26"/>
  <c r="AM31" i="26"/>
  <c r="AM32" i="26"/>
  <c r="AM33" i="26"/>
  <c r="AM34" i="26"/>
  <c r="AM35" i="26"/>
  <c r="AM36" i="26"/>
  <c r="AM37" i="26"/>
  <c r="AM11" i="26"/>
  <c r="AM24" i="26"/>
  <c r="AM26" i="26"/>
  <c r="AM29" i="26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9" i="23"/>
  <c r="AC20" i="23"/>
  <c r="AC21" i="23"/>
  <c r="AC22" i="23"/>
  <c r="AC23" i="23"/>
  <c r="AC24" i="23"/>
  <c r="AC25" i="23"/>
  <c r="AC26" i="23"/>
  <c r="AC27" i="23"/>
  <c r="AC28" i="23"/>
  <c r="AC29" i="23"/>
  <c r="AC30" i="23"/>
  <c r="AC31" i="23"/>
  <c r="AC32" i="23"/>
  <c r="AC33" i="23"/>
  <c r="AC34" i="23"/>
  <c r="AC35" i="23"/>
  <c r="AC36" i="23"/>
  <c r="AC37" i="23"/>
  <c r="S15" i="18"/>
  <c r="S7" i="18"/>
  <c r="S25" i="18"/>
  <c r="S11" i="18"/>
  <c r="S21" i="18"/>
  <c r="S31" i="18"/>
  <c r="S5" i="18"/>
  <c r="S9" i="18"/>
  <c r="S13" i="18"/>
  <c r="S19" i="18"/>
  <c r="S23" i="18"/>
  <c r="S27" i="18"/>
  <c r="S35" i="18"/>
  <c r="S29" i="18"/>
  <c r="S33" i="18"/>
  <c r="S37" i="18"/>
  <c r="S4" i="18"/>
  <c r="S6" i="18"/>
  <c r="S8" i="18"/>
  <c r="S10" i="18"/>
  <c r="S12" i="18"/>
  <c r="S14" i="18"/>
  <c r="S16" i="18"/>
  <c r="S20" i="18"/>
  <c r="S22" i="18"/>
  <c r="S24" i="18"/>
  <c r="S26" i="18"/>
  <c r="S28" i="18"/>
  <c r="S30" i="18"/>
  <c r="S32" i="18"/>
  <c r="S34" i="18"/>
  <c r="S36" i="18"/>
  <c r="S34" i="23"/>
  <c r="S37" i="23"/>
  <c r="S38" i="23"/>
  <c r="S18" i="23"/>
  <c r="S8" i="23"/>
  <c r="S26" i="23"/>
  <c r="S4" i="23"/>
  <c r="S12" i="23"/>
  <c r="S22" i="23"/>
  <c r="S30" i="23"/>
  <c r="S6" i="23"/>
  <c r="S10" i="23"/>
  <c r="S14" i="23"/>
  <c r="S20" i="23"/>
  <c r="S24" i="23"/>
  <c r="S28" i="23"/>
  <c r="S32" i="23"/>
  <c r="S5" i="23"/>
  <c r="S7" i="23"/>
  <c r="S9" i="23"/>
  <c r="S11" i="23"/>
  <c r="S13" i="23"/>
  <c r="S15" i="23"/>
  <c r="S19" i="23"/>
  <c r="S21" i="23"/>
  <c r="S23" i="23"/>
  <c r="S25" i="23"/>
  <c r="S27" i="23"/>
  <c r="S29" i="23"/>
  <c r="S31" i="23"/>
  <c r="S33" i="23"/>
  <c r="S35" i="23"/>
  <c r="Q4" i="27"/>
  <c r="Q8" i="27"/>
  <c r="Q6" i="27"/>
  <c r="Q10" i="27"/>
  <c r="Q5" i="27"/>
  <c r="Q7" i="27"/>
  <c r="Q9" i="27"/>
  <c r="Q11" i="27"/>
  <c r="Q12" i="27"/>
  <c r="Q13" i="27"/>
  <c r="Q14" i="27"/>
  <c r="Q15" i="27"/>
  <c r="Q18" i="27"/>
  <c r="Q19" i="27"/>
  <c r="Q24" i="27"/>
  <c r="Q25" i="27"/>
  <c r="Q28" i="27"/>
  <c r="Q29" i="27"/>
  <c r="Q32" i="27"/>
  <c r="Q33" i="27"/>
  <c r="Q36" i="27"/>
  <c r="AA36" i="23"/>
  <c r="AA37" i="23"/>
  <c r="AA38" i="23"/>
  <c r="AA4" i="27"/>
  <c r="AA5" i="27"/>
  <c r="AA6" i="27"/>
  <c r="AA7" i="27"/>
  <c r="AA8" i="27"/>
  <c r="AA9" i="27"/>
  <c r="AA17" i="27"/>
  <c r="AA19" i="27"/>
  <c r="AA25" i="27"/>
  <c r="AA27" i="27"/>
  <c r="AA29" i="27"/>
  <c r="AA31" i="27"/>
  <c r="AA33" i="27"/>
  <c r="AA35" i="27"/>
  <c r="AA4" i="18"/>
  <c r="AA5" i="18"/>
  <c r="AA6" i="18"/>
  <c r="AA7" i="18"/>
  <c r="AA8" i="18"/>
  <c r="AA9" i="18"/>
  <c r="AA10" i="18"/>
  <c r="AA11" i="18"/>
  <c r="AA12" i="18"/>
  <c r="AA13" i="18"/>
  <c r="AA14" i="18"/>
  <c r="AA15" i="18"/>
  <c r="AA16" i="18"/>
  <c r="AA19" i="18"/>
  <c r="AA20" i="18"/>
  <c r="AA21" i="18"/>
  <c r="AA22" i="18"/>
  <c r="AA23" i="18"/>
  <c r="AA24" i="18"/>
  <c r="AA25" i="18"/>
  <c r="AA26" i="18"/>
  <c r="AA27" i="18"/>
  <c r="AA28" i="18"/>
  <c r="AA29" i="18"/>
  <c r="AA30" i="18"/>
  <c r="AA31" i="18"/>
  <c r="AA32" i="18"/>
  <c r="AA33" i="18"/>
  <c r="AA34" i="18"/>
  <c r="AA35" i="18"/>
  <c r="AA36" i="18"/>
  <c r="AA37" i="18"/>
  <c r="AK4" i="26"/>
  <c r="AK5" i="26"/>
  <c r="AK6" i="26"/>
  <c r="AK7" i="26"/>
  <c r="AK8" i="26"/>
  <c r="AK9" i="26"/>
  <c r="AK10" i="26"/>
  <c r="AK11" i="26"/>
  <c r="AK12" i="26"/>
  <c r="AK24" i="26"/>
  <c r="AK26" i="26"/>
  <c r="AK30" i="26"/>
  <c r="AK31" i="26"/>
  <c r="AK32" i="26"/>
  <c r="AK33" i="26"/>
  <c r="AK34" i="26"/>
  <c r="AK35" i="26"/>
  <c r="AK36" i="26"/>
  <c r="AK37" i="26"/>
  <c r="AK13" i="26"/>
  <c r="AK14" i="26"/>
  <c r="AK15" i="26"/>
  <c r="AK16" i="26"/>
  <c r="AK17" i="26"/>
  <c r="AK25" i="26"/>
  <c r="AK27" i="26"/>
  <c r="AK29" i="26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9" i="23"/>
  <c r="AA20" i="23"/>
  <c r="AA21" i="23"/>
  <c r="AA22" i="23"/>
  <c r="AA23" i="23"/>
  <c r="AA24" i="23"/>
  <c r="AA25" i="23"/>
  <c r="AA26" i="23"/>
  <c r="AA27" i="23"/>
  <c r="AA28" i="23"/>
  <c r="AA29" i="23"/>
  <c r="AA30" i="23"/>
  <c r="AA31" i="23"/>
  <c r="AA32" i="23"/>
  <c r="AA33" i="23"/>
  <c r="AA34" i="23"/>
  <c r="Q4" i="18"/>
  <c r="Q5" i="18"/>
  <c r="Q6" i="18"/>
  <c r="Q7" i="18"/>
  <c r="Q8" i="18"/>
  <c r="Q9" i="18"/>
  <c r="Q10" i="18"/>
  <c r="Q11" i="18"/>
  <c r="Q12" i="18"/>
  <c r="Q13" i="18"/>
  <c r="Q14" i="18"/>
  <c r="Q15" i="18"/>
  <c r="Q16" i="18"/>
  <c r="Q19" i="18"/>
  <c r="Q20" i="18"/>
  <c r="Q21" i="18"/>
  <c r="Q22" i="18"/>
  <c r="Q23" i="18"/>
  <c r="Q24" i="18"/>
  <c r="Q25" i="18"/>
  <c r="Q26" i="18"/>
  <c r="Q27" i="18"/>
  <c r="Q28" i="18"/>
  <c r="Q29" i="18"/>
  <c r="Q30" i="18"/>
  <c r="Q31" i="18"/>
  <c r="Q32" i="18"/>
  <c r="Q33" i="18"/>
  <c r="Q34" i="18"/>
  <c r="Q35" i="18"/>
  <c r="Q36" i="18"/>
  <c r="Q37" i="18"/>
  <c r="AA5" i="26"/>
  <c r="AA9" i="26"/>
  <c r="AA25" i="26"/>
  <c r="AA26" i="26"/>
  <c r="AA27" i="26"/>
  <c r="AA28" i="26"/>
  <c r="AA29" i="26"/>
  <c r="AA30" i="26"/>
  <c r="AA34" i="26"/>
  <c r="AA7" i="26"/>
  <c r="AA11" i="26"/>
  <c r="AA32" i="26"/>
  <c r="AA36" i="26"/>
  <c r="AA4" i="26"/>
  <c r="AA6" i="26"/>
  <c r="AA8" i="26"/>
  <c r="AA10" i="26"/>
  <c r="AA12" i="26"/>
  <c r="AA31" i="26"/>
  <c r="AA33" i="26"/>
  <c r="AA35" i="26"/>
  <c r="Q36" i="23"/>
  <c r="Y6" i="27"/>
  <c r="Y14" i="27"/>
  <c r="Y17" i="27"/>
  <c r="Y31" i="27"/>
  <c r="Y27" i="27"/>
  <c r="Y35" i="27"/>
  <c r="Y4" i="27"/>
  <c r="Y8" i="27"/>
  <c r="Y12" i="27"/>
  <c r="Y19" i="27"/>
  <c r="Y25" i="27"/>
  <c r="Y29" i="27"/>
  <c r="Y33" i="27"/>
  <c r="Y37" i="27"/>
  <c r="Y5" i="27"/>
  <c r="Y7" i="27"/>
  <c r="Y9" i="27"/>
  <c r="Y11" i="27"/>
  <c r="Y13" i="27"/>
  <c r="Y15" i="27"/>
  <c r="Y16" i="27"/>
  <c r="Y18" i="27"/>
  <c r="Y26" i="27"/>
  <c r="Y28" i="27"/>
  <c r="Y30" i="27"/>
  <c r="Y32" i="27"/>
  <c r="Y34" i="27"/>
  <c r="Y36" i="27"/>
  <c r="Y13" i="18"/>
  <c r="Y5" i="18"/>
  <c r="Y23" i="18"/>
  <c r="Y31" i="18"/>
  <c r="Y9" i="18"/>
  <c r="Y19" i="18"/>
  <c r="Y27" i="18"/>
  <c r="Y35" i="18"/>
  <c r="Y7" i="18"/>
  <c r="Y11" i="18"/>
  <c r="Y15" i="18"/>
  <c r="Y21" i="18"/>
  <c r="Y25" i="18"/>
  <c r="Y29" i="18"/>
  <c r="Y33" i="18"/>
  <c r="Y37" i="18"/>
  <c r="Y4" i="18"/>
  <c r="Y6" i="18"/>
  <c r="Y8" i="18"/>
  <c r="Y10" i="18"/>
  <c r="Y12" i="18"/>
  <c r="Y14" i="18"/>
  <c r="Y16" i="18"/>
  <c r="Y20" i="18"/>
  <c r="Y22" i="18"/>
  <c r="Y24" i="18"/>
  <c r="Y26" i="18"/>
  <c r="Y28" i="18"/>
  <c r="Y30" i="18"/>
  <c r="Y32" i="18"/>
  <c r="Y34" i="18"/>
  <c r="Y36" i="18"/>
  <c r="AI4" i="26"/>
  <c r="AI5" i="26"/>
  <c r="AI6" i="26"/>
  <c r="AI7" i="26"/>
  <c r="AI8" i="26"/>
  <c r="AI9" i="26"/>
  <c r="AI10" i="26"/>
  <c r="AI11" i="26"/>
  <c r="AI12" i="26"/>
  <c r="AI13" i="26"/>
  <c r="AI14" i="26"/>
  <c r="AI15" i="26"/>
  <c r="AI16" i="26"/>
  <c r="AI22" i="26"/>
  <c r="AI23" i="26"/>
  <c r="AI24" i="26"/>
  <c r="AI25" i="26"/>
  <c r="AI26" i="26"/>
  <c r="AI27" i="26"/>
  <c r="AI28" i="26"/>
  <c r="AI29" i="26"/>
  <c r="AI30" i="26"/>
  <c r="AI31" i="26"/>
  <c r="AI32" i="26"/>
  <c r="AI33" i="26"/>
  <c r="AI34" i="26"/>
  <c r="AI35" i="26"/>
  <c r="AI36" i="26"/>
  <c r="AI37" i="26"/>
  <c r="Y6" i="23"/>
  <c r="Y22" i="23"/>
  <c r="Y12" i="23"/>
  <c r="Y30" i="23"/>
  <c r="Y4" i="23"/>
  <c r="Y8" i="23"/>
  <c r="Y26" i="23"/>
  <c r="Y34" i="23"/>
  <c r="Y10" i="23"/>
  <c r="Y14" i="23"/>
  <c r="Y20" i="23"/>
  <c r="Y24" i="23"/>
  <c r="Y28" i="23"/>
  <c r="Y32" i="23"/>
  <c r="Y36" i="23"/>
  <c r="Y5" i="23"/>
  <c r="Y7" i="23"/>
  <c r="Y9" i="23"/>
  <c r="Y11" i="23"/>
  <c r="Y13" i="23"/>
  <c r="Y15" i="23"/>
  <c r="Y19" i="23"/>
  <c r="Y21" i="23"/>
  <c r="Y23" i="23"/>
  <c r="Y25" i="23"/>
  <c r="Y27" i="23"/>
  <c r="Y29" i="23"/>
  <c r="Y31" i="23"/>
  <c r="Y33" i="23"/>
  <c r="Y35" i="23"/>
  <c r="O12" i="18"/>
  <c r="O4" i="18"/>
  <c r="O23" i="18"/>
  <c r="O8" i="18"/>
  <c r="O16" i="18"/>
  <c r="O31" i="18"/>
  <c r="O6" i="18"/>
  <c r="O10" i="18"/>
  <c r="O14" i="18"/>
  <c r="O20" i="18"/>
  <c r="O27" i="18"/>
  <c r="O35" i="18"/>
  <c r="O5" i="18"/>
  <c r="O7" i="18"/>
  <c r="O9" i="18"/>
  <c r="O11" i="18"/>
  <c r="O13" i="18"/>
  <c r="O15" i="18"/>
  <c r="O19" i="18"/>
  <c r="O21" i="18"/>
  <c r="O25" i="18"/>
  <c r="O29" i="18"/>
  <c r="O33" i="18"/>
  <c r="O37" i="18"/>
  <c r="O22" i="18"/>
  <c r="O24" i="18"/>
  <c r="O26" i="18"/>
  <c r="O28" i="18"/>
  <c r="O30" i="18"/>
  <c r="O32" i="18"/>
  <c r="O34" i="18"/>
  <c r="O36" i="18"/>
  <c r="Y17" i="26"/>
  <c r="Y9" i="26"/>
  <c r="Y27" i="26"/>
  <c r="Y5" i="26"/>
  <c r="Y13" i="26"/>
  <c r="Y31" i="26"/>
  <c r="Y7" i="26"/>
  <c r="Y11" i="26"/>
  <c r="Y15" i="26"/>
  <c r="Y25" i="26"/>
  <c r="Y29" i="26"/>
  <c r="Y35" i="26"/>
  <c r="Y4" i="26"/>
  <c r="Y6" i="26"/>
  <c r="Y8" i="26"/>
  <c r="Y10" i="26"/>
  <c r="Y12" i="26"/>
  <c r="Y14" i="26"/>
  <c r="Y16" i="26"/>
  <c r="Y18" i="26"/>
  <c r="Y24" i="26"/>
  <c r="Y26" i="26"/>
  <c r="Y28" i="26"/>
  <c r="Y30" i="26"/>
  <c r="Y33" i="26"/>
  <c r="Y37" i="26"/>
  <c r="Y32" i="26"/>
  <c r="Y34" i="26"/>
  <c r="Y36" i="26"/>
  <c r="O4" i="23"/>
  <c r="O5" i="23"/>
  <c r="O6" i="23"/>
  <c r="O7" i="23"/>
  <c r="O8" i="23"/>
  <c r="O9" i="23"/>
  <c r="O10" i="23"/>
  <c r="O11" i="23"/>
  <c r="O12" i="23"/>
  <c r="O13" i="23"/>
  <c r="O14" i="23"/>
  <c r="O19" i="23"/>
  <c r="O20" i="23"/>
  <c r="O21" i="23"/>
  <c r="O22" i="23"/>
  <c r="O23" i="23"/>
  <c r="O24" i="23"/>
  <c r="O25" i="23"/>
  <c r="O26" i="23"/>
  <c r="O27" i="23"/>
  <c r="O28" i="23"/>
  <c r="O29" i="23"/>
  <c r="O30" i="23"/>
  <c r="O31" i="23"/>
  <c r="O32" i="23"/>
  <c r="O33" i="23"/>
  <c r="O34" i="23"/>
  <c r="O35" i="23"/>
  <c r="O36" i="23"/>
  <c r="F1" i="29"/>
  <c r="F3" i="29"/>
  <c r="F5" i="29"/>
  <c r="F7" i="29"/>
  <c r="F2" i="29"/>
  <c r="F4" i="29"/>
  <c r="F6" i="29"/>
  <c r="E2" i="29"/>
  <c r="E3" i="29"/>
  <c r="E4" i="29"/>
  <c r="E5" i="29"/>
  <c r="E6" i="29"/>
  <c r="E7" i="29"/>
  <c r="E1" i="29"/>
  <c r="H1" i="29" s="1"/>
  <c r="M38" i="28"/>
  <c r="M36" i="28"/>
  <c r="M34" i="28"/>
  <c r="M32" i="28"/>
  <c r="M30" i="28"/>
  <c r="M28" i="28"/>
  <c r="M26" i="28"/>
  <c r="M24" i="28"/>
  <c r="M22" i="28"/>
  <c r="M20" i="28"/>
  <c r="M18" i="28"/>
  <c r="M16" i="28"/>
  <c r="Q38" i="28"/>
  <c r="Q36" i="28"/>
  <c r="Q34" i="28"/>
  <c r="Q32" i="28"/>
  <c r="Q30" i="28"/>
  <c r="Q28" i="28"/>
  <c r="Q26" i="28"/>
  <c r="Q24" i="28"/>
  <c r="Q22" i="28"/>
  <c r="Q20" i="28"/>
  <c r="Q18" i="28"/>
  <c r="Q16" i="28"/>
  <c r="U38" i="28"/>
  <c r="U36" i="28"/>
  <c r="U34" i="28"/>
  <c r="U32" i="28"/>
  <c r="U30" i="28"/>
  <c r="U28" i="28"/>
  <c r="U26" i="28"/>
  <c r="U24" i="28"/>
  <c r="U22" i="28"/>
  <c r="U20" i="28"/>
  <c r="U18" i="28"/>
  <c r="U16" i="28"/>
  <c r="M5" i="28"/>
  <c r="Q5" i="28"/>
  <c r="U5" i="28"/>
  <c r="M7" i="28"/>
  <c r="Q7" i="28"/>
  <c r="U7" i="28"/>
  <c r="M9" i="28"/>
  <c r="Q9" i="28"/>
  <c r="U9" i="28"/>
  <c r="M11" i="28"/>
  <c r="Q11" i="28"/>
  <c r="U11" i="28"/>
  <c r="M17" i="28"/>
  <c r="Q17" i="28"/>
  <c r="U17" i="28"/>
  <c r="M21" i="28"/>
  <c r="Q21" i="28"/>
  <c r="U21" i="28"/>
  <c r="M25" i="28"/>
  <c r="Q25" i="28"/>
  <c r="U25" i="28"/>
  <c r="M29" i="28"/>
  <c r="Q29" i="28"/>
  <c r="U29" i="28"/>
  <c r="M33" i="28"/>
  <c r="Q33" i="28"/>
  <c r="U33" i="28"/>
  <c r="M37" i="28"/>
  <c r="Q37" i="28"/>
  <c r="U37" i="28"/>
  <c r="C38" i="27"/>
  <c r="C36" i="27"/>
  <c r="C34" i="27"/>
  <c r="C32" i="27"/>
  <c r="C30" i="27"/>
  <c r="C28" i="27"/>
  <c r="C26" i="27"/>
  <c r="C20" i="27"/>
  <c r="C18" i="27"/>
  <c r="G38" i="27"/>
  <c r="G36" i="27"/>
  <c r="G34" i="27"/>
  <c r="G32" i="27"/>
  <c r="G30" i="27"/>
  <c r="G28" i="27"/>
  <c r="G26" i="27"/>
  <c r="G24" i="27"/>
  <c r="G20" i="27"/>
  <c r="G18" i="27"/>
  <c r="K38" i="27"/>
  <c r="K36" i="27"/>
  <c r="K34" i="27"/>
  <c r="K32" i="27"/>
  <c r="K30" i="27"/>
  <c r="K28" i="27"/>
  <c r="K26" i="27"/>
  <c r="K24" i="27"/>
  <c r="K18" i="27"/>
  <c r="O38" i="27"/>
  <c r="O36" i="27"/>
  <c r="O34" i="27"/>
  <c r="O32" i="27"/>
  <c r="O30" i="27"/>
  <c r="O28" i="27"/>
  <c r="O26" i="27"/>
  <c r="O24" i="27"/>
  <c r="O20" i="27"/>
  <c r="O18" i="27"/>
  <c r="O16" i="27"/>
  <c r="S38" i="27"/>
  <c r="S36" i="27"/>
  <c r="S34" i="27"/>
  <c r="S32" i="27"/>
  <c r="S30" i="27"/>
  <c r="S28" i="27"/>
  <c r="S26" i="27"/>
  <c r="S20" i="27"/>
  <c r="S18" i="27"/>
  <c r="S16" i="27"/>
  <c r="W38" i="27"/>
  <c r="W36" i="27"/>
  <c r="W34" i="27"/>
  <c r="W32" i="27"/>
  <c r="W30" i="27"/>
  <c r="W28" i="27"/>
  <c r="W26" i="27"/>
  <c r="W24" i="27"/>
  <c r="W18" i="27"/>
  <c r="W16" i="27"/>
  <c r="AA38" i="27"/>
  <c r="AA36" i="27"/>
  <c r="AA34" i="27"/>
  <c r="AA32" i="27"/>
  <c r="AA30" i="27"/>
  <c r="AA28" i="27"/>
  <c r="AA26" i="27"/>
  <c r="AA24" i="27"/>
  <c r="AA18" i="27"/>
  <c r="AA16" i="27"/>
  <c r="AE38" i="27"/>
  <c r="AE36" i="27"/>
  <c r="AE34" i="27"/>
  <c r="AE32" i="27"/>
  <c r="AE30" i="27"/>
  <c r="AE28" i="27"/>
  <c r="AE26" i="27"/>
  <c r="AE24" i="27"/>
  <c r="AE18" i="27"/>
  <c r="AE16" i="27"/>
  <c r="G45" i="19"/>
  <c r="G47" i="19"/>
  <c r="G49" i="19"/>
  <c r="G51" i="19"/>
  <c r="C13" i="19"/>
  <c r="C11" i="19"/>
  <c r="C9" i="19"/>
  <c r="C7" i="19"/>
  <c r="BB2" i="29" l="1"/>
  <c r="B2" i="24"/>
  <c r="B2" i="28"/>
  <c r="L2" i="28"/>
  <c r="V2" i="27"/>
  <c r="B2" i="27"/>
  <c r="L2" i="27"/>
  <c r="V2" i="26"/>
  <c r="AF2" i="26"/>
  <c r="B2" i="26"/>
  <c r="L2" i="26"/>
  <c r="B2" i="25"/>
  <c r="V2" i="23"/>
  <c r="AF2" i="23"/>
  <c r="B2" i="23"/>
  <c r="L2" i="23"/>
  <c r="V2" i="22"/>
  <c r="AF2" i="22"/>
  <c r="B2" i="22"/>
  <c r="L2" i="22"/>
  <c r="AP2" i="18"/>
  <c r="V2" i="18"/>
  <c r="AF2" i="18"/>
  <c r="B2" i="18"/>
  <c r="L2" i="18"/>
  <c r="BB2" i="20"/>
  <c r="BL2" i="20"/>
  <c r="AH2" i="20"/>
  <c r="AR2" i="20"/>
  <c r="B2" i="20"/>
  <c r="L2" i="20"/>
  <c r="B2" i="19"/>
  <c r="L2" i="19"/>
  <c r="B2" i="17"/>
  <c r="L2" i="17"/>
  <c r="D9" i="4" a="1"/>
  <c r="D9" i="4" s="1"/>
  <c r="D10" i="4" l="1" a="1"/>
  <c r="D10" i="4" s="1"/>
  <c r="D11" i="4" s="1" a="1"/>
  <c r="D11" i="4" s="1"/>
  <c r="D12" i="4" s="1" a="1"/>
  <c r="D12" i="4" s="1"/>
  <c r="D13" i="4" l="1" a="1"/>
  <c r="D13" i="4" s="1"/>
  <c r="H2" i="29"/>
  <c r="BD2" i="29" l="1"/>
  <c r="D2" i="24"/>
  <c r="D2" i="28"/>
  <c r="N2" i="28"/>
  <c r="X2" i="27"/>
  <c r="D2" i="27"/>
  <c r="N2" i="27"/>
  <c r="X2" i="26"/>
  <c r="AH2" i="26"/>
  <c r="D2" i="26"/>
  <c r="N2" i="26"/>
  <c r="D2" i="25"/>
  <c r="X2" i="23"/>
  <c r="AH2" i="23"/>
  <c r="D2" i="23"/>
  <c r="N2" i="23"/>
  <c r="X2" i="22"/>
  <c r="AH2" i="22"/>
  <c r="D2" i="22"/>
  <c r="N2" i="22"/>
  <c r="AR2" i="18"/>
  <c r="X2" i="18"/>
  <c r="AH2" i="18"/>
  <c r="D2" i="18"/>
  <c r="N2" i="18"/>
  <c r="BD2" i="20"/>
  <c r="BN2" i="20"/>
  <c r="AJ2" i="20"/>
  <c r="AT2" i="20"/>
  <c r="D2" i="20"/>
  <c r="N2" i="20"/>
  <c r="D2" i="19"/>
  <c r="N2" i="19"/>
  <c r="D2" i="17"/>
  <c r="N2" i="17"/>
  <c r="D14" i="4" a="1"/>
  <c r="D14" i="4" s="1"/>
  <c r="D15" i="4" s="1" a="1"/>
  <c r="D15" i="4" s="1"/>
  <c r="D16" i="4" s="1" a="1"/>
  <c r="D16" i="4" s="1"/>
  <c r="D17" i="4" s="1" a="1"/>
  <c r="D17" i="4" s="1"/>
  <c r="D18" i="4" s="1" a="1"/>
  <c r="D18" i="4" s="1"/>
  <c r="D19" i="4" s="1" a="1"/>
  <c r="D19" i="4" s="1"/>
  <c r="D20" i="4" s="1" a="1"/>
  <c r="D20" i="4" s="1"/>
  <c r="D21" i="4" s="1" a="1"/>
  <c r="D21" i="4" s="1"/>
  <c r="D22" i="4" s="1" a="1"/>
  <c r="D22" i="4" s="1"/>
  <c r="D23" i="4" s="1" a="1"/>
  <c r="D23" i="4" s="1"/>
  <c r="D24" i="4" s="1" a="1"/>
  <c r="D24" i="4" s="1"/>
  <c r="D25" i="4" s="1" a="1"/>
  <c r="D25" i="4" s="1"/>
  <c r="D26" i="4" s="1" a="1"/>
  <c r="D26" i="4" s="1"/>
  <c r="D27" i="4" s="1" a="1"/>
  <c r="D27" i="4" s="1"/>
  <c r="D28" i="4" s="1" a="1"/>
  <c r="D28" i="4" s="1"/>
  <c r="D29" i="4" s="1" a="1"/>
  <c r="D29" i="4" s="1"/>
  <c r="D30" i="4" s="1" a="1"/>
  <c r="D30" i="4" s="1"/>
  <c r="D31" i="4" s="1" a="1"/>
  <c r="D31" i="4" s="1"/>
  <c r="D32" i="4" s="1" a="1"/>
  <c r="D32" i="4" s="1"/>
  <c r="D33" i="4" s="1" a="1"/>
  <c r="D33" i="4" s="1"/>
  <c r="D34" i="4" s="1" a="1"/>
  <c r="D34" i="4" s="1"/>
  <c r="D35" i="4" s="1" a="1"/>
  <c r="D35" i="4" s="1"/>
  <c r="H3" i="29"/>
  <c r="BF2" i="29" l="1"/>
  <c r="F2" i="24"/>
  <c r="F2" i="28"/>
  <c r="P2" i="28"/>
  <c r="Z2" i="27"/>
  <c r="F2" i="27"/>
  <c r="P2" i="27"/>
  <c r="Z2" i="26"/>
  <c r="AJ2" i="26"/>
  <c r="F2" i="26"/>
  <c r="P2" i="26"/>
  <c r="F2" i="25"/>
  <c r="Z2" i="23"/>
  <c r="AJ2" i="23"/>
  <c r="F2" i="23"/>
  <c r="P2" i="23"/>
  <c r="Z2" i="22"/>
  <c r="AJ2" i="22"/>
  <c r="F2" i="22"/>
  <c r="P2" i="22"/>
  <c r="AT2" i="18"/>
  <c r="Z2" i="18"/>
  <c r="AJ2" i="18"/>
  <c r="F2" i="18"/>
  <c r="P2" i="18"/>
  <c r="BF2" i="20"/>
  <c r="BP2" i="20"/>
  <c r="AL2" i="20"/>
  <c r="AV2" i="20"/>
  <c r="F2" i="20"/>
  <c r="P2" i="20"/>
  <c r="F2" i="19"/>
  <c r="P2" i="19"/>
  <c r="F2" i="17"/>
  <c r="P2" i="17"/>
  <c r="H4" i="29"/>
  <c r="BH2" i="29" l="1"/>
  <c r="H2" i="24"/>
  <c r="H2" i="28"/>
  <c r="R2" i="28"/>
  <c r="AB2" i="27"/>
  <c r="H2" i="27"/>
  <c r="R2" i="27"/>
  <c r="AB2" i="26"/>
  <c r="AL2" i="26"/>
  <c r="H2" i="26"/>
  <c r="R2" i="26"/>
  <c r="H2" i="25"/>
  <c r="AB2" i="23"/>
  <c r="AL2" i="23"/>
  <c r="H2" i="23"/>
  <c r="R2" i="23"/>
  <c r="AB2" i="22"/>
  <c r="AL2" i="22"/>
  <c r="H2" i="22"/>
  <c r="R2" i="22"/>
  <c r="AV2" i="18"/>
  <c r="AB2" i="18"/>
  <c r="AL2" i="18"/>
  <c r="H2" i="18"/>
  <c r="R2" i="18"/>
  <c r="BH2" i="20"/>
  <c r="BR2" i="20"/>
  <c r="AN2" i="20"/>
  <c r="AX2" i="20"/>
  <c r="H2" i="20"/>
  <c r="R2" i="20"/>
  <c r="H2" i="19"/>
  <c r="R2" i="19"/>
  <c r="H2" i="17"/>
  <c r="R2" i="17"/>
  <c r="H5" i="29"/>
  <c r="BJ2" i="29" l="1"/>
  <c r="J2" i="24"/>
  <c r="J2" i="28"/>
  <c r="T2" i="28"/>
  <c r="AD2" i="27"/>
  <c r="J2" i="27"/>
  <c r="T2" i="27"/>
  <c r="AD2" i="26"/>
  <c r="AN2" i="26"/>
  <c r="J2" i="26"/>
  <c r="T2" i="26"/>
  <c r="J2" i="25"/>
  <c r="AD2" i="23"/>
  <c r="AN2" i="23"/>
  <c r="J2" i="23"/>
  <c r="T2" i="23"/>
  <c r="AD2" i="22"/>
  <c r="AN2" i="22"/>
  <c r="J2" i="22"/>
  <c r="T2" i="22"/>
  <c r="AX2" i="18"/>
  <c r="AD2" i="18"/>
  <c r="AN2" i="18"/>
  <c r="J2" i="18"/>
  <c r="T2" i="18"/>
  <c r="BJ2" i="20"/>
  <c r="BT2" i="20"/>
  <c r="AP2" i="20"/>
  <c r="AZ2" i="20"/>
  <c r="J2" i="20"/>
  <c r="T2" i="20"/>
  <c r="J2" i="19"/>
  <c r="T2" i="19"/>
  <c r="J2" i="17"/>
  <c r="T2" i="17"/>
</calcChain>
</file>

<file path=xl/sharedStrings.xml><?xml version="1.0" encoding="utf-8"?>
<sst xmlns="http://schemas.openxmlformats.org/spreadsheetml/2006/main" count="1762" uniqueCount="234">
  <si>
    <t>First and Last Name</t>
  </si>
  <si>
    <t>Month</t>
  </si>
  <si>
    <t>Year</t>
  </si>
  <si>
    <t>CA/TX</t>
  </si>
  <si>
    <t>d</t>
  </si>
  <si>
    <t>da</t>
  </si>
  <si>
    <t>dda</t>
  </si>
  <si>
    <t>weekday</t>
  </si>
  <si>
    <t>maxday</t>
  </si>
  <si>
    <t>Folder Location</t>
  </si>
  <si>
    <t>FileName</t>
  </si>
  <si>
    <t>TaxiService</t>
  </si>
  <si>
    <t>FinalFolder</t>
  </si>
  <si>
    <t>AddFileName</t>
  </si>
  <si>
    <t xml:space="preserve">Alexander Druzenko </t>
  </si>
  <si>
    <t>CA</t>
  </si>
  <si>
    <t>E:\Dropbox (BEST)\002 data base\0300 Data base - Bureaucracy\Odessa Branch\310\310_Alexander Druzenko</t>
  </si>
  <si>
    <t>Andriy Novokhatkin</t>
  </si>
  <si>
    <t>E:\Dropbox (BEST)\002 data base\0300 Data base - Bureaucracy\Odessa Branch\310\310_Andrew Novokhatkin</t>
  </si>
  <si>
    <t>Anna Fedorova</t>
  </si>
  <si>
    <t>E:\Dropbox (BEST)\002 data base\0300 Data base - Bureaucracy\Odessa Branch\310\310_Anna Fedorova</t>
  </si>
  <si>
    <t>Demi Valantsevich</t>
  </si>
  <si>
    <t xml:space="preserve">Dmitri Murtazin </t>
  </si>
  <si>
    <t>E:\Dropbox (BEST)\002 data base\0300 Data base - Bureaucracy\Odessa Branch\310\310_Galyna_Greniukh</t>
  </si>
  <si>
    <t>Jessie Andriushenko</t>
  </si>
  <si>
    <t>E:\Dropbox (BEST)\002 data base\0300 Data base - Bureaucracy\Odessa Branch\310\310_Jessie_Andriushenko</t>
  </si>
  <si>
    <t>Natali Lebid</t>
  </si>
  <si>
    <t>E:\Dropbox (BEST)\002 data base\0300 Data base - Bureaucracy\Odessa Branch\310\310_Nataliia Lebid</t>
  </si>
  <si>
    <t>Olga Panayotova</t>
  </si>
  <si>
    <t>E:\Dropbox (BEST)\002 data base\0300 Data base - Bureaucracy\Odessa Branch\310\310_Olga Panayotova</t>
  </si>
  <si>
    <t>Andrii Kulbaba</t>
  </si>
  <si>
    <t>TX</t>
  </si>
  <si>
    <t>Julia Melikhova</t>
  </si>
  <si>
    <t>Angela Gorcea</t>
  </si>
  <si>
    <t>E:\Dropbox (BEST)\002 data base\0300 Data base - Bureaucracy\Moldova Branch\002 md database\0300 md_data base_bureacracy\310\310_angela gorcea</t>
  </si>
  <si>
    <t>Ecaterina Gurenco</t>
  </si>
  <si>
    <t>E:\Dropbox (BEST)\002 data base\0300 Data base - Bureaucracy\Moldova Branch\002 md database\0300 md_data base_bureacracy\310\310_ecaterina gurenco</t>
  </si>
  <si>
    <t>Irina Caldare</t>
  </si>
  <si>
    <t>E:\Dropbox (BEST)\002 data base\0300 Data base - Bureaucracy\Moldova Branch\002 md database\0300 md_data base_bureacracy\310\310_irina caldare</t>
  </si>
  <si>
    <t>Natalia Protiuc</t>
  </si>
  <si>
    <t>E:\Dropbox (BEST)\002 data base\0300 Data base - Bureaucracy\Moldova Branch\002 md database\0300 md_data base_bureacracy\310\310_natalia protiuc</t>
  </si>
  <si>
    <t>Natalia Slobozeanu</t>
  </si>
  <si>
    <t>E:\Dropbox (BEST)\002 data base\0300 Data base - Bureaucracy\Moldova Branch\002 md database\0300 md_data base_bureacracy\310\310_natalia slobozeanu</t>
  </si>
  <si>
    <t>Oxana Radzievici</t>
  </si>
  <si>
    <t>E:\Dropbox (BEST)\002 data base\0300 Data base - Bureaucracy\Moldova Branch\002 md database\0300 md_data base_bureacracy\310\310_Oxana Radzievici</t>
  </si>
  <si>
    <t>Petru Zatic</t>
  </si>
  <si>
    <t>E:\Dropbox (BEST)\002 data base\0300 Data base - Bureaucracy\Moldova Branch\002 md database\0300 md_data base_bureacracy\310\310_Petru Zatic</t>
  </si>
  <si>
    <t>Artiom Gheneralov</t>
  </si>
  <si>
    <t>Olga Tiju</t>
  </si>
  <si>
    <t>Sergiu Racu</t>
  </si>
  <si>
    <t>Walter Aldana</t>
  </si>
  <si>
    <t>E:\Dropbox (BEST)\002 data base\0300 Data base - Bureaucracy\310\310-Walter Aldana</t>
  </si>
  <si>
    <t>Ron Maldonado</t>
  </si>
  <si>
    <t>Sonia Arias</t>
  </si>
  <si>
    <t>E:\Dropbox (BEST)\002 data base\0300 Data base - Bureaucracy\310\310-Sonia Arias</t>
  </si>
  <si>
    <t>Jaleen Dunston</t>
  </si>
  <si>
    <t>Rita Zelaya</t>
  </si>
  <si>
    <t>E:\Dropbox (BEST)\002 data base\0300 Data base - Bureaucracy\310\310-Rita Zelaya</t>
  </si>
  <si>
    <t>Victor Boleac</t>
  </si>
  <si>
    <t>E:\Dropbox (BEST)\002 data base\0300 Data base - Bureaucracy\Moldova Branch\002 md database\0300 md_data base_bureacracy\310\310_Victor Boleac</t>
  </si>
  <si>
    <t>Nancy Loziienko</t>
  </si>
  <si>
    <t>E:\Dropbox (BEST)\002 data base\0300 Data base - Bureaucracy\Odessa Branch\310\310_Nancy Loziienko</t>
  </si>
  <si>
    <t>1. 3000 System</t>
  </si>
  <si>
    <t>2. 310</t>
  </si>
  <si>
    <t>3. Billing</t>
  </si>
  <si>
    <t>4. Clinical Data Entry</t>
  </si>
  <si>
    <t>5. Clinical Projects</t>
  </si>
  <si>
    <t>6. Clinical Reports</t>
  </si>
  <si>
    <t>7. Clock In (319 open office)</t>
  </si>
  <si>
    <t>8. Collection HI</t>
  </si>
  <si>
    <t>Added</t>
  </si>
  <si>
    <t>17 - 319/Task</t>
  </si>
  <si>
    <t>22. Reports</t>
  </si>
  <si>
    <t>23. Research</t>
  </si>
  <si>
    <t>24. Scanning</t>
  </si>
  <si>
    <t>24.1. Filing</t>
  </si>
  <si>
    <t>25. Scheduling</t>
  </si>
  <si>
    <t>26. Software</t>
  </si>
  <si>
    <t>27. Technical maintenance</t>
  </si>
  <si>
    <t>28. Technical support</t>
  </si>
  <si>
    <t>29. Training</t>
  </si>
  <si>
    <t>1 - Clock in</t>
  </si>
  <si>
    <t>2 - Mails/Emails</t>
  </si>
  <si>
    <t xml:space="preserve">3 - Work Orders </t>
  </si>
  <si>
    <t xml:space="preserve">4 - Paylease/Rentroll </t>
  </si>
  <si>
    <t xml:space="preserve">5 - Phone calls/voicemails </t>
  </si>
  <si>
    <t>6 - MLS</t>
  </si>
  <si>
    <t>7 - Meetings</t>
  </si>
  <si>
    <t>8 - Training</t>
  </si>
  <si>
    <t>9 - Applications</t>
  </si>
  <si>
    <t>10 - Accounting</t>
  </si>
  <si>
    <t>10.1 - Bookkeeping</t>
  </si>
  <si>
    <t>10.2 - Billing/Invoicing</t>
  </si>
  <si>
    <t>10.3 - Paying bills</t>
  </si>
  <si>
    <t>10.4 - Bank Reconciliation</t>
  </si>
  <si>
    <t>10.5 - Account Reconciliation</t>
  </si>
  <si>
    <t>10.6 - Financial Statement preparation</t>
  </si>
  <si>
    <t>10.7 - Month-end closing</t>
  </si>
  <si>
    <t>10.8 - Auditing of books</t>
  </si>
  <si>
    <t>10.9 - Depreciation Schedule</t>
  </si>
  <si>
    <t xml:space="preserve">11 - Lease extensions/ New Lease </t>
  </si>
  <si>
    <t xml:space="preserve">12 - Showing Properties </t>
  </si>
  <si>
    <t xml:space="preserve">13 - Walk through/ Inspections </t>
  </si>
  <si>
    <t>14 - HOA, Taxes, Insurances</t>
  </si>
  <si>
    <t>15 - Reports</t>
  </si>
  <si>
    <t>16 - Auction - Excel list</t>
  </si>
  <si>
    <t>16.1 - Auction - Realist Report</t>
  </si>
  <si>
    <t>16.2 - Auction - Tax Report</t>
  </si>
  <si>
    <t>16.3 - Auction - Sales CMA</t>
  </si>
  <si>
    <t>16.4 - Auction - Rental CMA</t>
  </si>
  <si>
    <t>16.5 - Auction - Deed</t>
  </si>
  <si>
    <t>16.6 - Auction - checking www.har.com</t>
  </si>
  <si>
    <t>16.7 - Auction - google property</t>
  </si>
  <si>
    <t>NoData</t>
  </si>
  <si>
    <t>AltFileName by Date</t>
  </si>
  <si>
    <t>E:\Dropbox (BEST)\016 MD_TX_CA</t>
  </si>
  <si>
    <t>Bookkeepers</t>
  </si>
  <si>
    <t>Dispatchers</t>
  </si>
  <si>
    <t>Researchers</t>
  </si>
  <si>
    <t>Schedulers</t>
  </si>
  <si>
    <t>Billing</t>
  </si>
  <si>
    <t>Operational</t>
  </si>
  <si>
    <t>Insurance</t>
  </si>
  <si>
    <t>HR-Marketing</t>
  </si>
  <si>
    <t>Frontdesk</t>
  </si>
  <si>
    <t>Max Tanskiy</t>
  </si>
  <si>
    <t>December</t>
  </si>
  <si>
    <t>E:\Dropbox (BEST)\002 data base\0300 Data base - Bureaucracy\Odessa Branch\310\310_Max Tanskyi</t>
  </si>
  <si>
    <t>Helen Greniukh</t>
  </si>
  <si>
    <t>Mike Gheneralov</t>
  </si>
  <si>
    <t>Gerson Barrera</t>
  </si>
  <si>
    <t>9.1. Mails/Emails</t>
  </si>
  <si>
    <t>9.2. Phone Calls/Viber</t>
  </si>
  <si>
    <t>10. Contact Regional Center</t>
  </si>
  <si>
    <t>11. HR Frontdesk</t>
  </si>
  <si>
    <t>12. HR ODS &amp; MD</t>
  </si>
  <si>
    <t>13. HR California</t>
  </si>
  <si>
    <t>14. Insurance</t>
  </si>
  <si>
    <t>15. Inventory maintenance</t>
  </si>
  <si>
    <t>16. Management</t>
  </si>
  <si>
    <t>17. Marketing</t>
  </si>
  <si>
    <t>18. Meeting</t>
  </si>
  <si>
    <t>19. Odessa office</t>
  </si>
  <si>
    <t>20. Payroll</t>
  </si>
  <si>
    <t>21. Purchase technology</t>
  </si>
  <si>
    <t>22. Recruitment</t>
  </si>
  <si>
    <t>22.1. Recruitment MD/ODS</t>
  </si>
  <si>
    <t>Subject</t>
  </si>
  <si>
    <t>10.7.1 Month-end closing - July</t>
  </si>
  <si>
    <t>10.7.2 Month-end closing - August</t>
  </si>
  <si>
    <t>10.7.3 Month-end closing - September</t>
  </si>
  <si>
    <t>10.7.4 Month-end closing - October</t>
  </si>
  <si>
    <t>10.7.5 Month-end closing - November</t>
  </si>
  <si>
    <t>10.7.6 Month-end closing - December</t>
  </si>
  <si>
    <t>10.10 Accounting Documentation</t>
  </si>
  <si>
    <t>10.11 Payroll</t>
  </si>
  <si>
    <t>10.12 Audit binder preparation</t>
  </si>
  <si>
    <t>10.13 Firm administration</t>
  </si>
  <si>
    <t>10.14 Clerical work</t>
  </si>
  <si>
    <t>18 - Research</t>
  </si>
  <si>
    <t>19. Technical maintenance</t>
  </si>
  <si>
    <t>20. Technical support</t>
  </si>
  <si>
    <t>21. HR</t>
  </si>
  <si>
    <t>22. - Break</t>
  </si>
  <si>
    <t>23. - Clock-out</t>
  </si>
  <si>
    <t>1-5</t>
  </si>
  <si>
    <t>6-12</t>
  </si>
  <si>
    <t>13-19</t>
  </si>
  <si>
    <t>20-26</t>
  </si>
  <si>
    <t>absolut</t>
  </si>
  <si>
    <t>%</t>
  </si>
  <si>
    <t>27-30-31</t>
  </si>
  <si>
    <t>IT</t>
  </si>
  <si>
    <t>TX_Management</t>
  </si>
  <si>
    <t>Alexander Druzenko</t>
  </si>
  <si>
    <t>Dmitri Murtazin</t>
  </si>
  <si>
    <t>E:\Dropbox (BEST)\002 data base\0300 Data base - Bureaucracy\Odessa Branch\310\310_Dmitri I_Murtazin\2018</t>
  </si>
  <si>
    <t>E:\Dropbox (BEST)\002 data base\0300 Data base - Bureaucracy\310\310- jaleen dunston\2018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</si>
  <si>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</si>
  <si>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</si>
  <si>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</si>
  <si>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</si>
  <si>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</si>
  <si>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</si>
  <si>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</si>
  <si>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</si>
  <si>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</si>
  <si>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</si>
  <si>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</si>
  <si>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E:\Dropbox (BEST)\002 data base\0300 Data base - Bureaucracy\Odessa Branch\310\310_Anna Andreeva</t>
  </si>
  <si>
    <t>Anna Andreeva</t>
  </si>
  <si>
    <t>11.1. Mentoring</t>
  </si>
  <si>
    <t>20.1. DS Forms</t>
  </si>
  <si>
    <t>Nothing to report!</t>
  </si>
  <si>
    <t>E:\Dropbox (BEST)\002 data base\0300 Data base - Bureaucracy\Odessa Branch\310\310_Dmitriy _Demi_ Valantsevich\Feb_2018</t>
  </si>
  <si>
    <t>310 - Alexander Druzenko  - Feb_2018.xlsx</t>
  </si>
  <si>
    <t>310 - Andriy Novokhatkin - Feb_2018 (Andrea BEST's conflicted copy 2018-02-01).xlsx</t>
  </si>
  <si>
    <t>310 - Anna Fedorova - Feb_2018.xlsx</t>
  </si>
  <si>
    <t>310 - Demi Valantsevich - Feb_2018.xlsx</t>
  </si>
  <si>
    <t>310 - Dmitri Murtazin  - Feb_2018.xlsx</t>
  </si>
  <si>
    <t>310 - Helen Greniukh - Feb_2018.xlsx</t>
  </si>
  <si>
    <t>310 - Jessie Andriushenko - Feb_2018.xlsx</t>
  </si>
  <si>
    <t>310 - Natali Lebid - Feb_2018.xlsx</t>
  </si>
  <si>
    <t>310 - Olga Panayotova - Feb_2018.xlsx</t>
  </si>
  <si>
    <t>310 - Andrii Kulbaba - Feb_2018.xlsx</t>
  </si>
  <si>
    <t>310 - Angela Gorcea - Feb_2018.xlsx</t>
  </si>
  <si>
    <t>310 - Ecaterina Gurenco - Feb_2018.xlsx</t>
  </si>
  <si>
    <t>310 - Irina Caldare - Feb_2018.xlsx</t>
  </si>
  <si>
    <t>310 - Natalia Protiuc - Feb_2018.xlsx</t>
  </si>
  <si>
    <t>310 - Natalia Slobozeanu - Feb_2018.xlsx</t>
  </si>
  <si>
    <t>310 - Oxana Radzievici - Feb_2018.xlsx</t>
  </si>
  <si>
    <t>310 - Petru Zatic - Feb_2018.xlsx</t>
  </si>
  <si>
    <t>310 - Mike Gheneralov - Feb_2018.xlsx</t>
  </si>
  <si>
    <t>310 - Olga Tiju - Feb_2018.xlsx</t>
  </si>
  <si>
    <t>310 - Sergiu Racu - Feb_2018.xlsx</t>
  </si>
  <si>
    <t>310 - Walter Aldana - Feb_2018.xlsx</t>
  </si>
  <si>
    <t>310 - Sonia Arias - Feb_2018.xlsx</t>
  </si>
  <si>
    <t>310 - Jaleen Dunston - Feb_2018.xlsx</t>
  </si>
  <si>
    <t>310 - Rita Zelaya - Feb_2018.xlsx</t>
  </si>
  <si>
    <t>310 - Victor Boleac - Feb_2018.xlsx</t>
  </si>
  <si>
    <t>310 - Nancy Loziienko - Feb_2018.xlsx</t>
  </si>
  <si>
    <t>310 - Max Tanskiy - Feb_2018.xlsx</t>
  </si>
  <si>
    <t>310 - Anna Andreeva - Feb_2018.xlsx</t>
  </si>
  <si>
    <t>1.1. 3000 Reports</t>
  </si>
  <si>
    <t>1.2. 3000 Authorization</t>
  </si>
  <si>
    <t>1.3. 3000 Assessment</t>
  </si>
  <si>
    <t>1.4. 3000 Services</t>
  </si>
  <si>
    <t>30. HIPAA</t>
  </si>
  <si>
    <t>19. Management</t>
  </si>
  <si>
    <t>20. Technical maintenance</t>
  </si>
  <si>
    <t>21. Technical support</t>
  </si>
  <si>
    <t>22. HR</t>
  </si>
  <si>
    <t>23. - Break</t>
  </si>
  <si>
    <t>24. - Clock-out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</si>
</sst>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7" formatCode="0%;@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0"/>
      <name val="Arial Narrow"/>
      <family val="2"/>
      <charset val="204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indexed="1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99">
    <xf numFmtId="0" fontId="0" fillId="0" borderId="0" xfId="0"/>
    <xf numFmtId="0" fontId="0" fillId="0" borderId="1" xfId="0" applyFont="1" applyBorder="1" applyAlignment="1">
      <alignment horizontal="left" vertical="top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3" xfId="0" applyBorder="1" applyAlignment="1">
      <alignment horizontal="left" vertical="top"/>
    </xf>
    <xf numFmtId="0" fontId="1" fillId="0" borderId="5" xfId="0" applyFont="1" applyBorder="1"/>
    <xf numFmtId="0" fontId="0" fillId="0" borderId="3" xfId="0" applyFont="1" applyBorder="1" applyAlignment="1">
      <alignment horizontal="left" vertical="top"/>
    </xf>
    <xf numFmtId="0" fontId="1" fillId="0" borderId="5" xfId="0" applyNumberFormat="1" applyFont="1" applyBorder="1"/>
    <xf numFmtId="0" fontId="1" fillId="0" borderId="2" xfId="0" applyNumberFormat="1" applyFont="1" applyBorder="1"/>
    <xf numFmtId="0" fontId="0" fillId="0" borderId="5" xfId="0" applyFont="1" applyBorder="1" applyAlignment="1">
      <alignment horizontal="left" vertical="center" wrapText="1"/>
    </xf>
    <xf numFmtId="0" fontId="0" fillId="0" borderId="3" xfId="0" applyFont="1" applyFill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2" fillId="0" borderId="3" xfId="0" applyFont="1" applyFill="1" applyBorder="1" applyAlignment="1"/>
    <xf numFmtId="0" fontId="0" fillId="0" borderId="0" xfId="0" applyBorder="1"/>
    <xf numFmtId="164" fontId="0" fillId="0" borderId="0" xfId="0" applyNumberFormat="1"/>
    <xf numFmtId="0" fontId="0" fillId="2" borderId="1" xfId="0" applyFont="1" applyFill="1" applyBorder="1" applyAlignment="1">
      <alignment horizontal="left" vertical="top"/>
    </xf>
    <xf numFmtId="0" fontId="0" fillId="0" borderId="8" xfId="0" applyFont="1" applyBorder="1" applyAlignment="1">
      <alignment horizontal="left" vertical="top"/>
    </xf>
    <xf numFmtId="0" fontId="0" fillId="2" borderId="8" xfId="0" applyFont="1" applyFill="1" applyBorder="1" applyAlignment="1">
      <alignment horizontal="left" vertical="top"/>
    </xf>
    <xf numFmtId="0" fontId="0" fillId="0" borderId="9" xfId="0" applyFont="1" applyBorder="1" applyAlignment="1">
      <alignment horizontal="left" vertical="top"/>
    </xf>
    <xf numFmtId="0" fontId="0" fillId="2" borderId="9" xfId="0" applyFont="1" applyFill="1" applyBorder="1" applyAlignment="1">
      <alignment horizontal="left" vertical="top"/>
    </xf>
    <xf numFmtId="0" fontId="2" fillId="2" borderId="8" xfId="0" applyFont="1" applyFill="1" applyBorder="1" applyAlignment="1"/>
    <xf numFmtId="0" fontId="0" fillId="2" borderId="7" xfId="0" applyFont="1" applyFill="1" applyBorder="1"/>
    <xf numFmtId="0" fontId="0" fillId="0" borderId="7" xfId="0" applyFont="1" applyBorder="1"/>
    <xf numFmtId="0" fontId="0" fillId="0" borderId="0" xfId="0"/>
    <xf numFmtId="0" fontId="6" fillId="0" borderId="10" xfId="0" applyFont="1" applyBorder="1" applyAlignment="1">
      <alignment horizontal="left" vertical="center" wrapText="1" indent="1"/>
    </xf>
    <xf numFmtId="0" fontId="6" fillId="0" borderId="11" xfId="0" applyFont="1" applyBorder="1" applyAlignment="1">
      <alignment horizontal="left" vertical="center" wrapText="1" indent="1"/>
    </xf>
    <xf numFmtId="0" fontId="6" fillId="0" borderId="11" xfId="0" applyFont="1" applyFill="1" applyBorder="1" applyAlignment="1">
      <alignment horizontal="left" vertical="center" wrapText="1" indent="1"/>
    </xf>
    <xf numFmtId="0" fontId="6" fillId="0" borderId="12" xfId="0" applyFont="1" applyFill="1" applyBorder="1" applyAlignment="1">
      <alignment horizontal="left" vertical="center" wrapText="1" indent="1"/>
    </xf>
    <xf numFmtId="0" fontId="7" fillId="0" borderId="1" xfId="0" applyFont="1" applyBorder="1"/>
    <xf numFmtId="0" fontId="8" fillId="3" borderId="1" xfId="0" applyFont="1" applyFill="1" applyBorder="1" applyAlignment="1">
      <alignment horizontal="left" vertical="center" wrapText="1"/>
    </xf>
    <xf numFmtId="0" fontId="8" fillId="0" borderId="1" xfId="0" applyFont="1" applyBorder="1"/>
    <xf numFmtId="0" fontId="7" fillId="0" borderId="1" xfId="0" applyFont="1" applyFill="1" applyBorder="1"/>
    <xf numFmtId="0" fontId="7" fillId="0" borderId="13" xfId="0" applyFont="1" applyBorder="1"/>
    <xf numFmtId="0" fontId="6" fillId="0" borderId="11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0" fontId="0" fillId="0" borderId="1" xfId="0" applyBorder="1"/>
    <xf numFmtId="0" fontId="0" fillId="0" borderId="0" xfId="0"/>
    <xf numFmtId="0" fontId="0" fillId="0" borderId="0" xfId="0"/>
    <xf numFmtId="0" fontId="0" fillId="2" borderId="1" xfId="0" applyFont="1" applyFill="1" applyBorder="1" applyAlignment="1">
      <alignment horizontal="left" vertical="center"/>
    </xf>
    <xf numFmtId="16" fontId="5" fillId="4" borderId="18" xfId="0" applyNumberFormat="1" applyFont="1" applyFill="1" applyBorder="1" applyAlignment="1">
      <alignment horizontal="center"/>
    </xf>
    <xf numFmtId="16" fontId="5" fillId="4" borderId="19" xfId="0" applyNumberFormat="1" applyFont="1" applyFill="1" applyBorder="1" applyAlignment="1">
      <alignment horizontal="center"/>
    </xf>
    <xf numFmtId="16" fontId="5" fillId="4" borderId="20" xfId="0" applyNumberFormat="1" applyFont="1" applyFill="1" applyBorder="1" applyAlignment="1">
      <alignment horizontal="center"/>
    </xf>
    <xf numFmtId="164" fontId="0" fillId="5" borderId="0" xfId="0" applyNumberFormat="1" applyFill="1"/>
    <xf numFmtId="0" fontId="6" fillId="0" borderId="1" xfId="0" applyFont="1" applyBorder="1" applyAlignment="1">
      <alignment horizontal="left" vertical="center" wrapText="1"/>
    </xf>
    <xf numFmtId="9" fontId="0" fillId="5" borderId="0" xfId="1" applyFont="1" applyFill="1"/>
    <xf numFmtId="164" fontId="0" fillId="0" borderId="26" xfId="0" applyNumberFormat="1" applyBorder="1"/>
    <xf numFmtId="9" fontId="0" fillId="5" borderId="27" xfId="1" applyFont="1" applyFill="1" applyBorder="1"/>
    <xf numFmtId="164" fontId="0" fillId="0" borderId="27" xfId="0" applyNumberFormat="1" applyBorder="1"/>
    <xf numFmtId="9" fontId="0" fillId="5" borderId="28" xfId="1" applyFont="1" applyFill="1" applyBorder="1"/>
    <xf numFmtId="164" fontId="0" fillId="0" borderId="29" xfId="0" applyNumberFormat="1" applyBorder="1"/>
    <xf numFmtId="9" fontId="0" fillId="5" borderId="0" xfId="1" applyFont="1" applyFill="1" applyBorder="1"/>
    <xf numFmtId="164" fontId="0" fillId="0" borderId="0" xfId="0" applyNumberFormat="1" applyBorder="1"/>
    <xf numFmtId="9" fontId="0" fillId="5" borderId="30" xfId="1" applyFont="1" applyFill="1" applyBorder="1"/>
    <xf numFmtId="164" fontId="0" fillId="0" borderId="31" xfId="0" applyNumberFormat="1" applyBorder="1"/>
    <xf numFmtId="9" fontId="0" fillId="5" borderId="32" xfId="1" applyFont="1" applyFill="1" applyBorder="1"/>
    <xf numFmtId="164" fontId="0" fillId="0" borderId="32" xfId="0" applyNumberFormat="1" applyBorder="1"/>
    <xf numFmtId="9" fontId="0" fillId="5" borderId="33" xfId="1" applyFont="1" applyFill="1" applyBorder="1"/>
    <xf numFmtId="1" fontId="0" fillId="0" borderId="0" xfId="0" applyNumberFormat="1"/>
    <xf numFmtId="14" fontId="0" fillId="0" borderId="15" xfId="0" applyNumberFormat="1" applyBorder="1"/>
    <xf numFmtId="14" fontId="0" fillId="0" borderId="16" xfId="0" applyNumberFormat="1" applyBorder="1"/>
    <xf numFmtId="16" fontId="5" fillId="4" borderId="34" xfId="0" applyNumberFormat="1" applyFont="1" applyFill="1" applyBorder="1" applyAlignment="1">
      <alignment horizontal="center"/>
    </xf>
    <xf numFmtId="0" fontId="9" fillId="6" borderId="16" xfId="0" applyFont="1" applyFill="1" applyBorder="1" applyAlignment="1">
      <alignment wrapText="1"/>
    </xf>
    <xf numFmtId="0" fontId="9" fillId="6" borderId="15" xfId="0" applyFont="1" applyFill="1" applyBorder="1" applyAlignment="1"/>
    <xf numFmtId="0" fontId="0" fillId="0" borderId="0" xfId="0"/>
    <xf numFmtId="14" fontId="5" fillId="4" borderId="21" xfId="0" quotePrefix="1" applyNumberFormat="1" applyFont="1" applyFill="1" applyBorder="1" applyAlignment="1">
      <alignment horizontal="center"/>
    </xf>
    <xf numFmtId="0" fontId="5" fillId="4" borderId="17" xfId="0" applyNumberFormat="1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5" fillId="4" borderId="24" xfId="0" applyFont="1" applyFill="1" applyBorder="1" applyAlignment="1">
      <alignment horizontal="center"/>
    </xf>
    <xf numFmtId="0" fontId="5" fillId="4" borderId="25" xfId="0" applyFont="1" applyFill="1" applyBorder="1" applyAlignment="1">
      <alignment horizontal="center"/>
    </xf>
    <xf numFmtId="49" fontId="5" fillId="4" borderId="21" xfId="0" applyNumberFormat="1" applyFont="1" applyFill="1" applyBorder="1" applyAlignment="1">
      <alignment horizontal="center"/>
    </xf>
    <xf numFmtId="49" fontId="5" fillId="4" borderId="17" xfId="0" applyNumberFormat="1" applyFont="1" applyFill="1" applyBorder="1" applyAlignment="1">
      <alignment horizontal="center"/>
    </xf>
    <xf numFmtId="49" fontId="5" fillId="4" borderId="22" xfId="0" applyNumberFormat="1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 wrapText="1"/>
    </xf>
    <xf numFmtId="0" fontId="0" fillId="0" borderId="0" xfId="0"/>
    <xf numFmtId="0" fontId="6" fillId="0" borderId="35" xfId="0" applyFont="1" applyBorder="1" applyAlignment="1">
      <alignment horizontal="left" vertical="center" wrapText="1" indent="1"/>
    </xf>
    <xf numFmtId="0" fontId="7" fillId="0" borderId="14" xfId="0" applyFont="1" applyBorder="1"/>
    <xf numFmtId="164" fontId="0" fillId="7" borderId="0" xfId="0" applyNumberFormat="1" applyFill="1"/>
    <xf numFmtId="167" fontId="0" fillId="7" borderId="27" xfId="0" applyNumberFormat="1" applyFill="1" applyBorder="1"/>
    <xf numFmtId="167" fontId="0" fillId="7" borderId="0" xfId="0" applyNumberFormat="1" applyFill="1" applyBorder="1"/>
    <xf numFmtId="0" fontId="6" fillId="0" borderId="36" xfId="0" applyFont="1" applyBorder="1" applyAlignment="1">
      <alignment horizontal="left" vertical="center" wrapText="1" indent="1"/>
    </xf>
    <xf numFmtId="0" fontId="6" fillId="0" borderId="37" xfId="0" applyFont="1" applyBorder="1" applyAlignment="1">
      <alignment horizontal="left" vertical="center" wrapText="1" indent="1"/>
    </xf>
    <xf numFmtId="0" fontId="6" fillId="0" borderId="38" xfId="0" applyFont="1" applyBorder="1" applyAlignment="1">
      <alignment horizontal="left" vertical="center" wrapText="1" indent="1"/>
    </xf>
    <xf numFmtId="0" fontId="6" fillId="0" borderId="38" xfId="0" applyFont="1" applyFill="1" applyBorder="1" applyAlignment="1">
      <alignment horizontal="left" vertical="center" wrapText="1" indent="1"/>
    </xf>
    <xf numFmtId="0" fontId="6" fillId="0" borderId="39" xfId="0" applyFont="1" applyFill="1" applyBorder="1" applyAlignment="1">
      <alignment horizontal="left" vertical="center" wrapText="1" indent="1"/>
    </xf>
    <xf numFmtId="16" fontId="5" fillId="4" borderId="40" xfId="0" applyNumberFormat="1" applyFont="1" applyFill="1" applyBorder="1" applyAlignment="1">
      <alignment horizontal="center"/>
    </xf>
    <xf numFmtId="16" fontId="5" fillId="4" borderId="6" xfId="0" applyNumberFormat="1" applyFont="1" applyFill="1" applyBorder="1" applyAlignment="1">
      <alignment horizontal="center"/>
    </xf>
    <xf numFmtId="16" fontId="5" fillId="4" borderId="41" xfId="0" applyNumberFormat="1" applyFont="1" applyFill="1" applyBorder="1" applyAlignment="1">
      <alignment horizontal="center"/>
    </xf>
    <xf numFmtId="167" fontId="0" fillId="7" borderId="32" xfId="0" applyNumberFormat="1" applyFill="1" applyBorder="1"/>
    <xf numFmtId="167" fontId="0" fillId="7" borderId="28" xfId="0" applyNumberFormat="1" applyFill="1" applyBorder="1"/>
    <xf numFmtId="167" fontId="0" fillId="7" borderId="30" xfId="0" applyNumberFormat="1" applyFill="1" applyBorder="1"/>
    <xf numFmtId="167" fontId="0" fillId="7" borderId="33" xfId="0" applyNumberFormat="1" applyFill="1" applyBorder="1"/>
    <xf numFmtId="0" fontId="7" fillId="0" borderId="42" xfId="0" applyFont="1" applyBorder="1"/>
    <xf numFmtId="0" fontId="8" fillId="3" borderId="42" xfId="0" applyFont="1" applyFill="1" applyBorder="1" applyAlignment="1">
      <alignment horizontal="left" vertical="center" wrapText="1"/>
    </xf>
    <xf numFmtId="0" fontId="8" fillId="0" borderId="42" xfId="0" applyFont="1" applyBorder="1"/>
    <xf numFmtId="0" fontId="7" fillId="0" borderId="42" xfId="0" applyFont="1" applyFill="1" applyBorder="1"/>
    <xf numFmtId="0" fontId="7" fillId="0" borderId="43" xfId="0" applyFont="1" applyBorder="1"/>
    <xf numFmtId="0" fontId="6" fillId="0" borderId="38" xfId="0" applyFont="1" applyBorder="1" applyAlignment="1">
      <alignment horizontal="left" vertical="center" wrapText="1"/>
    </xf>
    <xf numFmtId="0" fontId="0" fillId="0" borderId="42" xfId="0" applyBorder="1"/>
  </cellXfs>
  <cellStyles count="2">
    <cellStyle name="Normal" xfId="0" builtinId="0"/>
    <cellStyle name="Percent" xfId="1" builtinId="5"/>
  </cellStyles>
  <dxfs count="19"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externalLink" Target="externalLinks/externalLink12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externalLink" Target="externalLinks/externalLink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externalLink" Target="externalLinks/externalLink11.xml"/><Relationship Id="rId30" Type="http://schemas.openxmlformats.org/officeDocument/2006/relationships/externalLink" Target="externalLinks/externalLink14.xml"/><Relationship Id="rId35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TX_Management!$B$2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TX_Management!$C$4:$C$54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AD-45BC-8512-2B95B8A580EE}"/>
            </c:ext>
          </c:extLst>
        </c:ser>
        <c:ser>
          <c:idx val="1"/>
          <c:order val="1"/>
          <c:tx>
            <c:strRef>
              <c:f>TX_Management!$D$2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TX_Management!$E$4:$E$54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AD-45BC-8512-2B95B8A580EE}"/>
            </c:ext>
          </c:extLst>
        </c:ser>
        <c:ser>
          <c:idx val="2"/>
          <c:order val="2"/>
          <c:tx>
            <c:strRef>
              <c:f>TX_Management!$F$2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TX_Management!$G$4:$G$54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AD-45BC-8512-2B95B8A580EE}"/>
            </c:ext>
          </c:extLst>
        </c:ser>
        <c:ser>
          <c:idx val="3"/>
          <c:order val="3"/>
          <c:tx>
            <c:strRef>
              <c:f>TX_Management!$H$2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TX_Management!$I$4:$I$54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AD-45BC-8512-2B95B8A580EE}"/>
            </c:ext>
          </c:extLst>
        </c:ser>
        <c:ser>
          <c:idx val="4"/>
          <c:order val="4"/>
          <c:tx>
            <c:strRef>
              <c:f>TX_Management!$J$2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TX_Management!$A$4:$A$54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TX_Management!$K$4:$K$54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1AD-45BC-8512-2B95B8A58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4367184"/>
        <c:axId val="364367512"/>
      </c:barChart>
      <c:catAx>
        <c:axId val="364367184"/>
        <c:scaling>
          <c:orientation val="minMax"/>
        </c:scaling>
        <c:delete val="0"/>
        <c:axPos val="b"/>
        <c:majorTickMark val="out"/>
        <c:minorTickMark val="none"/>
        <c:tickLblPos val="nextTo"/>
        <c:crossAx val="364367512"/>
        <c:crosses val="autoZero"/>
        <c:auto val="1"/>
        <c:lblAlgn val="ctr"/>
        <c:lblOffset val="100"/>
        <c:tickLblSkip val="1"/>
        <c:noMultiLvlLbl val="0"/>
      </c:catAx>
      <c:valAx>
        <c:axId val="36436751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6436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Bookkeepers!$B$2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Bookkeepers!$C$4:$C$54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B-48CB-A1AE-B505F4CEDDB4}"/>
            </c:ext>
          </c:extLst>
        </c:ser>
        <c:ser>
          <c:idx val="1"/>
          <c:order val="1"/>
          <c:tx>
            <c:strRef>
              <c:f>Bookkeepers!$D$2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Bookkeepers!$E$4:$E$54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B-48CB-A1AE-B505F4CEDDB4}"/>
            </c:ext>
          </c:extLst>
        </c:ser>
        <c:ser>
          <c:idx val="2"/>
          <c:order val="2"/>
          <c:tx>
            <c:strRef>
              <c:f>Bookkeepers!$F$2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Bookkeepers!$G$4:$G$54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1B-48CB-A1AE-B505F4CEDDB4}"/>
            </c:ext>
          </c:extLst>
        </c:ser>
        <c:ser>
          <c:idx val="3"/>
          <c:order val="3"/>
          <c:tx>
            <c:strRef>
              <c:f>Bookkeepers!$H$2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Bookkeepers!$I$4:$I$54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1B-48CB-A1AE-B505F4CEDDB4}"/>
            </c:ext>
          </c:extLst>
        </c:ser>
        <c:ser>
          <c:idx val="4"/>
          <c:order val="4"/>
          <c:tx>
            <c:strRef>
              <c:f>Bookkeepers!$J$2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Bookkeepers!$A$4:$A$54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Bookkeepers!$K$4:$K$54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1B-48CB-A1AE-B505F4CE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147576"/>
        <c:axId val="599144952"/>
      </c:barChart>
      <c:catAx>
        <c:axId val="599147576"/>
        <c:scaling>
          <c:orientation val="minMax"/>
        </c:scaling>
        <c:delete val="0"/>
        <c:axPos val="b"/>
        <c:majorTickMark val="out"/>
        <c:minorTickMark val="none"/>
        <c:tickLblPos val="nextTo"/>
        <c:crossAx val="599144952"/>
        <c:crosses val="autoZero"/>
        <c:auto val="1"/>
        <c:lblAlgn val="ctr"/>
        <c:lblOffset val="100"/>
        <c:tickLblSkip val="1"/>
        <c:noMultiLvlLbl val="0"/>
      </c:catAx>
      <c:valAx>
        <c:axId val="5991449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991475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Dispatchers!$B$2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Dispatchers!$C$4:$C$54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FF-4180-B482-64669AA2FBB7}"/>
            </c:ext>
          </c:extLst>
        </c:ser>
        <c:ser>
          <c:idx val="1"/>
          <c:order val="1"/>
          <c:tx>
            <c:strRef>
              <c:f>Dispatchers!$D$2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Dispatchers!$E$4:$E$54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FF-4180-B482-64669AA2FBB7}"/>
            </c:ext>
          </c:extLst>
        </c:ser>
        <c:ser>
          <c:idx val="2"/>
          <c:order val="2"/>
          <c:tx>
            <c:strRef>
              <c:f>Dispatchers!$F$2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Dispatchers!$G$4:$G$54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FF-4180-B482-64669AA2FBB7}"/>
            </c:ext>
          </c:extLst>
        </c:ser>
        <c:ser>
          <c:idx val="3"/>
          <c:order val="3"/>
          <c:tx>
            <c:strRef>
              <c:f>Dispatchers!$H$2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Dispatchers!$I$4:$I$54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FF-4180-B482-64669AA2FBB7}"/>
            </c:ext>
          </c:extLst>
        </c:ser>
        <c:ser>
          <c:idx val="4"/>
          <c:order val="4"/>
          <c:tx>
            <c:strRef>
              <c:f>Dispatchers!$J$2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Dispatchers!$A$4:$A$54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Dispatchers!$K$4:$K$54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FF-4180-B482-64669AA2F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591584"/>
        <c:axId val="665591256"/>
      </c:barChart>
      <c:catAx>
        <c:axId val="665591584"/>
        <c:scaling>
          <c:orientation val="minMax"/>
        </c:scaling>
        <c:delete val="0"/>
        <c:axPos val="b"/>
        <c:majorTickMark val="out"/>
        <c:minorTickMark val="none"/>
        <c:tickLblPos val="nextTo"/>
        <c:crossAx val="665591256"/>
        <c:crosses val="autoZero"/>
        <c:auto val="1"/>
        <c:lblAlgn val="ctr"/>
        <c:lblOffset val="100"/>
        <c:tickLblSkip val="1"/>
        <c:noMultiLvlLbl val="0"/>
      </c:catAx>
      <c:valAx>
        <c:axId val="6655912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655915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Dispatchers!$L$2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Dispatchers!$M$4:$M$54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3-40E6-A257-26BBCB2C6C87}"/>
            </c:ext>
          </c:extLst>
        </c:ser>
        <c:ser>
          <c:idx val="1"/>
          <c:order val="1"/>
          <c:tx>
            <c:strRef>
              <c:f>Dispatchers!$N$2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Dispatchers!$O$4:$O$54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73-40E6-A257-26BBCB2C6C87}"/>
            </c:ext>
          </c:extLst>
        </c:ser>
        <c:ser>
          <c:idx val="2"/>
          <c:order val="2"/>
          <c:tx>
            <c:strRef>
              <c:f>Dispatchers!$P$2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Dispatchers!$Q$4:$Q$54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73-40E6-A257-26BBCB2C6C87}"/>
            </c:ext>
          </c:extLst>
        </c:ser>
        <c:ser>
          <c:idx val="3"/>
          <c:order val="3"/>
          <c:tx>
            <c:strRef>
              <c:f>Dispatchers!$R$2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Dispatchers!$S$4:$S$54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73-40E6-A257-26BBCB2C6C87}"/>
            </c:ext>
          </c:extLst>
        </c:ser>
        <c:ser>
          <c:idx val="4"/>
          <c:order val="4"/>
          <c:tx>
            <c:strRef>
              <c:f>Dispatchers!$T$2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Dispatchers!$A$4:$A$54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Dispatchers!$U$4:$U$54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73-40E6-A257-26BBCB2C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6977768"/>
        <c:axId val="2066976128"/>
      </c:barChart>
      <c:catAx>
        <c:axId val="2066977768"/>
        <c:scaling>
          <c:orientation val="minMax"/>
        </c:scaling>
        <c:delete val="0"/>
        <c:axPos val="b"/>
        <c:majorTickMark val="out"/>
        <c:minorTickMark val="none"/>
        <c:tickLblPos val="nextTo"/>
        <c:crossAx val="2066976128"/>
        <c:crosses val="autoZero"/>
        <c:auto val="1"/>
        <c:lblAlgn val="ctr"/>
        <c:lblOffset val="100"/>
        <c:tickLblSkip val="1"/>
        <c:noMultiLvlLbl val="0"/>
      </c:catAx>
      <c:valAx>
        <c:axId val="20669761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066977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Researchers!$B$2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Researchers!$C$4:$C$54</c:f>
              <c:numCache>
                <c:formatCode>0%;@</c:formatCode>
                <c:ptCount val="51"/>
                <c:pt idx="0">
                  <c:v>1.5321756894790716E-2</c:v>
                </c:pt>
                <c:pt idx="1">
                  <c:v>0.32482124616956071</c:v>
                </c:pt>
                <c:pt idx="2">
                  <c:v>0</c:v>
                </c:pt>
                <c:pt idx="3">
                  <c:v>0</c:v>
                </c:pt>
                <c:pt idx="4">
                  <c:v>7.4565883554647522E-2</c:v>
                </c:pt>
                <c:pt idx="5">
                  <c:v>0</c:v>
                </c:pt>
                <c:pt idx="6">
                  <c:v>9.1930541368743804E-2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1.0214504596527035E-2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7.6608784473953251E-2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0.12768130745658809</c:v>
                </c:pt>
                <c:pt idx="44">
                  <c:v>0.26251276813074576</c:v>
                </c:pt>
                <c:pt idx="45">
                  <c:v>0</c:v>
                </c:pt>
                <c:pt idx="46">
                  <c:v>1.0214504596527035E-2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6.1287027579160578E-3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8-4DBD-A48C-39104A29C838}"/>
            </c:ext>
          </c:extLst>
        </c:ser>
        <c:ser>
          <c:idx val="1"/>
          <c:order val="1"/>
          <c:tx>
            <c:strRef>
              <c:f>Researchers!$D$2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Researchers!$E$4:$E$54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E8-4DBD-A48C-39104A29C838}"/>
            </c:ext>
          </c:extLst>
        </c:ser>
        <c:ser>
          <c:idx val="2"/>
          <c:order val="2"/>
          <c:tx>
            <c:strRef>
              <c:f>Researchers!$F$2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Researchers!$G$4:$G$54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E8-4DBD-A48C-39104A29C838}"/>
            </c:ext>
          </c:extLst>
        </c:ser>
        <c:ser>
          <c:idx val="3"/>
          <c:order val="3"/>
          <c:tx>
            <c:strRef>
              <c:f>Researchers!$H$2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cat>
            <c:strRef>
              <c:f>Researchers!$A$4:$A$58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Researchers!$I$4:$I$54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E8-4DBD-A48C-39104A29C838}"/>
            </c:ext>
          </c:extLst>
        </c:ser>
        <c:ser>
          <c:idx val="4"/>
          <c:order val="4"/>
          <c:tx>
            <c:strRef>
              <c:f>Researchers!$J$2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Researchers!$A$4:$A$54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Researchers!$K$4:$K$54</c:f>
              <c:numCache>
                <c:formatCode>0%;@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E8-4DBD-A48C-39104A29C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241712"/>
        <c:axId val="599243024"/>
      </c:barChart>
      <c:catAx>
        <c:axId val="59924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243024"/>
        <c:crosses val="autoZero"/>
        <c:auto val="1"/>
        <c:lblAlgn val="ctr"/>
        <c:lblOffset val="100"/>
        <c:tickLblSkip val="1"/>
        <c:noMultiLvlLbl val="0"/>
      </c:catAx>
      <c:valAx>
        <c:axId val="599243024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599241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Researchers!$L$2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Researchers!$M$4:$M$54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01-48C6-BF35-6AE4584367D8}"/>
            </c:ext>
          </c:extLst>
        </c:ser>
        <c:ser>
          <c:idx val="1"/>
          <c:order val="1"/>
          <c:tx>
            <c:strRef>
              <c:f>Researchers!$N$2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Researchers!$O$4:$O$54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01-48C6-BF35-6AE4584367D8}"/>
            </c:ext>
          </c:extLst>
        </c:ser>
        <c:ser>
          <c:idx val="2"/>
          <c:order val="2"/>
          <c:tx>
            <c:strRef>
              <c:f>Researchers!$P$2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Researchers!$Q$4:$Q$54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01-48C6-BF35-6AE4584367D8}"/>
            </c:ext>
          </c:extLst>
        </c:ser>
        <c:ser>
          <c:idx val="3"/>
          <c:order val="3"/>
          <c:tx>
            <c:strRef>
              <c:f>Researchers!$R$2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Researchers!$S$4:$S$54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01-48C6-BF35-6AE4584367D8}"/>
            </c:ext>
          </c:extLst>
        </c:ser>
        <c:ser>
          <c:idx val="4"/>
          <c:order val="4"/>
          <c:tx>
            <c:strRef>
              <c:f>Researchers!$T$2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Researchers!$A$4:$A$54</c:f>
              <c:strCache>
                <c:ptCount val="51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Management</c:v>
                </c:pt>
                <c:pt idx="46">
                  <c:v>20. Technical maintenance</c:v>
                </c:pt>
                <c:pt idx="47">
                  <c:v>21. Technical support</c:v>
                </c:pt>
                <c:pt idx="48">
                  <c:v>22. HR</c:v>
                </c:pt>
                <c:pt idx="49">
                  <c:v>23. - Break</c:v>
                </c:pt>
                <c:pt idx="50">
                  <c:v>24. - Clock-out</c:v>
                </c:pt>
              </c:strCache>
            </c:strRef>
          </c:cat>
          <c:val>
            <c:numRef>
              <c:f>Researchers!$U$4:$U$54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01-48C6-BF35-6AE458436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249256"/>
        <c:axId val="599248272"/>
      </c:barChart>
      <c:catAx>
        <c:axId val="599249256"/>
        <c:scaling>
          <c:orientation val="minMax"/>
        </c:scaling>
        <c:delete val="0"/>
        <c:axPos val="b"/>
        <c:majorTickMark val="out"/>
        <c:minorTickMark val="none"/>
        <c:tickLblPos val="nextTo"/>
        <c:crossAx val="599248272"/>
        <c:crosses val="autoZero"/>
        <c:auto val="1"/>
        <c:lblAlgn val="ctr"/>
        <c:lblOffset val="100"/>
        <c:tickLblSkip val="1"/>
        <c:noMultiLvlLbl val="0"/>
      </c:catAx>
      <c:valAx>
        <c:axId val="5992482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99249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Schedulers!$C$4:$C$42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2.0161290322583797E-3</c:v>
                </c:pt>
                <c:pt idx="10">
                  <c:v>0</c:v>
                </c:pt>
                <c:pt idx="11">
                  <c:v>1.2096774193548022E-2</c:v>
                </c:pt>
                <c:pt idx="12">
                  <c:v>8.0645161290322939E-2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0.90524193548387066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81-4D6A-8477-7AAC4A506E2C}"/>
            </c:ext>
          </c:extLst>
        </c:ser>
        <c:ser>
          <c:idx val="1"/>
          <c:order val="1"/>
          <c:tx>
            <c:strRef>
              <c:f>Schedulers!$D$2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Schedulers!$E$4:$E$42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81-4D6A-8477-7AAC4A506E2C}"/>
            </c:ext>
          </c:extLst>
        </c:ser>
        <c:ser>
          <c:idx val="2"/>
          <c:order val="2"/>
          <c:tx>
            <c:strRef>
              <c:f>Schedulers!$F$2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Schedulers!$G$4:$G$42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81-4D6A-8477-7AAC4A506E2C}"/>
            </c:ext>
          </c:extLst>
        </c:ser>
        <c:ser>
          <c:idx val="3"/>
          <c:order val="3"/>
          <c:tx>
            <c:strRef>
              <c:f>Schedulers!$H$2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Schedulers!$I$4:$I$42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81-4D6A-8477-7AAC4A506E2C}"/>
            </c:ext>
          </c:extLst>
        </c:ser>
        <c:ser>
          <c:idx val="4"/>
          <c:order val="4"/>
          <c:tx>
            <c:strRef>
              <c:f>Schedulers!$J$2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Schedulers!$A$4:$A$42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Schedulers!$K$4:$K$42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81-4D6A-8477-7AAC4A506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299056"/>
        <c:axId val="598299712"/>
      </c:barChart>
      <c:catAx>
        <c:axId val="598299056"/>
        <c:scaling>
          <c:orientation val="minMax"/>
        </c:scaling>
        <c:delete val="0"/>
        <c:axPos val="b"/>
        <c:majorTickMark val="out"/>
        <c:minorTickMark val="none"/>
        <c:tickLblPos val="nextTo"/>
        <c:crossAx val="598299712"/>
        <c:crosses val="autoZero"/>
        <c:auto val="1"/>
        <c:lblAlgn val="ctr"/>
        <c:lblOffset val="100"/>
        <c:tickLblSkip val="1"/>
        <c:noMultiLvlLbl val="0"/>
      </c:catAx>
      <c:valAx>
        <c:axId val="598299712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598299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Schedulers!$L$2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Schedulers!$M$4:$M$42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D0-4DCC-BC4A-31916C4DD363}"/>
            </c:ext>
          </c:extLst>
        </c:ser>
        <c:ser>
          <c:idx val="1"/>
          <c:order val="1"/>
          <c:tx>
            <c:strRef>
              <c:f>Schedulers!$N$2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Schedulers!$O$4:$O$42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D0-4DCC-BC4A-31916C4DD363}"/>
            </c:ext>
          </c:extLst>
        </c:ser>
        <c:ser>
          <c:idx val="2"/>
          <c:order val="2"/>
          <c:tx>
            <c:strRef>
              <c:f>Schedulers!$P$2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Schedulers!$Q$4:$Q$42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D0-4DCC-BC4A-31916C4DD363}"/>
            </c:ext>
          </c:extLst>
        </c:ser>
        <c:ser>
          <c:idx val="3"/>
          <c:order val="3"/>
          <c:tx>
            <c:strRef>
              <c:f>Schedulers!$R$2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Schedulers!$S$4:$S$42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D0-4DCC-BC4A-31916C4DD363}"/>
            </c:ext>
          </c:extLst>
        </c:ser>
        <c:ser>
          <c:idx val="4"/>
          <c:order val="4"/>
          <c:tx>
            <c:strRef>
              <c:f>Schedulers!$T$2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Schedulers!$A$4:$A$42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Schedulers!$U$4:$U$42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D0-4DCC-BC4A-31916C4D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4951024"/>
        <c:axId val="654948400"/>
      </c:barChart>
      <c:catAx>
        <c:axId val="654951024"/>
        <c:scaling>
          <c:orientation val="minMax"/>
        </c:scaling>
        <c:delete val="0"/>
        <c:axPos val="b"/>
        <c:majorTickMark val="out"/>
        <c:minorTickMark val="none"/>
        <c:tickLblPos val="nextTo"/>
        <c:crossAx val="654948400"/>
        <c:crosses val="autoZero"/>
        <c:auto val="1"/>
        <c:lblAlgn val="ctr"/>
        <c:lblOffset val="100"/>
        <c:tickLblSkip val="1"/>
        <c:noMultiLvlLbl val="0"/>
      </c:catAx>
      <c:valAx>
        <c:axId val="6549484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549510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Schedulers!$V$2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Schedulers!$W$4:$W$42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6D-4072-AFC7-F2D27C128B12}"/>
            </c:ext>
          </c:extLst>
        </c:ser>
        <c:ser>
          <c:idx val="1"/>
          <c:order val="1"/>
          <c:tx>
            <c:strRef>
              <c:f>Schedulers!$X$2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Schedulers!$Y$4:$Y$42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6D-4072-AFC7-F2D27C128B12}"/>
            </c:ext>
          </c:extLst>
        </c:ser>
        <c:ser>
          <c:idx val="2"/>
          <c:order val="2"/>
          <c:tx>
            <c:strRef>
              <c:f>Schedulers!$Z$2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Schedulers!$AA$4:$AA$42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6D-4072-AFC7-F2D27C128B12}"/>
            </c:ext>
          </c:extLst>
        </c:ser>
        <c:ser>
          <c:idx val="3"/>
          <c:order val="3"/>
          <c:tx>
            <c:strRef>
              <c:f>Schedulers!$AB$2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Schedulers!$AC$4:$AC$42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6D-4072-AFC7-F2D27C128B12}"/>
            </c:ext>
          </c:extLst>
        </c:ser>
        <c:ser>
          <c:idx val="4"/>
          <c:order val="4"/>
          <c:tx>
            <c:strRef>
              <c:f>Schedulers!$AD$2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Schedulers!$A$4:$A$42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Schedulers!$AE$4:$AE$42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6D-4072-AFC7-F2D27C128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2471760"/>
        <c:axId val="1392467824"/>
      </c:barChart>
      <c:catAx>
        <c:axId val="1392471760"/>
        <c:scaling>
          <c:orientation val="minMax"/>
        </c:scaling>
        <c:delete val="0"/>
        <c:axPos val="b"/>
        <c:majorTickMark val="out"/>
        <c:minorTickMark val="none"/>
        <c:tickLblPos val="nextTo"/>
        <c:crossAx val="1392467824"/>
        <c:crosses val="autoZero"/>
        <c:auto val="1"/>
        <c:lblAlgn val="ctr"/>
        <c:lblOffset val="100"/>
        <c:tickLblSkip val="1"/>
        <c:noMultiLvlLbl val="0"/>
      </c:catAx>
      <c:valAx>
        <c:axId val="13924678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392471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Schedulers!$AF$2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Schedulers!$AG$4:$AG$42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1.5479876160990726E-2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1.5479876160988189E-3</c:v>
                </c:pt>
                <c:pt idx="10">
                  <c:v>0</c:v>
                </c:pt>
                <c:pt idx="11">
                  <c:v>1.7027863777089976E-2</c:v>
                </c:pt>
                <c:pt idx="12">
                  <c:v>0.13157894736842107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0.60216718266253899</c:v>
                </c:pt>
                <c:pt idx="21">
                  <c:v>0</c:v>
                </c:pt>
                <c:pt idx="22">
                  <c:v>0.13777089783281737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4.7987616099071061E-2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4.6439628482971992E-2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95-46B8-9291-21A73E713922}"/>
            </c:ext>
          </c:extLst>
        </c:ser>
        <c:ser>
          <c:idx val="1"/>
          <c:order val="1"/>
          <c:tx>
            <c:strRef>
              <c:f>Schedulers!$AH$2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Schedulers!$AI$4:$AI$42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95-46B8-9291-21A73E713922}"/>
            </c:ext>
          </c:extLst>
        </c:ser>
        <c:ser>
          <c:idx val="2"/>
          <c:order val="2"/>
          <c:tx>
            <c:strRef>
              <c:f>Schedulers!$AJ$2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Schedulers!$AK$4:$AK$42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95-46B8-9291-21A73E713922}"/>
            </c:ext>
          </c:extLst>
        </c:ser>
        <c:ser>
          <c:idx val="3"/>
          <c:order val="3"/>
          <c:tx>
            <c:strRef>
              <c:f>Schedulers!$AL$2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Schedulers!$AM$4:$AM$42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95-46B8-9291-21A73E713922}"/>
            </c:ext>
          </c:extLst>
        </c:ser>
        <c:ser>
          <c:idx val="4"/>
          <c:order val="4"/>
          <c:tx>
            <c:strRef>
              <c:f>Schedulers!$AN$2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Schedulers!$A$4:$A$42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Schedulers!$AO$4:$AO$42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95-46B8-9291-21A73E713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2473728"/>
        <c:axId val="1392470448"/>
      </c:barChart>
      <c:catAx>
        <c:axId val="1392473728"/>
        <c:scaling>
          <c:orientation val="minMax"/>
        </c:scaling>
        <c:delete val="0"/>
        <c:axPos val="b"/>
        <c:majorTickMark val="out"/>
        <c:minorTickMark val="none"/>
        <c:tickLblPos val="nextTo"/>
        <c:crossAx val="1392470448"/>
        <c:crosses val="autoZero"/>
        <c:auto val="1"/>
        <c:lblAlgn val="ctr"/>
        <c:lblOffset val="100"/>
        <c:tickLblSkip val="1"/>
        <c:noMultiLvlLbl val="0"/>
      </c:catAx>
      <c:valAx>
        <c:axId val="1392470448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1392473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Schedulers!$AP$2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Schedulers!$AQ$4:$AQ$42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8.3333333333333055E-3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0.9916666666666667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5A-4F1B-8037-F962B1A572A3}"/>
            </c:ext>
          </c:extLst>
        </c:ser>
        <c:ser>
          <c:idx val="1"/>
          <c:order val="1"/>
          <c:tx>
            <c:strRef>
              <c:f>Schedulers!$AR$2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Schedulers!$AS$4:$AS$42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5A-4F1B-8037-F962B1A572A3}"/>
            </c:ext>
          </c:extLst>
        </c:ser>
        <c:ser>
          <c:idx val="2"/>
          <c:order val="2"/>
          <c:tx>
            <c:strRef>
              <c:f>Schedulers!$AT$2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Schedulers!$AU$4:$AU$42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F1B-8037-F962B1A572A3}"/>
            </c:ext>
          </c:extLst>
        </c:ser>
        <c:ser>
          <c:idx val="3"/>
          <c:order val="3"/>
          <c:tx>
            <c:strRef>
              <c:f>Schedulers!$AV$2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Schedulers!$AW$4:$AW$42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5A-4F1B-8037-F962B1A572A3}"/>
            </c:ext>
          </c:extLst>
        </c:ser>
        <c:ser>
          <c:idx val="4"/>
          <c:order val="4"/>
          <c:tx>
            <c:strRef>
              <c:f>Schedulers!$AX$2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Schedulers!$A$4:$A$42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Schedulers!$AY$4:$AY$42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5A-4F1B-8037-F962B1A57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600112"/>
        <c:axId val="665595848"/>
      </c:barChart>
      <c:catAx>
        <c:axId val="665600112"/>
        <c:scaling>
          <c:orientation val="minMax"/>
        </c:scaling>
        <c:delete val="0"/>
        <c:axPos val="b"/>
        <c:majorTickMark val="out"/>
        <c:minorTickMark val="none"/>
        <c:tickLblPos val="nextTo"/>
        <c:crossAx val="665595848"/>
        <c:crosses val="autoZero"/>
        <c:auto val="1"/>
        <c:lblAlgn val="ctr"/>
        <c:lblOffset val="100"/>
        <c:tickLblSkip val="1"/>
        <c:noMultiLvlLbl val="0"/>
      </c:catAx>
      <c:valAx>
        <c:axId val="665595848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6656001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Billing!$B$2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Billing!$C$4:$C$42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41-497D-B0DC-0DC14F09EB83}"/>
            </c:ext>
          </c:extLst>
        </c:ser>
        <c:ser>
          <c:idx val="1"/>
          <c:order val="1"/>
          <c:tx>
            <c:strRef>
              <c:f>Billing!$D$2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Billing!$E$4:$E$42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41-497D-B0DC-0DC14F09EB83}"/>
            </c:ext>
          </c:extLst>
        </c:ser>
        <c:ser>
          <c:idx val="2"/>
          <c:order val="2"/>
          <c:tx>
            <c:strRef>
              <c:f>Billing!$F$2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Billing!$G$4:$G$42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41-497D-B0DC-0DC14F09EB83}"/>
            </c:ext>
          </c:extLst>
        </c:ser>
        <c:ser>
          <c:idx val="3"/>
          <c:order val="3"/>
          <c:tx>
            <c:strRef>
              <c:f>Billing!$H$2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Billing!$I$4:$I$42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41-497D-B0DC-0DC14F09EB83}"/>
            </c:ext>
          </c:extLst>
        </c:ser>
        <c:ser>
          <c:idx val="4"/>
          <c:order val="4"/>
          <c:tx>
            <c:strRef>
              <c:f>Billing!$J$2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Billing!$A$4:$A$42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Billing!$K$4:$K$42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41-497D-B0DC-0DC14F09E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176360"/>
        <c:axId val="482184888"/>
      </c:barChart>
      <c:catAx>
        <c:axId val="482176360"/>
        <c:scaling>
          <c:orientation val="minMax"/>
        </c:scaling>
        <c:delete val="0"/>
        <c:axPos val="b"/>
        <c:majorTickMark val="out"/>
        <c:minorTickMark val="none"/>
        <c:tickLblPos val="nextTo"/>
        <c:crossAx val="482184888"/>
        <c:crosses val="autoZero"/>
        <c:auto val="1"/>
        <c:lblAlgn val="ctr"/>
        <c:lblOffset val="100"/>
        <c:tickLblSkip val="1"/>
        <c:noMultiLvlLbl val="0"/>
      </c:catAx>
      <c:valAx>
        <c:axId val="482184888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4821763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Billing!$L$2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Billing!$M$4:$M$42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3.2110091743119296E-2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5.504587155963356E-3</c:v>
                </c:pt>
                <c:pt idx="10">
                  <c:v>0</c:v>
                </c:pt>
                <c:pt idx="11">
                  <c:v>4.036697247706407E-2</c:v>
                </c:pt>
                <c:pt idx="12">
                  <c:v>3.4862385321100933E-2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0.8275229357798165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3.2110091743119296E-2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2.752293577981656E-2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8-4AC1-A891-8749D61691A6}"/>
            </c:ext>
          </c:extLst>
        </c:ser>
        <c:ser>
          <c:idx val="1"/>
          <c:order val="1"/>
          <c:tx>
            <c:strRef>
              <c:f>Billing!$N$2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Billing!$O$4:$O$42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A8-4AC1-A891-8749D61691A6}"/>
            </c:ext>
          </c:extLst>
        </c:ser>
        <c:ser>
          <c:idx val="2"/>
          <c:order val="2"/>
          <c:tx>
            <c:strRef>
              <c:f>Billing!$P$2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Billing!$Q$4:$Q$42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A8-4AC1-A891-8749D61691A6}"/>
            </c:ext>
          </c:extLst>
        </c:ser>
        <c:ser>
          <c:idx val="3"/>
          <c:order val="3"/>
          <c:tx>
            <c:strRef>
              <c:f>Billing!$R$2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Billing!$S$4:$S$42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A8-4AC1-A891-8749D61691A6}"/>
            </c:ext>
          </c:extLst>
        </c:ser>
        <c:ser>
          <c:idx val="4"/>
          <c:order val="4"/>
          <c:tx>
            <c:strRef>
              <c:f>Billing!$T$2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Billing!$A$4:$A$42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Billing!$U$4:$U$42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A8-4AC1-A891-8749D616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4848528"/>
        <c:axId val="364842624"/>
      </c:barChart>
      <c:catAx>
        <c:axId val="364848528"/>
        <c:scaling>
          <c:orientation val="minMax"/>
        </c:scaling>
        <c:delete val="0"/>
        <c:axPos val="b"/>
        <c:majorTickMark val="out"/>
        <c:minorTickMark val="none"/>
        <c:tickLblPos val="nextTo"/>
        <c:crossAx val="364842624"/>
        <c:crosses val="autoZero"/>
        <c:auto val="1"/>
        <c:lblAlgn val="ctr"/>
        <c:lblOffset val="100"/>
        <c:tickLblSkip val="1"/>
        <c:noMultiLvlLbl val="0"/>
      </c:catAx>
      <c:valAx>
        <c:axId val="364842624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3648485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Billing!$V$2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Billing!$W$4:$W$42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2.8094820017559308E-2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2.1071115013169446E-2</c:v>
                </c:pt>
                <c:pt idx="10">
                  <c:v>0</c:v>
                </c:pt>
                <c:pt idx="11">
                  <c:v>6.2335381913959681E-2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0.82352941176470595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6.4969271290605715E-2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96-4D07-AB29-3A401FC81724}"/>
            </c:ext>
          </c:extLst>
        </c:ser>
        <c:ser>
          <c:idx val="1"/>
          <c:order val="1"/>
          <c:tx>
            <c:strRef>
              <c:f>Billing!$X$2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Billing!$Y$4:$Y$42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96-4D07-AB29-3A401FC81724}"/>
            </c:ext>
          </c:extLst>
        </c:ser>
        <c:ser>
          <c:idx val="2"/>
          <c:order val="2"/>
          <c:tx>
            <c:strRef>
              <c:f>Billing!$Z$2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Billing!$AA$4:$AA$42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96-4D07-AB29-3A401FC81724}"/>
            </c:ext>
          </c:extLst>
        </c:ser>
        <c:ser>
          <c:idx val="3"/>
          <c:order val="3"/>
          <c:tx>
            <c:strRef>
              <c:f>Billing!$AB$2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Billing!$AC$4:$AC$42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96-4D07-AB29-3A401FC81724}"/>
            </c:ext>
          </c:extLst>
        </c:ser>
        <c:ser>
          <c:idx val="4"/>
          <c:order val="4"/>
          <c:tx>
            <c:strRef>
              <c:f>Billing!$AD$2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Billing!$A$4:$A$42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Billing!$AE$4:$AE$42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96-4D07-AB29-3A401FC81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465072"/>
        <c:axId val="539464088"/>
      </c:barChart>
      <c:catAx>
        <c:axId val="539465072"/>
        <c:scaling>
          <c:orientation val="minMax"/>
        </c:scaling>
        <c:delete val="0"/>
        <c:axPos val="b"/>
        <c:majorTickMark val="out"/>
        <c:minorTickMark val="none"/>
        <c:tickLblPos val="nextTo"/>
        <c:crossAx val="539464088"/>
        <c:crosses val="autoZero"/>
        <c:auto val="1"/>
        <c:lblAlgn val="ctr"/>
        <c:lblOffset val="100"/>
        <c:tickLblSkip val="1"/>
        <c:noMultiLvlLbl val="0"/>
      </c:catAx>
      <c:valAx>
        <c:axId val="539464088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539465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Billing!$AF$2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Billing!$AG$4:$AG$42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1.0416666666666465E-2</c:v>
                </c:pt>
                <c:pt idx="10">
                  <c:v>0</c:v>
                </c:pt>
                <c:pt idx="11">
                  <c:v>3.6458333333333377E-2</c:v>
                </c:pt>
                <c:pt idx="12">
                  <c:v>5.729166666666681E-2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0.89583333333333337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81-4827-BAC3-6CE52898FF7F}"/>
            </c:ext>
          </c:extLst>
        </c:ser>
        <c:ser>
          <c:idx val="1"/>
          <c:order val="1"/>
          <c:tx>
            <c:strRef>
              <c:f>Billing!$AH$2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Billing!$AI$4:$AI$42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81-4827-BAC3-6CE52898FF7F}"/>
            </c:ext>
          </c:extLst>
        </c:ser>
        <c:ser>
          <c:idx val="2"/>
          <c:order val="2"/>
          <c:tx>
            <c:strRef>
              <c:f>Billing!$AJ$2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Billing!$AK$4:$AK$42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81-4827-BAC3-6CE52898FF7F}"/>
            </c:ext>
          </c:extLst>
        </c:ser>
        <c:ser>
          <c:idx val="3"/>
          <c:order val="3"/>
          <c:tx>
            <c:strRef>
              <c:f>Billing!$AL$2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Billing!$AM$4:$AM$42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81-4827-BAC3-6CE52898FF7F}"/>
            </c:ext>
          </c:extLst>
        </c:ser>
        <c:ser>
          <c:idx val="4"/>
          <c:order val="4"/>
          <c:tx>
            <c:strRef>
              <c:f>Billing!$AN$2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Billing!$A$4:$A$42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Billing!$AO$4:$AO$42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81-4827-BAC3-6CE52898F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4973656"/>
        <c:axId val="654967096"/>
      </c:barChart>
      <c:catAx>
        <c:axId val="654973656"/>
        <c:scaling>
          <c:orientation val="minMax"/>
        </c:scaling>
        <c:delete val="0"/>
        <c:axPos val="b"/>
        <c:majorTickMark val="out"/>
        <c:minorTickMark val="none"/>
        <c:tickLblPos val="nextTo"/>
        <c:crossAx val="654967096"/>
        <c:crosses val="autoZero"/>
        <c:auto val="1"/>
        <c:lblAlgn val="ctr"/>
        <c:lblOffset val="100"/>
        <c:tickLblSkip val="1"/>
        <c:noMultiLvlLbl val="0"/>
      </c:catAx>
      <c:valAx>
        <c:axId val="654967096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654973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Operational!$B$2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Operational!$C$4:$C$42</c:f>
              <c:numCache>
                <c:formatCode>0%;@</c:formatCode>
                <c:ptCount val="39"/>
                <c:pt idx="0">
                  <c:v>0.77777777777777768</c:v>
                </c:pt>
                <c:pt idx="1">
                  <c:v>8.547008547008586E-3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1.7094017094016489E-2</c:v>
                </c:pt>
                <c:pt idx="10">
                  <c:v>0</c:v>
                </c:pt>
                <c:pt idx="11">
                  <c:v>3.4188034188034649E-2</c:v>
                </c:pt>
                <c:pt idx="12">
                  <c:v>5.1282051282051377E-2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0.11111111111111112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39-4D27-A18D-0657B5B40AB0}"/>
            </c:ext>
          </c:extLst>
        </c:ser>
        <c:ser>
          <c:idx val="1"/>
          <c:order val="1"/>
          <c:tx>
            <c:strRef>
              <c:f>Operational!$D$2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Operational!$E$4:$E$42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39-4D27-A18D-0657B5B40AB0}"/>
            </c:ext>
          </c:extLst>
        </c:ser>
        <c:ser>
          <c:idx val="2"/>
          <c:order val="2"/>
          <c:tx>
            <c:strRef>
              <c:f>Operational!$F$2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Operational!$G$4:$G$42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39-4D27-A18D-0657B5B40AB0}"/>
            </c:ext>
          </c:extLst>
        </c:ser>
        <c:ser>
          <c:idx val="3"/>
          <c:order val="3"/>
          <c:tx>
            <c:strRef>
              <c:f>Operational!$H$2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Operational!$I$4:$I$42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39-4D27-A18D-0657B5B40AB0}"/>
            </c:ext>
          </c:extLst>
        </c:ser>
        <c:ser>
          <c:idx val="4"/>
          <c:order val="4"/>
          <c:tx>
            <c:strRef>
              <c:f>Operational!$J$2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Operational!$A$4:$A$42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Operational!$K$4:$K$42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139-4D27-A18D-0657B5B40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9961376"/>
        <c:axId val="609965640"/>
      </c:barChart>
      <c:catAx>
        <c:axId val="609961376"/>
        <c:scaling>
          <c:orientation val="minMax"/>
        </c:scaling>
        <c:delete val="0"/>
        <c:axPos val="b"/>
        <c:majorTickMark val="out"/>
        <c:minorTickMark val="none"/>
        <c:tickLblPos val="nextTo"/>
        <c:crossAx val="609965640"/>
        <c:crosses val="autoZero"/>
        <c:auto val="1"/>
        <c:lblAlgn val="ctr"/>
        <c:lblOffset val="100"/>
        <c:tickLblSkip val="1"/>
        <c:noMultiLvlLbl val="0"/>
      </c:catAx>
      <c:valAx>
        <c:axId val="609965640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6099613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Operational!$L$2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Operational!$M$4:$M$42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8-465D-9DE7-F27AE15B3121}"/>
            </c:ext>
          </c:extLst>
        </c:ser>
        <c:ser>
          <c:idx val="1"/>
          <c:order val="1"/>
          <c:tx>
            <c:strRef>
              <c:f>Operational!$N$2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Operational!$O$4:$O$42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98-465D-9DE7-F27AE15B3121}"/>
            </c:ext>
          </c:extLst>
        </c:ser>
        <c:ser>
          <c:idx val="2"/>
          <c:order val="2"/>
          <c:tx>
            <c:strRef>
              <c:f>Operational!$P$2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Operational!$Q$4:$Q$42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98-465D-9DE7-F27AE15B3121}"/>
            </c:ext>
          </c:extLst>
        </c:ser>
        <c:ser>
          <c:idx val="3"/>
          <c:order val="3"/>
          <c:tx>
            <c:strRef>
              <c:f>Operational!$R$2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Operational!$S$4:$S$42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98-465D-9DE7-F27AE15B3121}"/>
            </c:ext>
          </c:extLst>
        </c:ser>
        <c:ser>
          <c:idx val="4"/>
          <c:order val="4"/>
          <c:tx>
            <c:strRef>
              <c:f>Operational!$T$2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Operational!$A$4:$A$42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Operational!$U$4:$U$42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98-465D-9DE7-F27AE15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9977448"/>
        <c:axId val="610021728"/>
      </c:barChart>
      <c:catAx>
        <c:axId val="609977448"/>
        <c:scaling>
          <c:orientation val="minMax"/>
        </c:scaling>
        <c:delete val="0"/>
        <c:axPos val="b"/>
        <c:majorTickMark val="out"/>
        <c:minorTickMark val="none"/>
        <c:tickLblPos val="nextTo"/>
        <c:crossAx val="610021728"/>
        <c:crosses val="autoZero"/>
        <c:auto val="1"/>
        <c:lblAlgn val="ctr"/>
        <c:lblOffset val="100"/>
        <c:tickLblSkip val="1"/>
        <c:noMultiLvlLbl val="0"/>
      </c:catAx>
      <c:valAx>
        <c:axId val="6100217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099774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Operational!$V$2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Operational!$W$4:$W$42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C-4AC4-A631-ED663960A1C8}"/>
            </c:ext>
          </c:extLst>
        </c:ser>
        <c:ser>
          <c:idx val="1"/>
          <c:order val="1"/>
          <c:tx>
            <c:strRef>
              <c:f>Operational!$X$2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Operational!$Y$4:$Y$42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7C-4AC4-A631-ED663960A1C8}"/>
            </c:ext>
          </c:extLst>
        </c:ser>
        <c:ser>
          <c:idx val="2"/>
          <c:order val="2"/>
          <c:tx>
            <c:strRef>
              <c:f>Operational!$Z$2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Operational!$AA$4:$AA$42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7C-4AC4-A631-ED663960A1C8}"/>
            </c:ext>
          </c:extLst>
        </c:ser>
        <c:ser>
          <c:idx val="3"/>
          <c:order val="3"/>
          <c:tx>
            <c:strRef>
              <c:f>Operational!$AB$2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Operational!$AC$4:$AC$42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7C-4AC4-A631-ED663960A1C8}"/>
            </c:ext>
          </c:extLst>
        </c:ser>
        <c:ser>
          <c:idx val="4"/>
          <c:order val="4"/>
          <c:tx>
            <c:strRef>
              <c:f>Operational!$AD$2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Operational!$A$4:$A$42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Operational!$AE$4:$AE$42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7C-4AC4-A631-ED663960A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223672"/>
        <c:axId val="599222688"/>
      </c:barChart>
      <c:catAx>
        <c:axId val="599223672"/>
        <c:scaling>
          <c:orientation val="minMax"/>
        </c:scaling>
        <c:delete val="0"/>
        <c:axPos val="b"/>
        <c:majorTickMark val="out"/>
        <c:minorTickMark val="none"/>
        <c:tickLblPos val="nextTo"/>
        <c:crossAx val="599222688"/>
        <c:crosses val="autoZero"/>
        <c:auto val="1"/>
        <c:lblAlgn val="ctr"/>
        <c:lblOffset val="100"/>
        <c:tickLblSkip val="1"/>
        <c:noMultiLvlLbl val="0"/>
      </c:catAx>
      <c:valAx>
        <c:axId val="5992226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992236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Operational!$AF$2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Operational!$AG$4:$AG$42</c:f>
              <c:numCache>
                <c:formatCode>0%;@</c:formatCode>
                <c:ptCount val="39"/>
                <c:pt idx="0">
                  <c:v>0.58365758754863784</c:v>
                </c:pt>
                <c:pt idx="1">
                  <c:v>0.18482490272373539</c:v>
                </c:pt>
                <c:pt idx="2">
                  <c:v>0</c:v>
                </c:pt>
                <c:pt idx="3">
                  <c:v>0</c:v>
                </c:pt>
                <c:pt idx="4">
                  <c:v>1.9455252918288018E-2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0.21206225680933863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87-4B11-887F-29F001F1D17E}"/>
            </c:ext>
          </c:extLst>
        </c:ser>
        <c:ser>
          <c:idx val="1"/>
          <c:order val="1"/>
          <c:tx>
            <c:strRef>
              <c:f>Operational!$AH$2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Operational!$AI$4:$AI$42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87-4B11-887F-29F001F1D17E}"/>
            </c:ext>
          </c:extLst>
        </c:ser>
        <c:ser>
          <c:idx val="2"/>
          <c:order val="2"/>
          <c:tx>
            <c:strRef>
              <c:f>Operational!$AJ$2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Operational!$AK$4:$AK$42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87-4B11-887F-29F001F1D17E}"/>
            </c:ext>
          </c:extLst>
        </c:ser>
        <c:ser>
          <c:idx val="3"/>
          <c:order val="3"/>
          <c:tx>
            <c:strRef>
              <c:f>Operational!$AL$2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Operational!$AM$4:$AM$42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87-4B11-887F-29F001F1D17E}"/>
            </c:ext>
          </c:extLst>
        </c:ser>
        <c:ser>
          <c:idx val="4"/>
          <c:order val="4"/>
          <c:tx>
            <c:strRef>
              <c:f>Operational!$AN$2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Operational!$A$4:$A$42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Operational!$AO$4:$AO$42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87-4B11-887F-29F001F1D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010136"/>
        <c:axId val="561002920"/>
      </c:barChart>
      <c:catAx>
        <c:axId val="561010136"/>
        <c:scaling>
          <c:orientation val="minMax"/>
        </c:scaling>
        <c:delete val="0"/>
        <c:axPos val="b"/>
        <c:majorTickMark val="out"/>
        <c:minorTickMark val="none"/>
        <c:tickLblPos val="nextTo"/>
        <c:crossAx val="561002920"/>
        <c:crosses val="autoZero"/>
        <c:auto val="1"/>
        <c:lblAlgn val="ctr"/>
        <c:lblOffset val="100"/>
        <c:tickLblSkip val="1"/>
        <c:noMultiLvlLbl val="0"/>
      </c:catAx>
      <c:valAx>
        <c:axId val="561002920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5610101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Insurance!$B$2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Insurance!$C$4:$C$42</c:f>
              <c:numCache>
                <c:formatCode>0%;@</c:formatCode>
                <c:ptCount val="39"/>
                <c:pt idx="0">
                  <c:v>0</c:v>
                </c:pt>
                <c:pt idx="1">
                  <c:v>3.2608695652173912E-2</c:v>
                </c:pt>
                <c:pt idx="2">
                  <c:v>0</c:v>
                </c:pt>
                <c:pt idx="3">
                  <c:v>0</c:v>
                </c:pt>
                <c:pt idx="4">
                  <c:v>1.521739130434782E-2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6.5217391304344136E-3</c:v>
                </c:pt>
                <c:pt idx="10">
                  <c:v>0</c:v>
                </c:pt>
                <c:pt idx="11">
                  <c:v>0</c:v>
                </c:pt>
                <c:pt idx="12">
                  <c:v>5.8695652173913329E-2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0.68913043478260871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2.1739130434782886E-2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0.1086956521739131</c:v>
                </c:pt>
                <c:pt idx="35">
                  <c:v>0</c:v>
                </c:pt>
                <c:pt idx="36">
                  <c:v>0</c:v>
                </c:pt>
                <c:pt idx="37">
                  <c:v>6.7391304347825864E-2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00-4A8A-8CAD-FAE18ABEA168}"/>
            </c:ext>
          </c:extLst>
        </c:ser>
        <c:ser>
          <c:idx val="1"/>
          <c:order val="1"/>
          <c:tx>
            <c:strRef>
              <c:f>Insurance!$D$2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Insurance!$E$4:$E$42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00-4A8A-8CAD-FAE18ABEA168}"/>
            </c:ext>
          </c:extLst>
        </c:ser>
        <c:ser>
          <c:idx val="2"/>
          <c:order val="2"/>
          <c:tx>
            <c:strRef>
              <c:f>Insurance!$F$2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Insurance!$G$4:$G$42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00-4A8A-8CAD-FAE18ABEA168}"/>
            </c:ext>
          </c:extLst>
        </c:ser>
        <c:ser>
          <c:idx val="3"/>
          <c:order val="3"/>
          <c:tx>
            <c:strRef>
              <c:f>Insurance!$H$2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Insurance!$I$4:$I$42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00-4A8A-8CAD-FAE18ABEA168}"/>
            </c:ext>
          </c:extLst>
        </c:ser>
        <c:ser>
          <c:idx val="4"/>
          <c:order val="4"/>
          <c:tx>
            <c:strRef>
              <c:f>Insurance!$J$2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Insurance!$A$4:$A$42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Insurance!$K$4:$K$42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00-4A8A-8CAD-FAE18ABEA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020416"/>
        <c:axId val="610021400"/>
      </c:barChart>
      <c:catAx>
        <c:axId val="610020416"/>
        <c:scaling>
          <c:orientation val="minMax"/>
        </c:scaling>
        <c:delete val="0"/>
        <c:axPos val="b"/>
        <c:majorTickMark val="out"/>
        <c:minorTickMark val="none"/>
        <c:tickLblPos val="nextTo"/>
        <c:crossAx val="610021400"/>
        <c:crosses val="autoZero"/>
        <c:auto val="1"/>
        <c:lblAlgn val="ctr"/>
        <c:lblOffset val="100"/>
        <c:tickLblSkip val="1"/>
        <c:noMultiLvlLbl val="0"/>
      </c:catAx>
      <c:valAx>
        <c:axId val="610021400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6100204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'HR-Marketing'!$C$4:$C$42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0.27160493827160476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1.2345679012345635E-2</c:v>
                </c:pt>
                <c:pt idx="10">
                  <c:v>0</c:v>
                </c:pt>
                <c:pt idx="11">
                  <c:v>0.12345679012345714</c:v>
                </c:pt>
                <c:pt idx="12">
                  <c:v>0.59259259259259245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D1-422D-9136-42C4DD2495CB}"/>
            </c:ext>
          </c:extLst>
        </c:ser>
        <c:ser>
          <c:idx val="1"/>
          <c:order val="1"/>
          <c:tx>
            <c:strRef>
              <c:f>'HR-Marketing'!$D$2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'HR-Marketing'!$E$4:$E$42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D1-422D-9136-42C4DD2495CB}"/>
            </c:ext>
          </c:extLst>
        </c:ser>
        <c:ser>
          <c:idx val="2"/>
          <c:order val="2"/>
          <c:tx>
            <c:strRef>
              <c:f>'HR-Marketing'!$F$2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'HR-Marketing'!$G$4:$G$42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D1-422D-9136-42C4DD2495CB}"/>
            </c:ext>
          </c:extLst>
        </c:ser>
        <c:ser>
          <c:idx val="3"/>
          <c:order val="3"/>
          <c:tx>
            <c:strRef>
              <c:f>'HR-Marketing'!$H$2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'HR-Marketing'!$I$4:$I$42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D1-422D-9136-42C4DD2495CB}"/>
            </c:ext>
          </c:extLst>
        </c:ser>
        <c:ser>
          <c:idx val="4"/>
          <c:order val="4"/>
          <c:tx>
            <c:strRef>
              <c:f>'HR-Marketing'!$J$2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'HR-Marketing'!$A$4:$A$42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'HR-Marketing'!$K$4:$K$42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D1-422D-9136-42C4DD249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9255120"/>
        <c:axId val="669265288"/>
      </c:barChart>
      <c:catAx>
        <c:axId val="669255120"/>
        <c:scaling>
          <c:orientation val="minMax"/>
        </c:scaling>
        <c:delete val="0"/>
        <c:axPos val="b"/>
        <c:majorTickMark val="out"/>
        <c:minorTickMark val="none"/>
        <c:tickLblPos val="nextTo"/>
        <c:crossAx val="669265288"/>
        <c:crosses val="autoZero"/>
        <c:auto val="1"/>
        <c:lblAlgn val="ctr"/>
        <c:lblOffset val="100"/>
        <c:tickLblSkip val="1"/>
        <c:noMultiLvlLbl val="0"/>
      </c:catAx>
      <c:valAx>
        <c:axId val="669265288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6692551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'HR-Marketing'!$L$2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'HR-Marketing'!$M$4:$M$42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2.70833333333334E-2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0.95208333333333339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2.0833333333333256E-2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3B-4411-BCDB-70EB01EEDD69}"/>
            </c:ext>
          </c:extLst>
        </c:ser>
        <c:ser>
          <c:idx val="1"/>
          <c:order val="1"/>
          <c:tx>
            <c:strRef>
              <c:f>'HR-Marketing'!$N$2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'HR-Marketing'!$O$4:$O$42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3B-4411-BCDB-70EB01EEDD69}"/>
            </c:ext>
          </c:extLst>
        </c:ser>
        <c:ser>
          <c:idx val="2"/>
          <c:order val="2"/>
          <c:tx>
            <c:strRef>
              <c:f>'HR-Marketing'!$P$2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'HR-Marketing'!$Q$4:$Q$42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3B-4411-BCDB-70EB01EEDD69}"/>
            </c:ext>
          </c:extLst>
        </c:ser>
        <c:ser>
          <c:idx val="3"/>
          <c:order val="3"/>
          <c:tx>
            <c:strRef>
              <c:f>'HR-Marketing'!$R$2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'HR-Marketing'!$S$4:$S$42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3B-4411-BCDB-70EB01EEDD69}"/>
            </c:ext>
          </c:extLst>
        </c:ser>
        <c:ser>
          <c:idx val="4"/>
          <c:order val="4"/>
          <c:tx>
            <c:strRef>
              <c:f>'HR-Marketing'!$T$2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'HR-Marketing'!$A$4:$A$42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'HR-Marketing'!$U$4:$U$42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3B-4411-BCDB-70EB01EED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4360952"/>
        <c:axId val="364356032"/>
      </c:barChart>
      <c:catAx>
        <c:axId val="364360952"/>
        <c:scaling>
          <c:orientation val="minMax"/>
        </c:scaling>
        <c:delete val="0"/>
        <c:axPos val="b"/>
        <c:majorTickMark val="out"/>
        <c:minorTickMark val="none"/>
        <c:tickLblPos val="nextTo"/>
        <c:crossAx val="364356032"/>
        <c:crosses val="autoZero"/>
        <c:auto val="1"/>
        <c:lblAlgn val="ctr"/>
        <c:lblOffset val="100"/>
        <c:tickLblSkip val="1"/>
        <c:noMultiLvlLbl val="0"/>
      </c:catAx>
      <c:valAx>
        <c:axId val="364356032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364360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'HR-Marketing'!$V$2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'HR-Marketing'!$W$4:$W$42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FE-4896-AF9B-A7AE0333A19A}"/>
            </c:ext>
          </c:extLst>
        </c:ser>
        <c:ser>
          <c:idx val="1"/>
          <c:order val="1"/>
          <c:tx>
            <c:strRef>
              <c:f>'HR-Marketing'!$X$2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'HR-Marketing'!$Y$4:$Y$42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FE-4896-AF9B-A7AE0333A19A}"/>
            </c:ext>
          </c:extLst>
        </c:ser>
        <c:ser>
          <c:idx val="2"/>
          <c:order val="2"/>
          <c:tx>
            <c:strRef>
              <c:f>'HR-Marketing'!$Z$2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'HR-Marketing'!$AA$4:$AA$42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FE-4896-AF9B-A7AE0333A19A}"/>
            </c:ext>
          </c:extLst>
        </c:ser>
        <c:ser>
          <c:idx val="3"/>
          <c:order val="3"/>
          <c:tx>
            <c:strRef>
              <c:f>'HR-Marketing'!$AB$2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'HR-Marketing'!$AC$4:$AC$42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FE-4896-AF9B-A7AE0333A19A}"/>
            </c:ext>
          </c:extLst>
        </c:ser>
        <c:ser>
          <c:idx val="4"/>
          <c:order val="4"/>
          <c:tx>
            <c:strRef>
              <c:f>'HR-Marketing'!$AD$2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'HR-Marketing'!$A$4:$A$42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'HR-Marketing'!$AE$4:$AE$42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FE-4896-AF9B-A7AE0333A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6365432"/>
        <c:axId val="596366088"/>
      </c:barChart>
      <c:catAx>
        <c:axId val="596365432"/>
        <c:scaling>
          <c:orientation val="minMax"/>
        </c:scaling>
        <c:delete val="0"/>
        <c:axPos val="b"/>
        <c:majorTickMark val="out"/>
        <c:minorTickMark val="none"/>
        <c:tickLblPos val="nextTo"/>
        <c:crossAx val="596366088"/>
        <c:crosses val="autoZero"/>
        <c:auto val="1"/>
        <c:lblAlgn val="ctr"/>
        <c:lblOffset val="100"/>
        <c:tickLblSkip val="1"/>
        <c:noMultiLvlLbl val="0"/>
      </c:catAx>
      <c:valAx>
        <c:axId val="5963660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963654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'HR-Marketing'!$AF$2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'HR-Marketing'!$AG$4:$AG$42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78-4D93-A471-8435563739AC}"/>
            </c:ext>
          </c:extLst>
        </c:ser>
        <c:ser>
          <c:idx val="1"/>
          <c:order val="1"/>
          <c:tx>
            <c:strRef>
              <c:f>'HR-Marketing'!$AH$2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'HR-Marketing'!$AI$4:$AI$42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78-4D93-A471-8435563739AC}"/>
            </c:ext>
          </c:extLst>
        </c:ser>
        <c:ser>
          <c:idx val="2"/>
          <c:order val="2"/>
          <c:tx>
            <c:strRef>
              <c:f>'HR-Marketing'!$AJ$2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'HR-Marketing'!$AK$4:$AK$42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78-4D93-A471-8435563739AC}"/>
            </c:ext>
          </c:extLst>
        </c:ser>
        <c:ser>
          <c:idx val="3"/>
          <c:order val="3"/>
          <c:tx>
            <c:strRef>
              <c:f>'HR-Marketing'!$AL$2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'HR-Marketing'!$AM$4:$AM$42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78-4D93-A471-8435563739AC}"/>
            </c:ext>
          </c:extLst>
        </c:ser>
        <c:ser>
          <c:idx val="4"/>
          <c:order val="4"/>
          <c:tx>
            <c:strRef>
              <c:f>'HR-Marketing'!$AN$2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'HR-Marketing'!$A$4:$A$42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'HR-Marketing'!$AO$4:$AO$42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78-4D93-A471-843556373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6848640"/>
        <c:axId val="656849624"/>
      </c:barChart>
      <c:catAx>
        <c:axId val="656848640"/>
        <c:scaling>
          <c:orientation val="minMax"/>
        </c:scaling>
        <c:delete val="0"/>
        <c:axPos val="b"/>
        <c:majorTickMark val="out"/>
        <c:minorTickMark val="none"/>
        <c:tickLblPos val="nextTo"/>
        <c:crossAx val="656849624"/>
        <c:crosses val="autoZero"/>
        <c:auto val="1"/>
        <c:lblAlgn val="ctr"/>
        <c:lblOffset val="100"/>
        <c:tickLblSkip val="1"/>
        <c:noMultiLvlLbl val="0"/>
      </c:catAx>
      <c:valAx>
        <c:axId val="6568496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56848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Frontdesk!$B$2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Frontdesk!$C$4:$C$42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8-4171-B1A6-419C00570A3D}"/>
            </c:ext>
          </c:extLst>
        </c:ser>
        <c:ser>
          <c:idx val="1"/>
          <c:order val="1"/>
          <c:tx>
            <c:strRef>
              <c:f>Frontdesk!$D$2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Frontdesk!$E$4:$E$42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B8-4171-B1A6-419C00570A3D}"/>
            </c:ext>
          </c:extLst>
        </c:ser>
        <c:ser>
          <c:idx val="2"/>
          <c:order val="2"/>
          <c:tx>
            <c:strRef>
              <c:f>Frontdesk!$F$2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Frontdesk!$G$4:$G$42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B8-4171-B1A6-419C00570A3D}"/>
            </c:ext>
          </c:extLst>
        </c:ser>
        <c:ser>
          <c:idx val="3"/>
          <c:order val="3"/>
          <c:tx>
            <c:strRef>
              <c:f>Frontdesk!$H$2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Frontdesk!$I$4:$I$42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B8-4171-B1A6-419C00570A3D}"/>
            </c:ext>
          </c:extLst>
        </c:ser>
        <c:ser>
          <c:idx val="4"/>
          <c:order val="4"/>
          <c:tx>
            <c:strRef>
              <c:f>Frontdesk!$J$2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Frontdesk!$A$4:$A$42</c:f>
              <c:strCache>
                <c:ptCount val="35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  <c:pt idx="33">
                  <c:v>28. Technical support</c:v>
                </c:pt>
                <c:pt idx="34">
                  <c:v>29. Training</c:v>
                </c:pt>
              </c:strCache>
            </c:strRef>
          </c:cat>
          <c:val>
            <c:numRef>
              <c:f>Frontdesk!$K$4:$K$42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B8-4171-B1A6-419C00570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6855200"/>
        <c:axId val="656849296"/>
      </c:barChart>
      <c:catAx>
        <c:axId val="656855200"/>
        <c:scaling>
          <c:orientation val="minMax"/>
        </c:scaling>
        <c:delete val="0"/>
        <c:axPos val="b"/>
        <c:majorTickMark val="out"/>
        <c:minorTickMark val="none"/>
        <c:tickLblPos val="nextTo"/>
        <c:crossAx val="656849296"/>
        <c:crosses val="autoZero"/>
        <c:auto val="1"/>
        <c:lblAlgn val="ctr"/>
        <c:lblOffset val="100"/>
        <c:tickLblSkip val="1"/>
        <c:noMultiLvlLbl val="0"/>
      </c:catAx>
      <c:valAx>
        <c:axId val="65684929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568552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Frontdesk!$L$2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Frontdesk!$M$4:$M$42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1-42E4-9438-36C1AFEEC24A}"/>
            </c:ext>
          </c:extLst>
        </c:ser>
        <c:ser>
          <c:idx val="1"/>
          <c:order val="1"/>
          <c:tx>
            <c:strRef>
              <c:f>Frontdesk!$N$2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Frontdesk!$O$4:$O$42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C1-42E4-9438-36C1AFEEC24A}"/>
            </c:ext>
          </c:extLst>
        </c:ser>
        <c:ser>
          <c:idx val="2"/>
          <c:order val="2"/>
          <c:tx>
            <c:strRef>
              <c:f>Frontdesk!$P$2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Frontdesk!$Q$4:$Q$42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C1-42E4-9438-36C1AFEEC24A}"/>
            </c:ext>
          </c:extLst>
        </c:ser>
        <c:ser>
          <c:idx val="3"/>
          <c:order val="3"/>
          <c:tx>
            <c:strRef>
              <c:f>Frontdesk!$R$2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Frontdesk!$S$4:$S$42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C1-42E4-9438-36C1AFEEC24A}"/>
            </c:ext>
          </c:extLst>
        </c:ser>
        <c:ser>
          <c:idx val="4"/>
          <c:order val="4"/>
          <c:tx>
            <c:strRef>
              <c:f>Frontdesk!$T$2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Frontdesk!$A$4:$A$42</c:f>
              <c:strCache>
                <c:ptCount val="35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  <c:pt idx="33">
                  <c:v>28. Technical support</c:v>
                </c:pt>
                <c:pt idx="34">
                  <c:v>29. Training</c:v>
                </c:pt>
              </c:strCache>
            </c:strRef>
          </c:cat>
          <c:val>
            <c:numRef>
              <c:f>Frontdesk!$U$4:$U$42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C1-42E4-9438-36C1AFEEC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2690584"/>
        <c:axId val="1382690256"/>
      </c:barChart>
      <c:catAx>
        <c:axId val="1382690584"/>
        <c:scaling>
          <c:orientation val="minMax"/>
        </c:scaling>
        <c:delete val="0"/>
        <c:axPos val="b"/>
        <c:majorTickMark val="out"/>
        <c:minorTickMark val="none"/>
        <c:tickLblPos val="nextTo"/>
        <c:crossAx val="1382690256"/>
        <c:crosses val="autoZero"/>
        <c:auto val="1"/>
        <c:lblAlgn val="ctr"/>
        <c:lblOffset val="100"/>
        <c:tickLblSkip val="1"/>
        <c:noMultiLvlLbl val="0"/>
      </c:catAx>
      <c:valAx>
        <c:axId val="13826902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3826905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Frontdesk!$V$2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Frontdesk!$W$4:$W$42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3-4B92-A151-C49E3B4C60A4}"/>
            </c:ext>
          </c:extLst>
        </c:ser>
        <c:ser>
          <c:idx val="1"/>
          <c:order val="1"/>
          <c:tx>
            <c:strRef>
              <c:f>Frontdesk!$X$2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Frontdesk!$Y$4:$Y$42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C3-4B92-A151-C49E3B4C60A4}"/>
            </c:ext>
          </c:extLst>
        </c:ser>
        <c:ser>
          <c:idx val="2"/>
          <c:order val="2"/>
          <c:tx>
            <c:strRef>
              <c:f>Frontdesk!$Z$2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Frontdesk!$AA$4:$AA$42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C3-4B92-A151-C49E3B4C60A4}"/>
            </c:ext>
          </c:extLst>
        </c:ser>
        <c:ser>
          <c:idx val="3"/>
          <c:order val="3"/>
          <c:tx>
            <c:strRef>
              <c:f>Frontdesk!$AB$2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Frontdesk!$AC$4:$AC$42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C3-4B92-A151-C49E3B4C60A4}"/>
            </c:ext>
          </c:extLst>
        </c:ser>
        <c:ser>
          <c:idx val="4"/>
          <c:order val="4"/>
          <c:tx>
            <c:strRef>
              <c:f>Frontdesk!$AD$2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Frontdesk!$A$4:$A$42</c:f>
              <c:strCache>
                <c:ptCount val="35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  <c:pt idx="33">
                  <c:v>28. Technical support</c:v>
                </c:pt>
                <c:pt idx="34">
                  <c:v>29. Training</c:v>
                </c:pt>
              </c:strCache>
            </c:strRef>
          </c:cat>
          <c:val>
            <c:numRef>
              <c:f>Frontdesk!$AE$4:$AE$42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C3-4B92-A151-C49E3B4C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2654504"/>
        <c:axId val="1382653848"/>
      </c:barChart>
      <c:catAx>
        <c:axId val="1382654504"/>
        <c:scaling>
          <c:orientation val="minMax"/>
        </c:scaling>
        <c:delete val="0"/>
        <c:axPos val="b"/>
        <c:majorTickMark val="out"/>
        <c:minorTickMark val="none"/>
        <c:tickLblPos val="nextTo"/>
        <c:crossAx val="1382653848"/>
        <c:crosses val="autoZero"/>
        <c:auto val="1"/>
        <c:lblAlgn val="ctr"/>
        <c:lblOffset val="100"/>
        <c:tickLblSkip val="1"/>
        <c:noMultiLvlLbl val="0"/>
      </c:catAx>
      <c:valAx>
        <c:axId val="13826538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382654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IT!$B$2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IT!$C$4:$C$42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7.8431372549019357E-2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3.921568627451031E-2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0.76470588235294068</c:v>
                </c:pt>
                <c:pt idx="36">
                  <c:v>0</c:v>
                </c:pt>
                <c:pt idx="37">
                  <c:v>0.11764705882352967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E1-429C-8966-F90A55926ADB}"/>
            </c:ext>
          </c:extLst>
        </c:ser>
        <c:ser>
          <c:idx val="1"/>
          <c:order val="1"/>
          <c:tx>
            <c:strRef>
              <c:f>IT!$D$2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IT!$E$4:$E$42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E1-429C-8966-F90A55926ADB}"/>
            </c:ext>
          </c:extLst>
        </c:ser>
        <c:ser>
          <c:idx val="2"/>
          <c:order val="2"/>
          <c:tx>
            <c:strRef>
              <c:f>IT!$F$2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IT!$G$4:$G$42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E1-429C-8966-F90A55926ADB}"/>
            </c:ext>
          </c:extLst>
        </c:ser>
        <c:ser>
          <c:idx val="3"/>
          <c:order val="3"/>
          <c:tx>
            <c:strRef>
              <c:f>IT!$H$2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IT!$I$4:$I$42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E1-429C-8966-F90A55926ADB}"/>
            </c:ext>
          </c:extLst>
        </c:ser>
        <c:ser>
          <c:idx val="4"/>
          <c:order val="4"/>
          <c:tx>
            <c:strRef>
              <c:f>IT!$J$2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IT!$A$4:$A$42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IT!$K$4:$K$42</c:f>
              <c:numCache>
                <c:formatCode>0%;@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E1-429C-8966-F90A55926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408176"/>
        <c:axId val="493406536"/>
      </c:barChart>
      <c:catAx>
        <c:axId val="493408176"/>
        <c:scaling>
          <c:orientation val="minMax"/>
        </c:scaling>
        <c:delete val="0"/>
        <c:axPos val="b"/>
        <c:majorTickMark val="out"/>
        <c:minorTickMark val="none"/>
        <c:tickLblPos val="nextTo"/>
        <c:crossAx val="493406536"/>
        <c:crosses val="autoZero"/>
        <c:auto val="1"/>
        <c:lblAlgn val="ctr"/>
        <c:lblOffset val="100"/>
        <c:tickLblSkip val="1"/>
        <c:noMultiLvlLbl val="0"/>
      </c:catAx>
      <c:valAx>
        <c:axId val="493406536"/>
        <c:scaling>
          <c:orientation val="minMax"/>
        </c:scaling>
        <c:delete val="0"/>
        <c:axPos val="l"/>
        <c:majorGridlines/>
        <c:numFmt formatCode="0%;@" sourceLinked="1"/>
        <c:majorTickMark val="out"/>
        <c:minorTickMark val="none"/>
        <c:tickLblPos val="nextTo"/>
        <c:crossAx val="493408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IT!$L$2</c:f>
              <c:strCache>
                <c:ptCount val="1"/>
                <c:pt idx="0">
                  <c:v>2/3/2018</c:v>
                </c:pt>
              </c:strCache>
            </c:strRef>
          </c:tx>
          <c:invertIfNegative val="0"/>
          <c:val>
            <c:numRef>
              <c:f>IT!$M$4:$M$42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4-41D5-8CD4-18855FA01B91}"/>
            </c:ext>
          </c:extLst>
        </c:ser>
        <c:ser>
          <c:idx val="1"/>
          <c:order val="1"/>
          <c:tx>
            <c:strRef>
              <c:f>IT!$N$2</c:f>
              <c:strCache>
                <c:ptCount val="1"/>
                <c:pt idx="0">
                  <c:v>2/10/2018</c:v>
                </c:pt>
              </c:strCache>
            </c:strRef>
          </c:tx>
          <c:invertIfNegative val="0"/>
          <c:val>
            <c:numRef>
              <c:f>IT!$O$4:$O$42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C4-41D5-8CD4-18855FA01B91}"/>
            </c:ext>
          </c:extLst>
        </c:ser>
        <c:ser>
          <c:idx val="2"/>
          <c:order val="2"/>
          <c:tx>
            <c:strRef>
              <c:f>IT!$P$2</c:f>
              <c:strCache>
                <c:ptCount val="1"/>
                <c:pt idx="0">
                  <c:v>2/17/2018</c:v>
                </c:pt>
              </c:strCache>
            </c:strRef>
          </c:tx>
          <c:invertIfNegative val="0"/>
          <c:val>
            <c:numRef>
              <c:f>IT!$Q$4:$Q$42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C4-41D5-8CD4-18855FA01B91}"/>
            </c:ext>
          </c:extLst>
        </c:ser>
        <c:ser>
          <c:idx val="3"/>
          <c:order val="3"/>
          <c:tx>
            <c:strRef>
              <c:f>IT!$R$2</c:f>
              <c:strCache>
                <c:ptCount val="1"/>
                <c:pt idx="0">
                  <c:v>2/24/2018</c:v>
                </c:pt>
              </c:strCache>
            </c:strRef>
          </c:tx>
          <c:invertIfNegative val="0"/>
          <c:val>
            <c:numRef>
              <c:f>IT!$S$4:$S$42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C4-41D5-8CD4-18855FA01B91}"/>
            </c:ext>
          </c:extLst>
        </c:ser>
        <c:ser>
          <c:idx val="4"/>
          <c:order val="4"/>
          <c:tx>
            <c:strRef>
              <c:f>IT!$T$2</c:f>
              <c:strCache>
                <c:ptCount val="1"/>
                <c:pt idx="0">
                  <c:v>2/28/2018</c:v>
                </c:pt>
              </c:strCache>
            </c:strRef>
          </c:tx>
          <c:invertIfNegative val="0"/>
          <c:cat>
            <c:strRef>
              <c:f>IT!$A$4:$A$42</c:f>
              <c:strCache>
                <c:ptCount val="39"/>
                <c:pt idx="0">
                  <c:v>1.1. 3000 Reports</c:v>
                </c:pt>
                <c:pt idx="1">
                  <c:v>1.2. 3000 Authorization</c:v>
                </c:pt>
                <c:pt idx="2">
                  <c:v>1.3. 3000 Assessment</c:v>
                </c:pt>
                <c:pt idx="3">
                  <c:v>1.4. 3000 Services</c:v>
                </c:pt>
                <c:pt idx="4">
                  <c:v>2. 310</c:v>
                </c:pt>
                <c:pt idx="5">
                  <c:v>3. Billing</c:v>
                </c:pt>
                <c:pt idx="6">
                  <c:v>4. Clinical Data Entry</c:v>
                </c:pt>
                <c:pt idx="7">
                  <c:v>5. Clinical Projects</c:v>
                </c:pt>
                <c:pt idx="8">
                  <c:v>6. Clinical Reports</c:v>
                </c:pt>
                <c:pt idx="9">
                  <c:v>7. Clock In (319 open office)</c:v>
                </c:pt>
                <c:pt idx="10">
                  <c:v>8. Collection HI</c:v>
                </c:pt>
                <c:pt idx="11">
                  <c:v>9.1. Mails/Emails</c:v>
                </c:pt>
                <c:pt idx="12">
                  <c:v>9.2. Phone Calls/Viber</c:v>
                </c:pt>
                <c:pt idx="13">
                  <c:v>10. Contact Regional Center</c:v>
                </c:pt>
                <c:pt idx="14">
                  <c:v>11. HR Frontdesk</c:v>
                </c:pt>
                <c:pt idx="15">
                  <c:v>11.1. Mentoring</c:v>
                </c:pt>
                <c:pt idx="16">
                  <c:v>12. HR ODS &amp; MD</c:v>
                </c:pt>
                <c:pt idx="17">
                  <c:v>13. HR California</c:v>
                </c:pt>
                <c:pt idx="18">
                  <c:v>14. Insurance</c:v>
                </c:pt>
                <c:pt idx="19">
                  <c:v>15. Inventory maintenance</c:v>
                </c:pt>
                <c:pt idx="20">
                  <c:v>16. Management</c:v>
                </c:pt>
                <c:pt idx="21">
                  <c:v>17. Marketing</c:v>
                </c:pt>
                <c:pt idx="22">
                  <c:v>18. Meeting</c:v>
                </c:pt>
                <c:pt idx="23">
                  <c:v>19. Odessa office</c:v>
                </c:pt>
                <c:pt idx="24">
                  <c:v>20. Payroll</c:v>
                </c:pt>
                <c:pt idx="25">
                  <c:v>20.1. DS Forms</c:v>
                </c:pt>
                <c:pt idx="26">
                  <c:v>21. Purchase technology</c:v>
                </c:pt>
                <c:pt idx="27">
                  <c:v>22. Recruitment</c:v>
                </c:pt>
                <c:pt idx="28">
                  <c:v>22.1. Recruitment MD/ODS</c:v>
                </c:pt>
                <c:pt idx="29">
                  <c:v>22. Reports</c:v>
                </c:pt>
                <c:pt idx="30">
                  <c:v>23. Research</c:v>
                </c:pt>
                <c:pt idx="31">
                  <c:v>24. Scanning</c:v>
                </c:pt>
                <c:pt idx="32">
                  <c:v>24.1. Filing</c:v>
                </c:pt>
                <c:pt idx="33">
                  <c:v>25. Scheduling</c:v>
                </c:pt>
                <c:pt idx="34">
                  <c:v>26. Software</c:v>
                </c:pt>
                <c:pt idx="35">
                  <c:v>27. Technical maintenance</c:v>
                </c:pt>
                <c:pt idx="36">
                  <c:v>28. Technical support</c:v>
                </c:pt>
                <c:pt idx="37">
                  <c:v>29. Training</c:v>
                </c:pt>
                <c:pt idx="38">
                  <c:v>30. HIPAA</c:v>
                </c:pt>
              </c:strCache>
            </c:strRef>
          </c:cat>
          <c:val>
            <c:numRef>
              <c:f>IT!$U$4:$U$42</c:f>
              <c:numCache>
                <c:formatCode>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C4-41D5-8CD4-18855FA01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664440"/>
        <c:axId val="604663128"/>
      </c:barChart>
      <c:catAx>
        <c:axId val="604664440"/>
        <c:scaling>
          <c:orientation val="minMax"/>
        </c:scaling>
        <c:delete val="0"/>
        <c:axPos val="b"/>
        <c:majorTickMark val="out"/>
        <c:minorTickMark val="none"/>
        <c:tickLblPos val="nextTo"/>
        <c:crossAx val="604663128"/>
        <c:crosses val="autoZero"/>
        <c:auto val="1"/>
        <c:lblAlgn val="ctr"/>
        <c:lblOffset val="100"/>
        <c:tickLblSkip val="1"/>
        <c:noMultiLvlLbl val="0"/>
      </c:catAx>
      <c:valAx>
        <c:axId val="6046631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04664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5</xdr:row>
          <xdr:rowOff>19050</xdr:rowOff>
        </xdr:from>
        <xdr:to>
          <xdr:col>21</xdr:col>
          <xdr:colOff>9525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 Directories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22</xdr:col>
          <xdr:colOff>400050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9</xdr:row>
          <xdr:rowOff>19050</xdr:rowOff>
        </xdr:from>
        <xdr:to>
          <xdr:col>23</xdr:col>
          <xdr:colOff>600075</xdr:colOff>
          <xdr:row>13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COLLECTED DATA TO TABLES BY DEPARTMENTS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14</xdr:row>
          <xdr:rowOff>28575</xdr:rowOff>
        </xdr:from>
        <xdr:to>
          <xdr:col>21</xdr:col>
          <xdr:colOff>600075</xdr:colOff>
          <xdr:row>16</xdr:row>
          <xdr:rowOff>200025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18</xdr:row>
          <xdr:rowOff>0</xdr:rowOff>
        </xdr:from>
        <xdr:to>
          <xdr:col>25</xdr:col>
          <xdr:colOff>28575</xdr:colOff>
          <xdr:row>22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SIMPLE EXPORT BY DEPARTMENTS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57</xdr:row>
      <xdr:rowOff>0</xdr:rowOff>
    </xdr:from>
    <xdr:to>
      <xdr:col>11</xdr:col>
      <xdr:colOff>0</xdr:colOff>
      <xdr:row>83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57</xdr:row>
      <xdr:rowOff>0</xdr:rowOff>
    </xdr:from>
    <xdr:to>
      <xdr:col>11</xdr:col>
      <xdr:colOff>0</xdr:colOff>
      <xdr:row>83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57</xdr:row>
      <xdr:rowOff>0</xdr:rowOff>
    </xdr:from>
    <xdr:to>
      <xdr:col>11</xdr:col>
      <xdr:colOff>0</xdr:colOff>
      <xdr:row>83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57</xdr:row>
      <xdr:rowOff>0</xdr:rowOff>
    </xdr:from>
    <xdr:to>
      <xdr:col>21</xdr:col>
      <xdr:colOff>0</xdr:colOff>
      <xdr:row>83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57</xdr:row>
      <xdr:rowOff>0</xdr:rowOff>
    </xdr:from>
    <xdr:to>
      <xdr:col>11</xdr:col>
      <xdr:colOff>0</xdr:colOff>
      <xdr:row>83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57</xdr:row>
      <xdr:rowOff>0</xdr:rowOff>
    </xdr:from>
    <xdr:to>
      <xdr:col>21</xdr:col>
      <xdr:colOff>0</xdr:colOff>
      <xdr:row>83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45</xdr:row>
      <xdr:rowOff>0</xdr:rowOff>
    </xdr:from>
    <xdr:to>
      <xdr:col>21</xdr:col>
      <xdr:colOff>0</xdr:colOff>
      <xdr:row>71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45</xdr:row>
      <xdr:rowOff>0</xdr:rowOff>
    </xdr:from>
    <xdr:to>
      <xdr:col>31</xdr:col>
      <xdr:colOff>0</xdr:colOff>
      <xdr:row>71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45</xdr:row>
      <xdr:rowOff>0</xdr:rowOff>
    </xdr:from>
    <xdr:to>
      <xdr:col>41</xdr:col>
      <xdr:colOff>0</xdr:colOff>
      <xdr:row>71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0</xdr:colOff>
      <xdr:row>45</xdr:row>
      <xdr:rowOff>0</xdr:rowOff>
    </xdr:from>
    <xdr:to>
      <xdr:col>51</xdr:col>
      <xdr:colOff>0</xdr:colOff>
      <xdr:row>71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45</xdr:row>
      <xdr:rowOff>0</xdr:rowOff>
    </xdr:from>
    <xdr:to>
      <xdr:col>21</xdr:col>
      <xdr:colOff>0</xdr:colOff>
      <xdr:row>71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45</xdr:row>
      <xdr:rowOff>0</xdr:rowOff>
    </xdr:from>
    <xdr:to>
      <xdr:col>31</xdr:col>
      <xdr:colOff>0</xdr:colOff>
      <xdr:row>71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45</xdr:row>
      <xdr:rowOff>0</xdr:rowOff>
    </xdr:from>
    <xdr:to>
      <xdr:col>41</xdr:col>
      <xdr:colOff>0</xdr:colOff>
      <xdr:row>71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45</xdr:row>
      <xdr:rowOff>0</xdr:rowOff>
    </xdr:from>
    <xdr:to>
      <xdr:col>21</xdr:col>
      <xdr:colOff>0</xdr:colOff>
      <xdr:row>71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45</xdr:row>
      <xdr:rowOff>0</xdr:rowOff>
    </xdr:from>
    <xdr:to>
      <xdr:col>31</xdr:col>
      <xdr:colOff>0</xdr:colOff>
      <xdr:row>71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45</xdr:row>
      <xdr:rowOff>0</xdr:rowOff>
    </xdr:from>
    <xdr:to>
      <xdr:col>41</xdr:col>
      <xdr:colOff>0</xdr:colOff>
      <xdr:row>71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45</xdr:row>
      <xdr:rowOff>0</xdr:rowOff>
    </xdr:from>
    <xdr:to>
      <xdr:col>21</xdr:col>
      <xdr:colOff>0</xdr:colOff>
      <xdr:row>71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45</xdr:row>
      <xdr:rowOff>0</xdr:rowOff>
    </xdr:from>
    <xdr:to>
      <xdr:col>31</xdr:col>
      <xdr:colOff>0</xdr:colOff>
      <xdr:row>71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45</xdr:row>
      <xdr:rowOff>0</xdr:rowOff>
    </xdr:from>
    <xdr:to>
      <xdr:col>41</xdr:col>
      <xdr:colOff>0</xdr:colOff>
      <xdr:row>71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45</xdr:row>
      <xdr:rowOff>0</xdr:rowOff>
    </xdr:from>
    <xdr:to>
      <xdr:col>21</xdr:col>
      <xdr:colOff>0</xdr:colOff>
      <xdr:row>71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45</xdr:row>
      <xdr:rowOff>0</xdr:rowOff>
    </xdr:from>
    <xdr:to>
      <xdr:col>31</xdr:col>
      <xdr:colOff>0</xdr:colOff>
      <xdr:row>71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45</xdr:row>
      <xdr:rowOff>0</xdr:rowOff>
    </xdr:from>
    <xdr:to>
      <xdr:col>21</xdr:col>
      <xdr:colOff>0</xdr:colOff>
      <xdr:row>71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macrosProgram310_v0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Alexander%20Druzenko\310%20-%20Alexander%20Druzenko%20%20-%20Feb_2018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Andrew%20Novokhatkin\310%20-%20Andriy%20Novokhatkin%20-%20Feb_2018%20(Andrea%20BEST's%20conflicted%20copy%202018-02-01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Anna%20Fedorova\310%20-%20Anna%20Fedorova%20-%20Feb_2018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Galyna_Greniukh\310%20-%20Helen%20Greniukh%20-%20Feb_20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16%20MD_TX_CA\310%20-%20Andrii%20Kulbaba%20-%20Feb_2018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angela%20gorcea\310%20-%20Angela%20Gorcea%20-%20Feb_2018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ecaterina%20gurenco\310%20-%20Ecaterina%20Gurenco%20-%20Feb_2018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irina%20caldare\310%20-%20Irina%20Caldare%20-%20Feb_2018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natalia%20protiuc\310%20-%20Natalia%20Protiuc%20-%20Feb_2018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natalia%20slobozeanu\310%20-%20Natalia%20Slobozeanu%20-%20Feb_2018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Oxana%20Radzievici\310%20-%20Oxana%20Radzievici%20-%20Feb_2018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Petru%20Zatic\310%20-%20Petru%20Zatic%20-%20Feb_2018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Victor%20Boleac\310%20-%20Victor%20Boleac%20-%20Feb_2018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Nancy%20Loziienko\310%20-%20Nancy%20Loziienko%20-%20Feb_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tchCreate"/>
      <sheetName val="MAIN"/>
      <sheetName val="TOTAL"/>
      <sheetName val="MASTER"/>
      <sheetName val="MASTER TOTAL"/>
      <sheetName val="Categories"/>
    </sheetNames>
    <sheetDataSet>
      <sheetData sheetId="0"/>
      <sheetData sheetId="1">
        <row r="76">
          <cell r="O76" t="str">
            <v>O78:O98</v>
          </cell>
        </row>
        <row r="77">
          <cell r="O77" t="str">
            <v>Category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6.75</v>
          </cell>
        </row>
        <row r="41">
          <cell r="D41" t="str">
            <v>Total this month</v>
          </cell>
          <cell r="E41">
            <v>0.28125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14.75</v>
          </cell>
        </row>
        <row r="41">
          <cell r="D41" t="str">
            <v>Total this month</v>
          </cell>
          <cell r="E41">
            <v>0.40624999999999994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16</v>
          </cell>
        </row>
        <row r="41">
          <cell r="D41" t="str">
            <v>Total this month</v>
          </cell>
          <cell r="E41">
            <v>0.66666666666666674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8.2666666666666657</v>
          </cell>
        </row>
        <row r="41">
          <cell r="D41" t="str">
            <v>Total this month</v>
          </cell>
          <cell r="E41">
            <v>0.34444444444444444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16.316666666666663</v>
          </cell>
        </row>
        <row r="53">
          <cell r="D53" t="str">
            <v>Total this month</v>
          </cell>
          <cell r="E53">
            <v>0.67986111111111092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22.866666666666667</v>
          </cell>
        </row>
        <row r="41">
          <cell r="D41" t="str">
            <v>Total this month</v>
          </cell>
          <cell r="E41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7.6666666666666643</v>
          </cell>
        </row>
        <row r="41">
          <cell r="D41" t="str">
            <v>Total this month</v>
          </cell>
          <cell r="E41">
            <v>0.31944444444444436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10.766666666666662</v>
          </cell>
        </row>
        <row r="41">
          <cell r="D41" t="str">
            <v>Total this month</v>
          </cell>
          <cell r="E41">
            <v>0.44861111111111091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18.166666666666671</v>
          </cell>
        </row>
        <row r="41">
          <cell r="D41" t="str">
            <v>Total this month</v>
          </cell>
          <cell r="E41">
            <v>0.75694444444444453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18.983333333333334</v>
          </cell>
        </row>
        <row r="41">
          <cell r="D41" t="str">
            <v>Total this month</v>
          </cell>
          <cell r="E41">
            <v>0.79097222222222208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15.999999999999998</v>
          </cell>
        </row>
        <row r="41">
          <cell r="D41" t="str">
            <v>Total this month</v>
          </cell>
          <cell r="E41">
            <v>0.66666666666666652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4.2499999999999982</v>
          </cell>
        </row>
        <row r="41">
          <cell r="D41" t="str">
            <v>Total this month</v>
          </cell>
          <cell r="E41">
            <v>0.17708333333333326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8.56666666666667</v>
          </cell>
        </row>
        <row r="41">
          <cell r="D41" t="str">
            <v>Total this month</v>
          </cell>
          <cell r="E41">
            <v>0.35694444444444456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Categories"/>
    </sheetNames>
    <sheetDataSet>
      <sheetData sheetId="0"/>
      <sheetData sheetId="1">
        <row r="2">
          <cell r="A2">
            <v>15.999999999999996</v>
          </cell>
        </row>
        <row r="41">
          <cell r="D41" t="str">
            <v>Total this month</v>
          </cell>
          <cell r="E41">
            <v>0.66666666666666652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tables/table1.xml><?xml version="1.0" encoding="utf-8"?>
<table xmlns="http://schemas.openxmlformats.org/spreadsheetml/2006/main" id="2" name="BatchList" displayName="BatchList" ref="B2:R32" totalsRowShown="0" dataDxfId="18">
  <autoFilter ref="B2:R32"/>
  <tableColumns count="17">
    <tableColumn id="1" name="First and Last Name"/>
    <tableColumn id="2" name="Month" dataDxfId="10"/>
    <tableColumn id="3" name="Year" dataDxfId="9"/>
    <tableColumn id="4" name="CA/TX" dataDxfId="8"/>
    <tableColumn id="5" name="d" dataDxfId="2">
      <calculatedColumnFormula>MATCH(C3,$C$46:$C$57,0)</calculatedColumnFormula>
    </tableColumn>
    <tableColumn id="6" name="da" dataDxfId="7">
      <calculatedColumnFormula>CONCATENATE(F3,"/","01","/",D3)</calculatedColumnFormula>
    </tableColumn>
    <tableColumn id="7" name="dda" dataDxfId="6">
      <calculatedColumnFormula>DATEVALUE(G3)</calculatedColumnFormula>
    </tableColumn>
    <tableColumn id="8" name="weekday" dataDxfId="5">
      <calculatedColumnFormula>WEEKDAY(H3,2)</calculatedColumnFormula>
    </tableColumn>
    <tableColumn id="9" name="maxday" dataDxfId="4">
      <calculatedColumnFormula>DAY(EOMONTH($H3,0))</calculatedColumnFormula>
    </tableColumn>
    <tableColumn id="10" name="Folder Location" dataDxfId="3"/>
    <tableColumn id="11" name="FileName" dataDxfId="17">
      <calculatedColumnFormula>CONCATENATE("310 - ",[1]!BatchList[First and Last Name]," - ",LEFT([1]!BatchList[Month],3),"_",[1]!BatchList[Year])</calculatedColumnFormula>
    </tableColumn>
    <tableColumn id="12" name="TaxiService" dataDxfId="16"/>
    <tableColumn id="13" name="FinalFolder" dataDxfId="15">
      <calculatedColumnFormula>CONCATENATE([1]!BatchList[Folder Location],"\",[1]!BatchList[FileName],".xlsx")</calculatedColumnFormula>
    </tableColumn>
    <tableColumn id="14" name="AddFileName" dataDxfId="14">
      <calculatedColumnFormula>CONCATENATE([1]!BatchList[Folder Location],"\",[1]!BatchList[FileName],"_NEWLY_ADDED",".xlsx")</calculatedColumnFormula>
    </tableColumn>
    <tableColumn id="15" name="Added" dataDxfId="13"/>
    <tableColumn id="16" name="NoData" dataDxfId="12"/>
    <tableColumn id="19" name="AltFileName by Date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P7"/>
  <sheetViews>
    <sheetView topLeftCell="AR1" workbookViewId="0">
      <selection activeCell="BB2" sqref="BB2:FB2"/>
    </sheetView>
  </sheetViews>
  <sheetFormatPr defaultRowHeight="15" x14ac:dyDescent="0.25"/>
  <cols>
    <col min="2" max="2" width="8.5703125" customWidth="1"/>
    <col min="8" max="8" width="11" customWidth="1"/>
    <col min="9" max="10" width="11.42578125" customWidth="1"/>
    <col min="11" max="11" width="10.85546875" customWidth="1"/>
    <col min="12" max="12" width="12.85546875" customWidth="1"/>
  </cols>
  <sheetData>
    <row r="1" spans="1:198" ht="15.75" thickBot="1" x14ac:dyDescent="0.3">
      <c r="A1" s="58">
        <v>2</v>
      </c>
      <c r="B1" s="58">
        <v>1</v>
      </c>
      <c r="C1">
        <f ca="1">YEAR(NOW())</f>
        <v>2018</v>
      </c>
      <c r="E1" t="str">
        <f ca="1">CONCATENATE(A1,"-",B1,"-",C1)</f>
        <v>2-1-2018</v>
      </c>
      <c r="F1">
        <f ca="1">WEEKDAY(DATE(C1,A1,B1))</f>
        <v>5</v>
      </c>
      <c r="H1" s="59">
        <f ca="1">DATEVALUE(E1)-WEEKDAY(DATEVALUE(E1),1)+7</f>
        <v>43134</v>
      </c>
    </row>
    <row r="2" spans="1:198" ht="15.75" thickBot="1" x14ac:dyDescent="0.3">
      <c r="A2" s="58">
        <v>2</v>
      </c>
      <c r="B2">
        <v>2</v>
      </c>
      <c r="C2" s="37">
        <f ca="1">YEAR(NOW())</f>
        <v>2018</v>
      </c>
      <c r="E2" s="37" t="str">
        <f t="shared" ref="E2:E7" ca="1" si="0">CONCATENATE(A2,"-",B2,"-",C2)</f>
        <v>2-2-2018</v>
      </c>
      <c r="F2" s="37">
        <f t="shared" ref="F2:F7" ca="1" si="1">WEEKDAY(DATE(C2,A2,B2))</f>
        <v>6</v>
      </c>
      <c r="H2" s="60">
        <f ca="1">IF(MONTH(H1+7)=MONTH(H1), H1+7, "")</f>
        <v>43141</v>
      </c>
      <c r="BB2" s="65">
        <f ca="1">SunDates!$H1</f>
        <v>43134</v>
      </c>
      <c r="BC2" s="66"/>
      <c r="BD2" s="65">
        <f ca="1">SunDates!$H2</f>
        <v>43141</v>
      </c>
      <c r="BE2" s="66"/>
      <c r="BF2" s="65">
        <f ca="1">SunDates!$H3</f>
        <v>43148</v>
      </c>
      <c r="BG2" s="66"/>
      <c r="BH2" s="65">
        <f ca="1">SunDates!$H4</f>
        <v>43155</v>
      </c>
      <c r="BI2" s="66"/>
      <c r="BJ2" s="65">
        <f ca="1">SunDates!$H5</f>
        <v>43159</v>
      </c>
      <c r="BK2" s="66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  <c r="DV2" s="64"/>
      <c r="DW2" s="64"/>
      <c r="DX2" s="64"/>
      <c r="DY2" s="64"/>
      <c r="DZ2" s="64"/>
      <c r="EA2" s="64"/>
      <c r="EB2" s="64"/>
      <c r="EC2" s="64"/>
      <c r="ED2" s="64"/>
      <c r="EE2" s="64"/>
      <c r="EF2" s="64"/>
      <c r="EG2" s="64"/>
      <c r="EH2" s="64"/>
      <c r="EI2" s="64"/>
      <c r="EJ2" s="64"/>
      <c r="EK2" s="64"/>
      <c r="EL2" s="64"/>
      <c r="EM2" s="64"/>
      <c r="EN2" s="64"/>
      <c r="EO2" s="64"/>
      <c r="EP2" s="64"/>
      <c r="EQ2" s="64"/>
      <c r="ER2" s="64"/>
      <c r="ES2" s="64"/>
      <c r="ET2" s="64"/>
      <c r="EU2" s="64"/>
      <c r="EV2" s="64"/>
      <c r="EW2" s="64"/>
      <c r="EX2" s="64"/>
      <c r="EY2" s="64"/>
      <c r="EZ2" s="64"/>
      <c r="FA2" s="64"/>
      <c r="FB2" s="64"/>
      <c r="FC2" s="38"/>
      <c r="FD2" s="38"/>
      <c r="FE2" s="38"/>
      <c r="FF2" s="38"/>
      <c r="FG2" s="38"/>
      <c r="FH2" s="38"/>
      <c r="FI2" s="38"/>
      <c r="FJ2" s="38"/>
      <c r="FK2" s="38"/>
      <c r="FL2" s="38"/>
      <c r="FM2" s="38"/>
      <c r="FN2" s="38"/>
      <c r="FO2" s="38"/>
      <c r="FP2" s="38"/>
      <c r="FQ2" s="38"/>
      <c r="FR2" s="38"/>
      <c r="FS2" s="38"/>
      <c r="FT2" s="38"/>
      <c r="FU2" s="38"/>
      <c r="FV2" s="38"/>
      <c r="FW2" s="38"/>
      <c r="FX2" s="38"/>
      <c r="FY2" s="38"/>
      <c r="FZ2" s="38"/>
      <c r="GA2" s="38"/>
      <c r="GB2" s="38"/>
      <c r="GC2" s="38"/>
      <c r="GD2" s="38"/>
      <c r="GE2" s="38"/>
      <c r="GF2" s="38"/>
      <c r="GG2" s="38"/>
      <c r="GH2" s="38"/>
      <c r="GI2" s="38"/>
      <c r="GJ2" s="38"/>
      <c r="GK2" s="38"/>
      <c r="GL2" s="38"/>
      <c r="GM2" s="38"/>
      <c r="GN2" s="38"/>
      <c r="GO2" s="38"/>
      <c r="GP2" s="38"/>
    </row>
    <row r="3" spans="1:198" ht="15.75" thickBot="1" x14ac:dyDescent="0.3">
      <c r="A3" s="58">
        <v>2</v>
      </c>
      <c r="B3" s="58">
        <v>3</v>
      </c>
      <c r="C3" s="37">
        <f t="shared" ref="C3:C7" ca="1" si="2">YEAR(NOW())</f>
        <v>2018</v>
      </c>
      <c r="E3" s="37" t="str">
        <f t="shared" ca="1" si="0"/>
        <v>2-3-2018</v>
      </c>
      <c r="F3" s="37">
        <f t="shared" ca="1" si="1"/>
        <v>7</v>
      </c>
      <c r="H3" s="60">
        <f t="shared" ref="H3" ca="1" si="3">IF(MONTH(H2+7)=MONTH(H2), H2+7, "")</f>
        <v>43148</v>
      </c>
    </row>
    <row r="4" spans="1:198" ht="15.75" thickBot="1" x14ac:dyDescent="0.3">
      <c r="A4" s="58">
        <v>2</v>
      </c>
      <c r="B4" s="37">
        <v>4</v>
      </c>
      <c r="C4" s="37">
        <f t="shared" ca="1" si="2"/>
        <v>2018</v>
      </c>
      <c r="E4" s="37" t="str">
        <f t="shared" ca="1" si="0"/>
        <v>2-4-2018</v>
      </c>
      <c r="F4" s="37">
        <f t="shared" ca="1" si="1"/>
        <v>1</v>
      </c>
      <c r="H4" s="60">
        <f ca="1">IF(MONTH(H3+7)=MONTH(H3), H3+7, EOMONTH(H1,0))</f>
        <v>43155</v>
      </c>
    </row>
    <row r="5" spans="1:198" ht="15.75" thickBot="1" x14ac:dyDescent="0.3">
      <c r="A5" s="58">
        <v>2</v>
      </c>
      <c r="B5" s="58">
        <v>5</v>
      </c>
      <c r="C5" s="37">
        <f t="shared" ca="1" si="2"/>
        <v>2018</v>
      </c>
      <c r="E5" s="37" t="str">
        <f t="shared" ca="1" si="0"/>
        <v>2-5-2018</v>
      </c>
      <c r="F5" s="37">
        <f t="shared" ca="1" si="1"/>
        <v>2</v>
      </c>
      <c r="H5" s="60">
        <f ca="1">IF(MONTH(H4+7)=MONTH(H4), H4+7, IF(H4&lt;&gt;EOMONTH(H1,0),EOMONTH(H1,0),""))</f>
        <v>43159</v>
      </c>
    </row>
    <row r="6" spans="1:198" x14ac:dyDescent="0.25">
      <c r="A6" s="58">
        <v>2</v>
      </c>
      <c r="B6" s="37">
        <v>6</v>
      </c>
      <c r="C6" s="37">
        <f t="shared" ca="1" si="2"/>
        <v>2018</v>
      </c>
      <c r="E6" s="37" t="str">
        <f t="shared" ca="1" si="0"/>
        <v>2-6-2018</v>
      </c>
      <c r="F6" s="37">
        <f t="shared" ca="1" si="1"/>
        <v>3</v>
      </c>
    </row>
    <row r="7" spans="1:198" x14ac:dyDescent="0.25">
      <c r="A7" s="58">
        <v>2</v>
      </c>
      <c r="B7" s="58">
        <v>7</v>
      </c>
      <c r="C7" s="37">
        <f t="shared" ca="1" si="2"/>
        <v>2018</v>
      </c>
      <c r="E7" s="37" t="str">
        <f t="shared" ca="1" si="0"/>
        <v>2-7-2018</v>
      </c>
      <c r="F7" s="37">
        <f t="shared" ca="1" si="1"/>
        <v>4</v>
      </c>
    </row>
  </sheetData>
  <mergeCells count="5">
    <mergeCell ref="BB2:BC2"/>
    <mergeCell ref="BD2:BE2"/>
    <mergeCell ref="BF2:BG2"/>
    <mergeCell ref="BH2:BI2"/>
    <mergeCell ref="BJ2:B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I92"/>
  <sheetViews>
    <sheetView workbookViewId="0">
      <selection activeCell="G20" sqref="G20"/>
    </sheetView>
  </sheetViews>
  <sheetFormatPr defaultRowHeight="15" x14ac:dyDescent="0.25"/>
  <cols>
    <col min="1" max="1" width="3.42578125" style="24" bestFit="1" customWidth="1"/>
    <col min="2" max="8" width="9.140625" style="24"/>
    <col min="9" max="9" width="34.28515625" style="24" bestFit="1" customWidth="1"/>
    <col min="10" max="16384" width="9.140625" style="24"/>
  </cols>
  <sheetData>
    <row r="1" spans="1:9" x14ac:dyDescent="0.25">
      <c r="I1" s="25" t="s">
        <v>223</v>
      </c>
    </row>
    <row r="2" spans="1:9" x14ac:dyDescent="0.25">
      <c r="I2" s="75" t="s">
        <v>224</v>
      </c>
    </row>
    <row r="3" spans="1:9" x14ac:dyDescent="0.25">
      <c r="I3" s="75" t="s">
        <v>225</v>
      </c>
    </row>
    <row r="4" spans="1:9" x14ac:dyDescent="0.25">
      <c r="I4" s="75" t="s">
        <v>226</v>
      </c>
    </row>
    <row r="5" spans="1:9" x14ac:dyDescent="0.25">
      <c r="I5" s="26" t="s">
        <v>63</v>
      </c>
    </row>
    <row r="6" spans="1:9" x14ac:dyDescent="0.25">
      <c r="I6" s="26" t="s">
        <v>64</v>
      </c>
    </row>
    <row r="7" spans="1:9" x14ac:dyDescent="0.25">
      <c r="I7" s="26" t="s">
        <v>65</v>
      </c>
    </row>
    <row r="8" spans="1:9" x14ac:dyDescent="0.25">
      <c r="I8" s="26" t="s">
        <v>66</v>
      </c>
    </row>
    <row r="9" spans="1:9" x14ac:dyDescent="0.25">
      <c r="I9" s="26" t="s">
        <v>67</v>
      </c>
    </row>
    <row r="10" spans="1:9" x14ac:dyDescent="0.25">
      <c r="A10" s="24" t="s">
        <v>15</v>
      </c>
      <c r="I10" s="26" t="s">
        <v>68</v>
      </c>
    </row>
    <row r="11" spans="1:9" x14ac:dyDescent="0.25">
      <c r="A11" s="24" t="s">
        <v>31</v>
      </c>
      <c r="I11" s="26" t="s">
        <v>69</v>
      </c>
    </row>
    <row r="12" spans="1:9" x14ac:dyDescent="0.25">
      <c r="I12" s="26" t="s">
        <v>131</v>
      </c>
    </row>
    <row r="13" spans="1:9" x14ac:dyDescent="0.25">
      <c r="I13" s="26" t="s">
        <v>132</v>
      </c>
    </row>
    <row r="14" spans="1:9" x14ac:dyDescent="0.25">
      <c r="I14" s="26" t="s">
        <v>133</v>
      </c>
    </row>
    <row r="15" spans="1:9" x14ac:dyDescent="0.25">
      <c r="I15" s="26" t="s">
        <v>134</v>
      </c>
    </row>
    <row r="16" spans="1:9" s="38" customFormat="1" x14ac:dyDescent="0.25">
      <c r="I16" s="26" t="s">
        <v>191</v>
      </c>
    </row>
    <row r="17" spans="9:9" s="38" customFormat="1" x14ac:dyDescent="0.25">
      <c r="I17" s="26" t="s">
        <v>135</v>
      </c>
    </row>
    <row r="18" spans="9:9" x14ac:dyDescent="0.25">
      <c r="I18" s="26" t="s">
        <v>136</v>
      </c>
    </row>
    <row r="19" spans="9:9" x14ac:dyDescent="0.25">
      <c r="I19" s="26" t="s">
        <v>137</v>
      </c>
    </row>
    <row r="20" spans="9:9" x14ac:dyDescent="0.25">
      <c r="I20" s="26" t="s">
        <v>138</v>
      </c>
    </row>
    <row r="21" spans="9:9" x14ac:dyDescent="0.25">
      <c r="I21" s="26" t="s">
        <v>139</v>
      </c>
    </row>
    <row r="22" spans="9:9" x14ac:dyDescent="0.25">
      <c r="I22" s="26" t="s">
        <v>140</v>
      </c>
    </row>
    <row r="23" spans="9:9" x14ac:dyDescent="0.25">
      <c r="I23" s="26" t="s">
        <v>141</v>
      </c>
    </row>
    <row r="24" spans="9:9" x14ac:dyDescent="0.25">
      <c r="I24" s="26" t="s">
        <v>142</v>
      </c>
    </row>
    <row r="25" spans="9:9" x14ac:dyDescent="0.25">
      <c r="I25" s="26" t="s">
        <v>143</v>
      </c>
    </row>
    <row r="26" spans="9:9" x14ac:dyDescent="0.25">
      <c r="I26" s="26" t="s">
        <v>192</v>
      </c>
    </row>
    <row r="27" spans="9:9" x14ac:dyDescent="0.25">
      <c r="I27" s="26" t="s">
        <v>144</v>
      </c>
    </row>
    <row r="28" spans="9:9" x14ac:dyDescent="0.25">
      <c r="I28" s="26" t="s">
        <v>145</v>
      </c>
    </row>
    <row r="29" spans="9:9" x14ac:dyDescent="0.25">
      <c r="I29" s="26" t="s">
        <v>146</v>
      </c>
    </row>
    <row r="30" spans="9:9" x14ac:dyDescent="0.25">
      <c r="I30" s="27" t="s">
        <v>72</v>
      </c>
    </row>
    <row r="31" spans="9:9" x14ac:dyDescent="0.25">
      <c r="I31" s="27" t="s">
        <v>73</v>
      </c>
    </row>
    <row r="32" spans="9:9" x14ac:dyDescent="0.25">
      <c r="I32" s="27" t="s">
        <v>74</v>
      </c>
    </row>
    <row r="33" spans="9:9" x14ac:dyDescent="0.25">
      <c r="I33" s="27" t="s">
        <v>75</v>
      </c>
    </row>
    <row r="34" spans="9:9" x14ac:dyDescent="0.25">
      <c r="I34" s="27" t="s">
        <v>76</v>
      </c>
    </row>
    <row r="35" spans="9:9" x14ac:dyDescent="0.25">
      <c r="I35" s="27" t="s">
        <v>77</v>
      </c>
    </row>
    <row r="36" spans="9:9" x14ac:dyDescent="0.25">
      <c r="I36" s="27" t="s">
        <v>78</v>
      </c>
    </row>
    <row r="37" spans="9:9" ht="15.75" thickBot="1" x14ac:dyDescent="0.3">
      <c r="I37" s="28" t="s">
        <v>79</v>
      </c>
    </row>
    <row r="38" spans="9:9" ht="15.75" thickBot="1" x14ac:dyDescent="0.3">
      <c r="I38" s="28" t="s">
        <v>80</v>
      </c>
    </row>
    <row r="39" spans="9:9" ht="15.75" thickBot="1" x14ac:dyDescent="0.3">
      <c r="I39" s="28" t="s">
        <v>227</v>
      </c>
    </row>
    <row r="40" spans="9:9" x14ac:dyDescent="0.25">
      <c r="I40" s="64"/>
    </row>
    <row r="41" spans="9:9" x14ac:dyDescent="0.25">
      <c r="I41" s="64" t="s">
        <v>147</v>
      </c>
    </row>
    <row r="42" spans="9:9" x14ac:dyDescent="0.25">
      <c r="I42" s="29" t="s">
        <v>81</v>
      </c>
    </row>
    <row r="43" spans="9:9" x14ac:dyDescent="0.25">
      <c r="I43" s="29" t="s">
        <v>82</v>
      </c>
    </row>
    <row r="44" spans="9:9" x14ac:dyDescent="0.25">
      <c r="I44" s="29" t="s">
        <v>83</v>
      </c>
    </row>
    <row r="45" spans="9:9" x14ac:dyDescent="0.25">
      <c r="I45" s="29" t="s">
        <v>84</v>
      </c>
    </row>
    <row r="46" spans="9:9" x14ac:dyDescent="0.25">
      <c r="I46" s="29" t="s">
        <v>85</v>
      </c>
    </row>
    <row r="47" spans="9:9" x14ac:dyDescent="0.25">
      <c r="I47" s="29" t="s">
        <v>86</v>
      </c>
    </row>
    <row r="48" spans="9:9" x14ac:dyDescent="0.25">
      <c r="I48" s="29" t="s">
        <v>87</v>
      </c>
    </row>
    <row r="49" spans="9:9" x14ac:dyDescent="0.25">
      <c r="I49" s="29" t="s">
        <v>88</v>
      </c>
    </row>
    <row r="50" spans="9:9" x14ac:dyDescent="0.25">
      <c r="I50" s="29" t="s">
        <v>89</v>
      </c>
    </row>
    <row r="51" spans="9:9" x14ac:dyDescent="0.25">
      <c r="I51" s="29" t="s">
        <v>90</v>
      </c>
    </row>
    <row r="52" spans="9:9" x14ac:dyDescent="0.25">
      <c r="I52" s="29" t="s">
        <v>91</v>
      </c>
    </row>
    <row r="53" spans="9:9" x14ac:dyDescent="0.25">
      <c r="I53" s="29" t="s">
        <v>92</v>
      </c>
    </row>
    <row r="54" spans="9:9" x14ac:dyDescent="0.25">
      <c r="I54" s="29" t="s">
        <v>93</v>
      </c>
    </row>
    <row r="55" spans="9:9" x14ac:dyDescent="0.25">
      <c r="I55" s="29" t="s">
        <v>94</v>
      </c>
    </row>
    <row r="56" spans="9:9" x14ac:dyDescent="0.25">
      <c r="I56" s="29" t="s">
        <v>95</v>
      </c>
    </row>
    <row r="57" spans="9:9" x14ac:dyDescent="0.25">
      <c r="I57" s="29" t="s">
        <v>96</v>
      </c>
    </row>
    <row r="58" spans="9:9" x14ac:dyDescent="0.25">
      <c r="I58" s="29" t="s">
        <v>97</v>
      </c>
    </row>
    <row r="59" spans="9:9" x14ac:dyDescent="0.25">
      <c r="I59" s="30" t="s">
        <v>148</v>
      </c>
    </row>
    <row r="60" spans="9:9" x14ac:dyDescent="0.25">
      <c r="I60" s="30" t="s">
        <v>149</v>
      </c>
    </row>
    <row r="61" spans="9:9" ht="25.5" x14ac:dyDescent="0.25">
      <c r="I61" s="30" t="s">
        <v>150</v>
      </c>
    </row>
    <row r="62" spans="9:9" x14ac:dyDescent="0.25">
      <c r="I62" s="30" t="s">
        <v>151</v>
      </c>
    </row>
    <row r="63" spans="9:9" ht="25.5" x14ac:dyDescent="0.25">
      <c r="I63" s="30" t="s">
        <v>152</v>
      </c>
    </row>
    <row r="64" spans="9:9" x14ac:dyDescent="0.25">
      <c r="I64" s="31" t="s">
        <v>153</v>
      </c>
    </row>
    <row r="65" spans="9:9" x14ac:dyDescent="0.25">
      <c r="I65" s="29" t="s">
        <v>98</v>
      </c>
    </row>
    <row r="66" spans="9:9" x14ac:dyDescent="0.25">
      <c r="I66" s="29" t="s">
        <v>99</v>
      </c>
    </row>
    <row r="67" spans="9:9" x14ac:dyDescent="0.25">
      <c r="I67" s="30" t="s">
        <v>154</v>
      </c>
    </row>
    <row r="68" spans="9:9" x14ac:dyDescent="0.25">
      <c r="I68" s="30" t="s">
        <v>155</v>
      </c>
    </row>
    <row r="69" spans="9:9" x14ac:dyDescent="0.25">
      <c r="I69" s="30" t="s">
        <v>156</v>
      </c>
    </row>
    <row r="70" spans="9:9" x14ac:dyDescent="0.25">
      <c r="I70" s="30" t="s">
        <v>157</v>
      </c>
    </row>
    <row r="71" spans="9:9" x14ac:dyDescent="0.25">
      <c r="I71" s="30" t="s">
        <v>158</v>
      </c>
    </row>
    <row r="72" spans="9:9" x14ac:dyDescent="0.25">
      <c r="I72" s="29" t="s">
        <v>100</v>
      </c>
    </row>
    <row r="73" spans="9:9" x14ac:dyDescent="0.25">
      <c r="I73" s="29" t="s">
        <v>101</v>
      </c>
    </row>
    <row r="74" spans="9:9" x14ac:dyDescent="0.25">
      <c r="I74" s="29" t="s">
        <v>102</v>
      </c>
    </row>
    <row r="75" spans="9:9" x14ac:dyDescent="0.25">
      <c r="I75" s="29" t="s">
        <v>103</v>
      </c>
    </row>
    <row r="76" spans="9:9" x14ac:dyDescent="0.25">
      <c r="I76" s="29" t="s">
        <v>104</v>
      </c>
    </row>
    <row r="77" spans="9:9" x14ac:dyDescent="0.25">
      <c r="I77" s="32" t="s">
        <v>105</v>
      </c>
    </row>
    <row r="78" spans="9:9" x14ac:dyDescent="0.25">
      <c r="I78" s="32" t="s">
        <v>106</v>
      </c>
    </row>
    <row r="79" spans="9:9" x14ac:dyDescent="0.25">
      <c r="I79" s="32" t="s">
        <v>107</v>
      </c>
    </row>
    <row r="80" spans="9:9" x14ac:dyDescent="0.25">
      <c r="I80" s="32" t="s">
        <v>108</v>
      </c>
    </row>
    <row r="81" spans="9:9" x14ac:dyDescent="0.25">
      <c r="I81" s="32" t="s">
        <v>109</v>
      </c>
    </row>
    <row r="82" spans="9:9" x14ac:dyDescent="0.25">
      <c r="I82" s="32" t="s">
        <v>110</v>
      </c>
    </row>
    <row r="83" spans="9:9" x14ac:dyDescent="0.25">
      <c r="I83" s="32" t="s">
        <v>111</v>
      </c>
    </row>
    <row r="84" spans="9:9" x14ac:dyDescent="0.25">
      <c r="I84" s="32" t="s">
        <v>112</v>
      </c>
    </row>
    <row r="85" spans="9:9" x14ac:dyDescent="0.25">
      <c r="I85" s="29" t="s">
        <v>71</v>
      </c>
    </row>
    <row r="86" spans="9:9" x14ac:dyDescent="0.25">
      <c r="I86" s="33" t="s">
        <v>159</v>
      </c>
    </row>
    <row r="87" spans="9:9" x14ac:dyDescent="0.25">
      <c r="I87" s="76" t="s">
        <v>228</v>
      </c>
    </row>
    <row r="88" spans="9:9" x14ac:dyDescent="0.25">
      <c r="I88" s="34" t="s">
        <v>229</v>
      </c>
    </row>
    <row r="89" spans="9:9" x14ac:dyDescent="0.25">
      <c r="I89" s="34" t="s">
        <v>230</v>
      </c>
    </row>
    <row r="90" spans="9:9" x14ac:dyDescent="0.25">
      <c r="I90" s="35" t="s">
        <v>231</v>
      </c>
    </row>
    <row r="91" spans="9:9" x14ac:dyDescent="0.25">
      <c r="I91" s="36" t="s">
        <v>232</v>
      </c>
    </row>
    <row r="92" spans="9:9" x14ac:dyDescent="0.25">
      <c r="I92" s="29" t="s">
        <v>233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R57"/>
  <sheetViews>
    <sheetView tabSelected="1" topLeftCell="K1" workbookViewId="0">
      <selection activeCell="P11" sqref="P11"/>
    </sheetView>
  </sheetViews>
  <sheetFormatPr defaultRowHeight="15" x14ac:dyDescent="0.25"/>
  <cols>
    <col min="2" max="2" width="20.28515625" customWidth="1"/>
    <col min="3" max="3" width="10.28515625" bestFit="1" customWidth="1"/>
    <col min="4" max="4" width="5.5703125" customWidth="1"/>
    <col min="5" max="5" width="4.140625" customWidth="1"/>
    <col min="6" max="6" width="3.28515625" customWidth="1"/>
    <col min="7" max="7" width="11.28515625" bestFit="1" customWidth="1"/>
    <col min="8" max="8" width="6.7109375" customWidth="1"/>
    <col min="9" max="9" width="2.140625" customWidth="1"/>
    <col min="10" max="10" width="11.140625" customWidth="1"/>
    <col min="12" max="12" width="21.28515625" customWidth="1"/>
    <col min="14" max="14" width="40.7109375" customWidth="1"/>
    <col min="18" max="18" width="14.28515625" customWidth="1"/>
  </cols>
  <sheetData>
    <row r="2" spans="2:18" ht="15.75" thickBot="1" x14ac:dyDescent="0.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70</v>
      </c>
      <c r="Q2" t="s">
        <v>113</v>
      </c>
      <c r="R2" t="s">
        <v>114</v>
      </c>
    </row>
    <row r="3" spans="2:18" ht="16.5" thickBot="1" x14ac:dyDescent="0.3">
      <c r="B3" s="1" t="s">
        <v>14</v>
      </c>
      <c r="C3" s="2" t="s">
        <v>179</v>
      </c>
      <c r="D3" s="2">
        <v>2018</v>
      </c>
      <c r="E3" s="2" t="s">
        <v>15</v>
      </c>
      <c r="F3" s="3">
        <f t="shared" ref="F3:F32" si="0">MATCH(C3,$C$46:$C$57,0)</f>
        <v>2</v>
      </c>
      <c r="G3" s="3" t="str">
        <f t="shared" ref="G3:G32" si="1">CONCATENATE(F3,"/","01","/",D3)</f>
        <v>2/01/2018</v>
      </c>
      <c r="H3" s="3">
        <f t="shared" ref="H3:H32" si="2">DATEVALUE(G3)</f>
        <v>43132</v>
      </c>
      <c r="I3" s="3">
        <f t="shared" ref="I3:I32" si="3">WEEKDAY(H3,2)</f>
        <v>4</v>
      </c>
      <c r="J3" s="3">
        <f t="shared" ref="J3:J32" si="4">DAY(EOMONTH($H3,0))</f>
        <v>28</v>
      </c>
      <c r="K3" s="3" t="s">
        <v>16</v>
      </c>
      <c r="L3" s="3" t="str">
        <f>CONCATENATE("310 - ",BatchList[First and Last Name]," - ",LEFT(BatchList[Month],3),"_",BatchList[Year])</f>
        <v>310 - Alexander Druzenko  - Feb_2018</v>
      </c>
      <c r="M3" s="3">
        <v>3</v>
      </c>
      <c r="N3" s="3" t="str">
        <f>CONCATENATE(BatchList[Folder Location],"\",BatchList[FileName],".xlsx")</f>
        <v>E:\Dropbox (BEST)\002 data base\0300 Data base - Bureaucracy\Odessa Branch\310\310_Alexander Druzenko\310 - Alexander Druzenko  - Feb_2018.xlsx</v>
      </c>
      <c r="O3" s="4" t="str">
        <f>CONCATENATE(BatchList[Folder Location],"\",BatchList[FileName],"_NEWLY_ADDED",".xlsx")</f>
        <v>E:\Dropbox (BEST)\002 data base\0300 Data base - Bureaucracy\Odessa Branch\310\310_Alexander Druzenko\310 - Alexander Druzenko  - Feb_2018_NEWLY_ADDED.xlsx</v>
      </c>
      <c r="P3" s="4">
        <v>1</v>
      </c>
      <c r="Q3" s="4">
        <v>0</v>
      </c>
      <c r="R3" s="4" t="s">
        <v>195</v>
      </c>
    </row>
    <row r="4" spans="2:18" ht="16.5" thickBot="1" x14ac:dyDescent="0.3">
      <c r="B4" s="5" t="s">
        <v>17</v>
      </c>
      <c r="C4" s="2" t="s">
        <v>179</v>
      </c>
      <c r="D4" s="2">
        <v>2018</v>
      </c>
      <c r="E4" s="6" t="s">
        <v>15</v>
      </c>
      <c r="F4" s="6">
        <f t="shared" si="0"/>
        <v>2</v>
      </c>
      <c r="G4" s="6" t="str">
        <f t="shared" si="1"/>
        <v>2/01/2018</v>
      </c>
      <c r="H4" s="6">
        <f t="shared" si="2"/>
        <v>43132</v>
      </c>
      <c r="I4" s="6">
        <f t="shared" si="3"/>
        <v>4</v>
      </c>
      <c r="J4" s="6">
        <f t="shared" si="4"/>
        <v>28</v>
      </c>
      <c r="K4" s="6" t="s">
        <v>18</v>
      </c>
      <c r="L4" s="6" t="str">
        <f>CONCATENATE("310 - ",BatchList[First and Last Name]," - ",LEFT(BatchList[Month],3),"_",BatchList[Year])</f>
        <v>310 - Andriy Novokhatkin - Feb_2018</v>
      </c>
      <c r="M4" s="6">
        <v>3</v>
      </c>
      <c r="N4" s="6" t="str">
        <f>CONCATENATE(BatchList[Folder Location],"\",BatchList[FileName],".xlsx")</f>
        <v>E:\Dropbox (BEST)\002 data base\0300 Data base - Bureaucracy\Odessa Branch\310\310_Andrew Novokhatkin\310 - Andriy Novokhatkin - Feb_2018.xlsx</v>
      </c>
      <c r="O4" s="2" t="str">
        <f>CONCATENATE(BatchList[Folder Location],"\",BatchList[FileName],"_NEWLY_ADDED",".xlsx")</f>
        <v>E:\Dropbox (BEST)\002 data base\0300 Data base - Bureaucracy\Odessa Branch\310\310_Andrew Novokhatkin\310 - Andriy Novokhatkin - Feb_2018_NEWLY_ADDED.xlsx</v>
      </c>
      <c r="P4" s="2">
        <v>1</v>
      </c>
      <c r="Q4" s="2">
        <v>0</v>
      </c>
      <c r="R4" s="2" t="s">
        <v>196</v>
      </c>
    </row>
    <row r="5" spans="2:18" ht="16.5" thickBot="1" x14ac:dyDescent="0.3">
      <c r="B5" s="7" t="s">
        <v>19</v>
      </c>
      <c r="C5" s="2" t="s">
        <v>179</v>
      </c>
      <c r="D5" s="2">
        <v>2018</v>
      </c>
      <c r="E5" s="6" t="s">
        <v>15</v>
      </c>
      <c r="F5" s="6">
        <f t="shared" si="0"/>
        <v>2</v>
      </c>
      <c r="G5" s="6" t="str">
        <f t="shared" si="1"/>
        <v>2/01/2018</v>
      </c>
      <c r="H5" s="6">
        <f t="shared" si="2"/>
        <v>43132</v>
      </c>
      <c r="I5" s="6">
        <f t="shared" si="3"/>
        <v>4</v>
      </c>
      <c r="J5" s="8">
        <f t="shared" si="4"/>
        <v>28</v>
      </c>
      <c r="K5" s="6" t="s">
        <v>20</v>
      </c>
      <c r="L5" s="6" t="str">
        <f>CONCATENATE("310 - ",BatchList[First and Last Name]," - ",LEFT(BatchList[Month],3),"_",BatchList[Year])</f>
        <v>310 - Anna Fedorova - Feb_2018</v>
      </c>
      <c r="M5" s="6">
        <v>3</v>
      </c>
      <c r="N5" s="8" t="str">
        <f>CONCATENATE(BatchList[Folder Location],"\",BatchList[FileName],".xlsx")</f>
        <v>E:\Dropbox (BEST)\002 data base\0300 Data base - Bureaucracy\Odessa Branch\310\310_Anna Fedorova\310 - Anna Fedorova - Feb_2018.xlsx</v>
      </c>
      <c r="O5" s="6" t="str">
        <f>CONCATENATE(BatchList[Folder Location],"\",BatchList[FileName],"_NEWLY_ADDED",".xlsx")</f>
        <v>E:\Dropbox (BEST)\002 data base\0300 Data base - Bureaucracy\Odessa Branch\310\310_Anna Fedorova\310 - Anna Fedorova - Feb_2018_NEWLY_ADDED.xlsx</v>
      </c>
      <c r="P5" s="6">
        <v>1</v>
      </c>
      <c r="Q5" s="2">
        <v>0</v>
      </c>
      <c r="R5" s="2" t="s">
        <v>197</v>
      </c>
    </row>
    <row r="6" spans="2:18" ht="16.5" thickBot="1" x14ac:dyDescent="0.3">
      <c r="B6" s="7" t="s">
        <v>21</v>
      </c>
      <c r="C6" s="2" t="s">
        <v>179</v>
      </c>
      <c r="D6" s="2">
        <v>2018</v>
      </c>
      <c r="E6" s="2" t="s">
        <v>15</v>
      </c>
      <c r="F6" s="2">
        <f t="shared" si="0"/>
        <v>2</v>
      </c>
      <c r="G6" s="2" t="str">
        <f t="shared" si="1"/>
        <v>2/01/2018</v>
      </c>
      <c r="H6" s="2">
        <f t="shared" si="2"/>
        <v>43132</v>
      </c>
      <c r="I6" s="2">
        <f t="shared" si="3"/>
        <v>4</v>
      </c>
      <c r="J6" s="9">
        <f t="shared" si="4"/>
        <v>28</v>
      </c>
      <c r="K6" s="2" t="s">
        <v>194</v>
      </c>
      <c r="L6" s="2" t="str">
        <f>CONCATENATE("310 - ",BatchList[First and Last Name]," - ",LEFT(BatchList[Month],3),"_",BatchList[Year])</f>
        <v>310 - Demi Valantsevich - Feb_2018</v>
      </c>
      <c r="M6" s="2">
        <v>3</v>
      </c>
      <c r="N6" s="9" t="str">
        <f>CONCATENATE(BatchList[Folder Location],"\",BatchList[FileName],".xlsx")</f>
        <v>E:\Dropbox (BEST)\002 data base\0300 Data base - Bureaucracy\Odessa Branch\310\310_Dmitriy _Demi_ Valantsevich\Feb_2018\310 - Demi Valantsevich - Feb_2018.xlsx</v>
      </c>
      <c r="O6" s="9" t="str">
        <f>CONCATENATE(BatchList[Folder Location],"\",BatchList[FileName],"_NEWLY_ADDED",".xlsx")</f>
        <v>E:\Dropbox (BEST)\002 data base\0300 Data base - Bureaucracy\Odessa Branch\310\310_Dmitriy _Demi_ Valantsevich\Feb_2018\310 - Demi Valantsevich - Feb_2018_NEWLY_ADDED.xlsx</v>
      </c>
      <c r="P6" s="6">
        <v>1</v>
      </c>
      <c r="Q6" s="2">
        <v>1</v>
      </c>
      <c r="R6" s="2" t="s">
        <v>198</v>
      </c>
    </row>
    <row r="7" spans="2:18" ht="16.5" thickBot="1" x14ac:dyDescent="0.3">
      <c r="B7" s="7" t="s">
        <v>22</v>
      </c>
      <c r="C7" s="2" t="s">
        <v>179</v>
      </c>
      <c r="D7" s="2">
        <v>2018</v>
      </c>
      <c r="E7" s="2" t="s">
        <v>15</v>
      </c>
      <c r="F7" s="6">
        <f t="shared" si="0"/>
        <v>2</v>
      </c>
      <c r="G7" s="6" t="str">
        <f t="shared" si="1"/>
        <v>2/01/2018</v>
      </c>
      <c r="H7" s="6">
        <f t="shared" si="2"/>
        <v>43132</v>
      </c>
      <c r="I7" s="6">
        <f t="shared" si="3"/>
        <v>4</v>
      </c>
      <c r="J7" s="8">
        <f t="shared" si="4"/>
        <v>28</v>
      </c>
      <c r="K7" s="6" t="s">
        <v>176</v>
      </c>
      <c r="L7" s="6" t="str">
        <f>CONCATENATE("310 - ",BatchList[First and Last Name]," - ",LEFT(BatchList[Month],3),"_",BatchList[Year])</f>
        <v>310 - Dmitri Murtazin  - Feb_2018</v>
      </c>
      <c r="M7" s="6">
        <v>3</v>
      </c>
      <c r="N7" s="8" t="str">
        <f>CONCATENATE(BatchList[Folder Location],"\",BatchList[FileName],".xlsx")</f>
        <v>E:\Dropbox (BEST)\002 data base\0300 Data base - Bureaucracy\Odessa Branch\310\310_Dmitri I_Murtazin\2018\310 - Dmitri Murtazin  - Feb_2018.xlsx</v>
      </c>
      <c r="O7" s="8" t="str">
        <f>CONCATENATE(BatchList[Folder Location],"\",BatchList[FileName],"_NEWLY_ADDED",".xlsx")</f>
        <v>E:\Dropbox (BEST)\002 data base\0300 Data base - Bureaucracy\Odessa Branch\310\310_Dmitri I_Murtazin\2018\310 - Dmitri Murtazin  - Feb_2018_NEWLY_ADDED.xlsx</v>
      </c>
      <c r="P7" s="6">
        <v>1</v>
      </c>
      <c r="Q7" s="2">
        <v>1</v>
      </c>
      <c r="R7" s="2" t="s">
        <v>199</v>
      </c>
    </row>
    <row r="8" spans="2:18" ht="16.5" thickBot="1" x14ac:dyDescent="0.3">
      <c r="B8" s="10" t="s">
        <v>128</v>
      </c>
      <c r="C8" s="2" t="s">
        <v>179</v>
      </c>
      <c r="D8" s="2">
        <v>2018</v>
      </c>
      <c r="E8" s="2" t="s">
        <v>15</v>
      </c>
      <c r="F8" s="6">
        <f t="shared" si="0"/>
        <v>2</v>
      </c>
      <c r="G8" s="6" t="str">
        <f t="shared" si="1"/>
        <v>2/01/2018</v>
      </c>
      <c r="H8" s="6">
        <f t="shared" si="2"/>
        <v>43132</v>
      </c>
      <c r="I8" s="6">
        <f t="shared" si="3"/>
        <v>4</v>
      </c>
      <c r="J8" s="8">
        <f t="shared" si="4"/>
        <v>28</v>
      </c>
      <c r="K8" s="6" t="s">
        <v>23</v>
      </c>
      <c r="L8" s="6" t="str">
        <f>CONCATENATE("310 - ",BatchList[First and Last Name]," - ",LEFT(BatchList[Month],3),"_",BatchList[Year])</f>
        <v>310 - Helen Greniukh - Feb_2018</v>
      </c>
      <c r="M8" s="6">
        <v>3</v>
      </c>
      <c r="N8" s="8" t="str">
        <f>CONCATENATE(BatchList[Folder Location],"\",BatchList[FileName],".xlsx")</f>
        <v>E:\Dropbox (BEST)\002 data base\0300 Data base - Bureaucracy\Odessa Branch\310\310_Galyna_Greniukh\310 - Helen Greniukh - Feb_2018.xlsx</v>
      </c>
      <c r="O8" s="8" t="str">
        <f>CONCATENATE(BatchList[Folder Location],"\",BatchList[FileName],"_NEWLY_ADDED",".xlsx")</f>
        <v>E:\Dropbox (BEST)\002 data base\0300 Data base - Bureaucracy\Odessa Branch\310\310_Galyna_Greniukh\310 - Helen Greniukh - Feb_2018_NEWLY_ADDED.xlsx</v>
      </c>
      <c r="P8" s="6">
        <v>1</v>
      </c>
      <c r="Q8" s="2">
        <v>0</v>
      </c>
      <c r="R8" s="2" t="s">
        <v>200</v>
      </c>
    </row>
    <row r="9" spans="2:18" ht="16.5" thickBot="1" x14ac:dyDescent="0.3">
      <c r="B9" s="7" t="s">
        <v>24</v>
      </c>
      <c r="C9" s="2" t="s">
        <v>179</v>
      </c>
      <c r="D9" s="2">
        <v>2018</v>
      </c>
      <c r="E9" s="2" t="s">
        <v>15</v>
      </c>
      <c r="F9" s="6">
        <f t="shared" si="0"/>
        <v>2</v>
      </c>
      <c r="G9" s="6" t="str">
        <f t="shared" si="1"/>
        <v>2/01/2018</v>
      </c>
      <c r="H9" s="6">
        <f t="shared" si="2"/>
        <v>43132</v>
      </c>
      <c r="I9" s="6">
        <f t="shared" si="3"/>
        <v>4</v>
      </c>
      <c r="J9" s="8">
        <f t="shared" si="4"/>
        <v>28</v>
      </c>
      <c r="K9" s="6" t="s">
        <v>25</v>
      </c>
      <c r="L9" s="6" t="str">
        <f>CONCATENATE("310 - ",BatchList[First and Last Name]," - ",LEFT(BatchList[Month],3),"_",BatchList[Year])</f>
        <v>310 - Jessie Andriushenko - Feb_2018</v>
      </c>
      <c r="M9" s="6">
        <v>3</v>
      </c>
      <c r="N9" s="8" t="str">
        <f>CONCATENATE(BatchList[Folder Location],"\",BatchList[FileName],".xlsx")</f>
        <v>E:\Dropbox (BEST)\002 data base\0300 Data base - Bureaucracy\Odessa Branch\310\310_Jessie_Andriushenko\310 - Jessie Andriushenko - Feb_2018.xlsx</v>
      </c>
      <c r="O9" s="8" t="str">
        <f>CONCATENATE(BatchList[Folder Location],"\",BatchList[FileName],"_NEWLY_ADDED",".xlsx")</f>
        <v>E:\Dropbox (BEST)\002 data base\0300 Data base - Bureaucracy\Odessa Branch\310\310_Jessie_Andriushenko\310 - Jessie Andriushenko - Feb_2018_NEWLY_ADDED.xlsx</v>
      </c>
      <c r="P9" s="6">
        <v>1</v>
      </c>
      <c r="Q9" s="2">
        <v>1</v>
      </c>
      <c r="R9" s="2" t="s">
        <v>201</v>
      </c>
    </row>
    <row r="10" spans="2:18" ht="16.5" thickBot="1" x14ac:dyDescent="0.3">
      <c r="B10" s="11" t="s">
        <v>26</v>
      </c>
      <c r="C10" s="2" t="s">
        <v>179</v>
      </c>
      <c r="D10" s="2">
        <v>2018</v>
      </c>
      <c r="E10" s="2" t="s">
        <v>15</v>
      </c>
      <c r="F10" s="6">
        <f t="shared" si="0"/>
        <v>2</v>
      </c>
      <c r="G10" s="6" t="str">
        <f t="shared" si="1"/>
        <v>2/01/2018</v>
      </c>
      <c r="H10" s="6">
        <f t="shared" si="2"/>
        <v>43132</v>
      </c>
      <c r="I10" s="6">
        <f t="shared" si="3"/>
        <v>4</v>
      </c>
      <c r="J10" s="8">
        <f t="shared" si="4"/>
        <v>28</v>
      </c>
      <c r="K10" s="6" t="s">
        <v>27</v>
      </c>
      <c r="L10" s="6" t="str">
        <f>CONCATENATE("310 - ",BatchList[First and Last Name]," - ",LEFT(BatchList[Month],3),"_",BatchList[Year])</f>
        <v>310 - Natali Lebid - Feb_2018</v>
      </c>
      <c r="M10" s="6">
        <v>3</v>
      </c>
      <c r="N10" s="8" t="str">
        <f>CONCATENATE(BatchList[Folder Location],"\",BatchList[FileName],".xlsx")</f>
        <v>E:\Dropbox (BEST)\002 data base\0300 Data base - Bureaucracy\Odessa Branch\310\310_Nataliia Lebid\310 - Natali Lebid - Feb_2018.xlsx</v>
      </c>
      <c r="O10" s="8" t="str">
        <f>CONCATENATE(BatchList[Folder Location],"\",BatchList[FileName],"_NEWLY_ADDED",".xlsx")</f>
        <v>E:\Dropbox (BEST)\002 data base\0300 Data base - Bureaucracy\Odessa Branch\310\310_Nataliia Lebid\310 - Natali Lebid - Feb_2018_NEWLY_ADDED.xlsx</v>
      </c>
      <c r="P10" s="6">
        <v>1</v>
      </c>
      <c r="Q10" s="2">
        <v>1</v>
      </c>
      <c r="R10" s="2" t="s">
        <v>202</v>
      </c>
    </row>
    <row r="11" spans="2:18" ht="16.5" thickBot="1" x14ac:dyDescent="0.3">
      <c r="B11" s="7" t="s">
        <v>28</v>
      </c>
      <c r="C11" s="2" t="s">
        <v>179</v>
      </c>
      <c r="D11" s="2">
        <v>2018</v>
      </c>
      <c r="E11" s="2" t="s">
        <v>15</v>
      </c>
      <c r="F11" s="6">
        <f t="shared" si="0"/>
        <v>2</v>
      </c>
      <c r="G11" s="6" t="str">
        <f t="shared" si="1"/>
        <v>2/01/2018</v>
      </c>
      <c r="H11" s="6">
        <f t="shared" si="2"/>
        <v>43132</v>
      </c>
      <c r="I11" s="6">
        <f t="shared" si="3"/>
        <v>4</v>
      </c>
      <c r="J11" s="8">
        <f t="shared" si="4"/>
        <v>28</v>
      </c>
      <c r="K11" s="6" t="s">
        <v>29</v>
      </c>
      <c r="L11" s="6" t="str">
        <f>CONCATENATE("310 - ",BatchList[First and Last Name]," - ",LEFT(BatchList[Month],3),"_",BatchList[Year])</f>
        <v>310 - Olga Panayotova - Feb_2018</v>
      </c>
      <c r="M11" s="6">
        <v>3</v>
      </c>
      <c r="N11" s="8" t="str">
        <f>CONCATENATE(BatchList[Folder Location],"\",BatchList[FileName],".xlsx")</f>
        <v>E:\Dropbox (BEST)\002 data base\0300 Data base - Bureaucracy\Odessa Branch\310\310_Olga Panayotova\310 - Olga Panayotova - Feb_2018.xlsx</v>
      </c>
      <c r="O11" s="8" t="str">
        <f>CONCATENATE(BatchList[Folder Location],"\",BatchList[FileName],"_NEWLY_ADDED",".xlsx")</f>
        <v>E:\Dropbox (BEST)\002 data base\0300 Data base - Bureaucracy\Odessa Branch\310\310_Olga Panayotova\310 - Olga Panayotova - Feb_2018_NEWLY_ADDED.xlsx</v>
      </c>
      <c r="P11" s="6">
        <v>1</v>
      </c>
      <c r="Q11" s="2">
        <v>1</v>
      </c>
      <c r="R11" s="2" t="s">
        <v>203</v>
      </c>
    </row>
    <row r="12" spans="2:18" ht="16.5" thickBot="1" x14ac:dyDescent="0.3">
      <c r="B12" s="5" t="s">
        <v>30</v>
      </c>
      <c r="C12" s="2" t="s">
        <v>179</v>
      </c>
      <c r="D12" s="2">
        <v>2018</v>
      </c>
      <c r="E12" s="2" t="s">
        <v>31</v>
      </c>
      <c r="F12" s="6">
        <f t="shared" si="0"/>
        <v>2</v>
      </c>
      <c r="G12" s="6" t="str">
        <f t="shared" si="1"/>
        <v>2/01/2018</v>
      </c>
      <c r="H12" s="6">
        <f t="shared" si="2"/>
        <v>43132</v>
      </c>
      <c r="I12" s="6">
        <f t="shared" si="3"/>
        <v>4</v>
      </c>
      <c r="J12" s="8">
        <f t="shared" si="4"/>
        <v>28</v>
      </c>
      <c r="K12" s="6" t="s">
        <v>115</v>
      </c>
      <c r="L12" s="6" t="str">
        <f>CONCATENATE("310 - ",BatchList[First and Last Name]," - ",LEFT(BatchList[Month],3),"_",BatchList[Year])</f>
        <v>310 - Andrii Kulbaba - Feb_2018</v>
      </c>
      <c r="M12" s="6">
        <v>3</v>
      </c>
      <c r="N12" s="8" t="str">
        <f>CONCATENATE(BatchList[Folder Location],"\",BatchList[FileName],".xlsx")</f>
        <v>E:\Dropbox (BEST)\016 MD_TX_CA\310 - Andrii Kulbaba - Feb_2018.xlsx</v>
      </c>
      <c r="O12" s="8" t="str">
        <f>CONCATENATE(BatchList[Folder Location],"\",BatchList[FileName],"_NEWLY_ADDED",".xlsx")</f>
        <v>E:\Dropbox (BEST)\016 MD_TX_CA\310 - Andrii Kulbaba - Feb_2018_NEWLY_ADDED.xlsx</v>
      </c>
      <c r="P12" s="6">
        <v>1</v>
      </c>
      <c r="Q12" s="2">
        <v>0</v>
      </c>
      <c r="R12" s="2" t="s">
        <v>204</v>
      </c>
    </row>
    <row r="13" spans="2:18" ht="16.5" thickBot="1" x14ac:dyDescent="0.3">
      <c r="B13" s="5" t="s">
        <v>32</v>
      </c>
      <c r="C13" s="2" t="s">
        <v>179</v>
      </c>
      <c r="D13" s="2">
        <v>2018</v>
      </c>
      <c r="E13" s="2" t="s">
        <v>31</v>
      </c>
      <c r="F13" s="2">
        <f t="shared" si="0"/>
        <v>2</v>
      </c>
      <c r="G13" s="2" t="str">
        <f t="shared" si="1"/>
        <v>2/01/2018</v>
      </c>
      <c r="H13" s="2">
        <f t="shared" si="2"/>
        <v>43132</v>
      </c>
      <c r="I13" s="2">
        <f t="shared" si="3"/>
        <v>4</v>
      </c>
      <c r="J13" s="9">
        <f t="shared" si="4"/>
        <v>28</v>
      </c>
      <c r="K13" s="6" t="s">
        <v>115</v>
      </c>
      <c r="L13" s="2" t="str">
        <f>CONCATENATE("310 - ",BatchList[First and Last Name]," - ",LEFT(BatchList[Month],3),"_",BatchList[Year])</f>
        <v>310 - Julia Melikhova - Feb_2018</v>
      </c>
      <c r="M13" s="2">
        <v>3</v>
      </c>
      <c r="N13" s="9" t="str">
        <f>CONCATENATE(BatchList[Folder Location],"\",BatchList[FileName],".xlsx")</f>
        <v>E:\Dropbox (BEST)\016 MD_TX_CA\310 - Julia Melikhova - Feb_2018.xlsx</v>
      </c>
      <c r="O13" s="9" t="str">
        <f>CONCATENATE(BatchList[Folder Location],"\",BatchList[FileName],"_NEWLY_ADDED",".xlsx")</f>
        <v>E:\Dropbox (BEST)\016 MD_TX_CA\310 - Julia Melikhova - Feb_2018_NEWLY_ADDED.xlsx</v>
      </c>
      <c r="P13" s="6">
        <v>0</v>
      </c>
      <c r="Q13" s="2">
        <v>1</v>
      </c>
      <c r="R13" s="2"/>
    </row>
    <row r="14" spans="2:18" ht="16.5" thickBot="1" x14ac:dyDescent="0.3">
      <c r="B14" s="12" t="s">
        <v>33</v>
      </c>
      <c r="C14" s="2" t="s">
        <v>179</v>
      </c>
      <c r="D14" s="2">
        <v>2018</v>
      </c>
      <c r="E14" s="2" t="s">
        <v>15</v>
      </c>
      <c r="F14" s="6">
        <f t="shared" si="0"/>
        <v>2</v>
      </c>
      <c r="G14" s="6" t="str">
        <f t="shared" si="1"/>
        <v>2/01/2018</v>
      </c>
      <c r="H14" s="6">
        <f t="shared" si="2"/>
        <v>43132</v>
      </c>
      <c r="I14" s="6">
        <f t="shared" si="3"/>
        <v>4</v>
      </c>
      <c r="J14" s="8">
        <f t="shared" si="4"/>
        <v>28</v>
      </c>
      <c r="K14" s="6" t="s">
        <v>34</v>
      </c>
      <c r="L14" s="6" t="str">
        <f>CONCATENATE("310 - ",BatchList[First and Last Name]," - ",LEFT(BatchList[Month],3),"_",BatchList[Year])</f>
        <v>310 - Angela Gorcea - Feb_2018</v>
      </c>
      <c r="M14" s="6">
        <v>2</v>
      </c>
      <c r="N14" s="8" t="str">
        <f>CONCATENATE(BatchList[Folder Location],"\",BatchList[FileName],".xlsx")</f>
        <v>E:\Dropbox (BEST)\002 data base\0300 Data base - Bureaucracy\Moldova Branch\002 md database\0300 md_data base_bureacracy\310\310_angela gorcea\310 - Angela Gorcea - Feb_2018.xlsx</v>
      </c>
      <c r="O14" s="8" t="str">
        <f>CONCATENATE(BatchList[Folder Location],"\",BatchList[FileName],"_NEWLY_ADDED",".xlsx")</f>
        <v>E:\Dropbox (BEST)\002 data base\0300 Data base - Bureaucracy\Moldova Branch\002 md database\0300 md_data base_bureacracy\310\310_angela gorcea\310 - Angela Gorcea - Feb_2018_NEWLY_ADDED.xlsx</v>
      </c>
      <c r="P14" s="6">
        <v>1</v>
      </c>
      <c r="Q14" s="2">
        <v>0</v>
      </c>
      <c r="R14" s="2" t="s">
        <v>205</v>
      </c>
    </row>
    <row r="15" spans="2:18" ht="16.5" thickBot="1" x14ac:dyDescent="0.3">
      <c r="B15" s="12" t="s">
        <v>35</v>
      </c>
      <c r="C15" s="2" t="s">
        <v>179</v>
      </c>
      <c r="D15" s="2">
        <v>2018</v>
      </c>
      <c r="E15" s="2" t="s">
        <v>15</v>
      </c>
      <c r="F15" s="6">
        <f t="shared" si="0"/>
        <v>2</v>
      </c>
      <c r="G15" s="6" t="str">
        <f t="shared" si="1"/>
        <v>2/01/2018</v>
      </c>
      <c r="H15" s="6">
        <f t="shared" si="2"/>
        <v>43132</v>
      </c>
      <c r="I15" s="6">
        <f t="shared" si="3"/>
        <v>4</v>
      </c>
      <c r="J15" s="8">
        <f t="shared" si="4"/>
        <v>28</v>
      </c>
      <c r="K15" s="6" t="s">
        <v>36</v>
      </c>
      <c r="L15" s="6" t="str">
        <f>CONCATENATE("310 - ",BatchList[First and Last Name]," - ",LEFT(BatchList[Month],3),"_",BatchList[Year])</f>
        <v>310 - Ecaterina Gurenco - Feb_2018</v>
      </c>
      <c r="M15" s="6">
        <v>2</v>
      </c>
      <c r="N15" s="8" t="str">
        <f>CONCATENATE(BatchList[Folder Location],"\",BatchList[FileName],".xlsx")</f>
        <v>E:\Dropbox (BEST)\002 data base\0300 Data base - Bureaucracy\Moldova Branch\002 md database\0300 md_data base_bureacracy\310\310_ecaterina gurenco\310 - Ecaterina Gurenco - Feb_2018.xlsx</v>
      </c>
      <c r="O15" s="8" t="str">
        <f>CONCATENATE(BatchList[Folder Location],"\",BatchList[FileName],"_NEWLY_ADDED",".xlsx")</f>
        <v>E:\Dropbox (BEST)\002 data base\0300 Data base - Bureaucracy\Moldova Branch\002 md database\0300 md_data base_bureacracy\310\310_ecaterina gurenco\310 - Ecaterina Gurenco - Feb_2018_NEWLY_ADDED.xlsx</v>
      </c>
      <c r="P15" s="6">
        <v>1</v>
      </c>
      <c r="Q15" s="2">
        <v>0</v>
      </c>
      <c r="R15" s="2" t="s">
        <v>206</v>
      </c>
    </row>
    <row r="16" spans="2:18" ht="16.5" thickBot="1" x14ac:dyDescent="0.3">
      <c r="B16" s="7" t="s">
        <v>37</v>
      </c>
      <c r="C16" s="2" t="s">
        <v>179</v>
      </c>
      <c r="D16" s="2">
        <v>2018</v>
      </c>
      <c r="E16" s="2" t="s">
        <v>15</v>
      </c>
      <c r="F16" s="6">
        <f t="shared" si="0"/>
        <v>2</v>
      </c>
      <c r="G16" s="6" t="str">
        <f t="shared" si="1"/>
        <v>2/01/2018</v>
      </c>
      <c r="H16" s="6">
        <f t="shared" si="2"/>
        <v>43132</v>
      </c>
      <c r="I16" s="6">
        <f t="shared" si="3"/>
        <v>4</v>
      </c>
      <c r="J16" s="8">
        <f t="shared" si="4"/>
        <v>28</v>
      </c>
      <c r="K16" s="6" t="s">
        <v>38</v>
      </c>
      <c r="L16" s="6" t="str">
        <f>CONCATENATE("310 - ",BatchList[First and Last Name]," - ",LEFT(BatchList[Month],3),"_",BatchList[Year])</f>
        <v>310 - Irina Caldare - Feb_2018</v>
      </c>
      <c r="M16" s="6">
        <v>2</v>
      </c>
      <c r="N16" s="8" t="str">
        <f>CONCATENATE(BatchList[Folder Location],"\",BatchList[FileName],".xlsx")</f>
        <v>E:\Dropbox (BEST)\002 data base\0300 Data base - Bureaucracy\Moldova Branch\002 md database\0300 md_data base_bureacracy\310\310_irina caldare\310 - Irina Caldare - Feb_2018.xlsx</v>
      </c>
      <c r="O16" s="8" t="str">
        <f>CONCATENATE(BatchList[Folder Location],"\",BatchList[FileName],"_NEWLY_ADDED",".xlsx")</f>
        <v>E:\Dropbox (BEST)\002 data base\0300 Data base - Bureaucracy\Moldova Branch\002 md database\0300 md_data base_bureacracy\310\310_irina caldare\310 - Irina Caldare - Feb_2018_NEWLY_ADDED.xlsx</v>
      </c>
      <c r="P16" s="6">
        <v>1</v>
      </c>
      <c r="Q16" s="2">
        <v>0</v>
      </c>
      <c r="R16" s="2" t="s">
        <v>207</v>
      </c>
    </row>
    <row r="17" spans="2:18" ht="16.5" thickBot="1" x14ac:dyDescent="0.3">
      <c r="B17" s="7" t="s">
        <v>39</v>
      </c>
      <c r="C17" s="2" t="s">
        <v>179</v>
      </c>
      <c r="D17" s="2">
        <v>2018</v>
      </c>
      <c r="E17" s="2" t="s">
        <v>15</v>
      </c>
      <c r="F17" s="2">
        <f t="shared" si="0"/>
        <v>2</v>
      </c>
      <c r="G17" s="2" t="str">
        <f t="shared" si="1"/>
        <v>2/01/2018</v>
      </c>
      <c r="H17" s="2">
        <f t="shared" si="2"/>
        <v>43132</v>
      </c>
      <c r="I17" s="2">
        <f t="shared" si="3"/>
        <v>4</v>
      </c>
      <c r="J17" s="9">
        <f t="shared" si="4"/>
        <v>28</v>
      </c>
      <c r="K17" s="2" t="s">
        <v>40</v>
      </c>
      <c r="L17" s="2" t="str">
        <f>CONCATENATE("310 - ",BatchList[First and Last Name]," - ",LEFT(BatchList[Month],3),"_",BatchList[Year])</f>
        <v>310 - Natalia Protiuc - Feb_2018</v>
      </c>
      <c r="M17" s="6">
        <v>2</v>
      </c>
      <c r="N17" s="9" t="str">
        <f>CONCATENATE(BatchList[Folder Location],"\",BatchList[FileName],".xlsx")</f>
        <v>E:\Dropbox (BEST)\002 data base\0300 Data base - Bureaucracy\Moldova Branch\002 md database\0300 md_data base_bureacracy\310\310_natalia protiuc\310 - Natalia Protiuc - Feb_2018.xlsx</v>
      </c>
      <c r="O17" s="9" t="str">
        <f>CONCATENATE(BatchList[Folder Location],"\",BatchList[FileName],"_NEWLY_ADDED",".xlsx")</f>
        <v>E:\Dropbox (BEST)\002 data base\0300 Data base - Bureaucracy\Moldova Branch\002 md database\0300 md_data base_bureacracy\310\310_natalia protiuc\310 - Natalia Protiuc - Feb_2018_NEWLY_ADDED.xlsx</v>
      </c>
      <c r="P17" s="6">
        <v>1</v>
      </c>
      <c r="Q17" s="2">
        <v>0</v>
      </c>
      <c r="R17" s="2" t="s">
        <v>208</v>
      </c>
    </row>
    <row r="18" spans="2:18" ht="16.5" thickBot="1" x14ac:dyDescent="0.3">
      <c r="B18" s="7" t="s">
        <v>41</v>
      </c>
      <c r="C18" s="2" t="s">
        <v>179</v>
      </c>
      <c r="D18" s="2">
        <v>2018</v>
      </c>
      <c r="E18" s="2" t="s">
        <v>15</v>
      </c>
      <c r="F18" s="6">
        <f t="shared" si="0"/>
        <v>2</v>
      </c>
      <c r="G18" s="6" t="str">
        <f t="shared" si="1"/>
        <v>2/01/2018</v>
      </c>
      <c r="H18" s="6">
        <f t="shared" si="2"/>
        <v>43132</v>
      </c>
      <c r="I18" s="6">
        <f t="shared" si="3"/>
        <v>4</v>
      </c>
      <c r="J18" s="8">
        <f t="shared" si="4"/>
        <v>28</v>
      </c>
      <c r="K18" s="6" t="s">
        <v>42</v>
      </c>
      <c r="L18" s="6" t="str">
        <f>CONCATENATE("310 - ",BatchList[First and Last Name]," - ",LEFT(BatchList[Month],3),"_",BatchList[Year])</f>
        <v>310 - Natalia Slobozeanu - Feb_2018</v>
      </c>
      <c r="M18" s="6">
        <v>2</v>
      </c>
      <c r="N18" s="8" t="str">
        <f>CONCATENATE(BatchList[Folder Location],"\",BatchList[FileName],".xlsx")</f>
        <v>E:\Dropbox (BEST)\002 data base\0300 Data base - Bureaucracy\Moldova Branch\002 md database\0300 md_data base_bureacracy\310\310_natalia slobozeanu\310 - Natalia Slobozeanu - Feb_2018.xlsx</v>
      </c>
      <c r="O18" s="8" t="str">
        <f>CONCATENATE(BatchList[Folder Location],"\",BatchList[FileName],"_NEWLY_ADDED",".xlsx")</f>
        <v>E:\Dropbox (BEST)\002 data base\0300 Data base - Bureaucracy\Moldova Branch\002 md database\0300 md_data base_bureacracy\310\310_natalia slobozeanu\310 - Natalia Slobozeanu - Feb_2018_NEWLY_ADDED.xlsx</v>
      </c>
      <c r="P18" s="6">
        <v>1</v>
      </c>
      <c r="Q18" s="2">
        <v>0</v>
      </c>
      <c r="R18" s="2" t="s">
        <v>209</v>
      </c>
    </row>
    <row r="19" spans="2:18" ht="16.5" thickBot="1" x14ac:dyDescent="0.3">
      <c r="B19" s="7" t="s">
        <v>43</v>
      </c>
      <c r="C19" s="2" t="s">
        <v>179</v>
      </c>
      <c r="D19" s="2">
        <v>2018</v>
      </c>
      <c r="E19" s="2" t="s">
        <v>15</v>
      </c>
      <c r="F19" s="2">
        <f t="shared" si="0"/>
        <v>2</v>
      </c>
      <c r="G19" s="2" t="str">
        <f t="shared" si="1"/>
        <v>2/01/2018</v>
      </c>
      <c r="H19" s="2">
        <f t="shared" si="2"/>
        <v>43132</v>
      </c>
      <c r="I19" s="2">
        <f t="shared" si="3"/>
        <v>4</v>
      </c>
      <c r="J19" s="9">
        <f t="shared" si="4"/>
        <v>28</v>
      </c>
      <c r="K19" s="2" t="s">
        <v>44</v>
      </c>
      <c r="L19" s="2" t="str">
        <f>CONCATENATE("310 - ",BatchList[First and Last Name]," - ",LEFT(BatchList[Month],3),"_",BatchList[Year])</f>
        <v>310 - Oxana Radzievici - Feb_2018</v>
      </c>
      <c r="M19" s="6">
        <v>2</v>
      </c>
      <c r="N19" s="9" t="str">
        <f>CONCATENATE(BatchList[Folder Location],"\",BatchList[FileName],".xlsx")</f>
        <v>E:\Dropbox (BEST)\002 data base\0300 Data base - Bureaucracy\Moldova Branch\002 md database\0300 md_data base_bureacracy\310\310_Oxana Radzievici\310 - Oxana Radzievici - Feb_2018.xlsx</v>
      </c>
      <c r="O19" s="9" t="str">
        <f>CONCATENATE(BatchList[Folder Location],"\",BatchList[FileName],"_NEWLY_ADDED",".xlsx")</f>
        <v>E:\Dropbox (BEST)\002 data base\0300 Data base - Bureaucracy\Moldova Branch\002 md database\0300 md_data base_bureacracy\310\310_Oxana Radzievici\310 - Oxana Radzievici - Feb_2018_NEWLY_ADDED.xlsx</v>
      </c>
      <c r="P19" s="6">
        <v>1</v>
      </c>
      <c r="Q19" s="2">
        <v>0</v>
      </c>
      <c r="R19" s="2" t="s">
        <v>210</v>
      </c>
    </row>
    <row r="20" spans="2:18" ht="16.5" thickBot="1" x14ac:dyDescent="0.3">
      <c r="B20" s="5" t="s">
        <v>45</v>
      </c>
      <c r="C20" s="2" t="s">
        <v>179</v>
      </c>
      <c r="D20" s="2">
        <v>2018</v>
      </c>
      <c r="E20" s="2" t="s">
        <v>15</v>
      </c>
      <c r="F20" s="6">
        <f t="shared" si="0"/>
        <v>2</v>
      </c>
      <c r="G20" s="6" t="str">
        <f t="shared" si="1"/>
        <v>2/01/2018</v>
      </c>
      <c r="H20" s="6">
        <f t="shared" si="2"/>
        <v>43132</v>
      </c>
      <c r="I20" s="6">
        <f t="shared" si="3"/>
        <v>4</v>
      </c>
      <c r="J20" s="8">
        <f t="shared" si="4"/>
        <v>28</v>
      </c>
      <c r="K20" s="6" t="s">
        <v>46</v>
      </c>
      <c r="L20" s="6" t="str">
        <f>CONCATENATE("310 - ",BatchList[First and Last Name]," - ",LEFT(BatchList[Month],3),"_",BatchList[Year])</f>
        <v>310 - Petru Zatic - Feb_2018</v>
      </c>
      <c r="M20" s="6">
        <v>2</v>
      </c>
      <c r="N20" s="8" t="str">
        <f>CONCATENATE(BatchList[Folder Location],"\",BatchList[FileName],".xlsx")</f>
        <v>E:\Dropbox (BEST)\002 data base\0300 Data base - Bureaucracy\Moldova Branch\002 md database\0300 md_data base_bureacracy\310\310_Petru Zatic\310 - Petru Zatic - Feb_2018.xlsx</v>
      </c>
      <c r="O20" s="8" t="str">
        <f>CONCATENATE(BatchList[Folder Location],"\",BatchList[FileName],"_NEWLY_ADDED",".xlsx")</f>
        <v>E:\Dropbox (BEST)\002 data base\0300 Data base - Bureaucracy\Moldova Branch\002 md database\0300 md_data base_bureacracy\310\310_Petru Zatic\310 - Petru Zatic - Feb_2018_NEWLY_ADDED.xlsx</v>
      </c>
      <c r="P20" s="6">
        <v>1</v>
      </c>
      <c r="Q20" s="2">
        <v>0</v>
      </c>
      <c r="R20" s="2" t="s">
        <v>211</v>
      </c>
    </row>
    <row r="21" spans="2:18" ht="16.5" thickBot="1" x14ac:dyDescent="0.3">
      <c r="B21" s="13" t="s">
        <v>129</v>
      </c>
      <c r="C21" s="2" t="s">
        <v>179</v>
      </c>
      <c r="D21" s="2">
        <v>2018</v>
      </c>
      <c r="E21" s="2" t="s">
        <v>31</v>
      </c>
      <c r="F21" s="6">
        <f t="shared" si="0"/>
        <v>2</v>
      </c>
      <c r="G21" s="6" t="str">
        <f t="shared" si="1"/>
        <v>2/01/2018</v>
      </c>
      <c r="H21" s="6">
        <f t="shared" si="2"/>
        <v>43132</v>
      </c>
      <c r="I21" s="6">
        <f t="shared" si="3"/>
        <v>4</v>
      </c>
      <c r="J21" s="8">
        <f t="shared" si="4"/>
        <v>28</v>
      </c>
      <c r="K21" s="6" t="s">
        <v>115</v>
      </c>
      <c r="L21" s="6" t="str">
        <f>CONCATENATE("310 - ",BatchList[First and Last Name]," - ",LEFT(BatchList[Month],3),"_",BatchList[Year])</f>
        <v>310 - Mike Gheneralov - Feb_2018</v>
      </c>
      <c r="M21" s="6">
        <v>2</v>
      </c>
      <c r="N21" s="8" t="str">
        <f>CONCATENATE(BatchList[Folder Location],"\",BatchList[FileName],".xlsx")</f>
        <v>E:\Dropbox (BEST)\016 MD_TX_CA\310 - Mike Gheneralov - Feb_2018.xlsx</v>
      </c>
      <c r="O21" s="8" t="str">
        <f>CONCATENATE(BatchList[Folder Location],"\",BatchList[FileName],"_NEWLY_ADDED",".xlsx")</f>
        <v>E:\Dropbox (BEST)\016 MD_TX_CA\310 - Mike Gheneralov - Feb_2018_NEWLY_ADDED.xlsx</v>
      </c>
      <c r="P21" s="6">
        <v>1</v>
      </c>
      <c r="Q21" s="2">
        <v>1</v>
      </c>
      <c r="R21" s="2" t="s">
        <v>212</v>
      </c>
    </row>
    <row r="22" spans="2:18" ht="16.5" thickBot="1" x14ac:dyDescent="0.3">
      <c r="B22" s="5" t="s">
        <v>48</v>
      </c>
      <c r="C22" s="2" t="s">
        <v>179</v>
      </c>
      <c r="D22" s="2">
        <v>2018</v>
      </c>
      <c r="E22" s="2" t="s">
        <v>31</v>
      </c>
      <c r="F22" s="6">
        <f t="shared" si="0"/>
        <v>2</v>
      </c>
      <c r="G22" s="6" t="str">
        <f t="shared" si="1"/>
        <v>2/01/2018</v>
      </c>
      <c r="H22" s="6">
        <f t="shared" si="2"/>
        <v>43132</v>
      </c>
      <c r="I22" s="6">
        <f t="shared" si="3"/>
        <v>4</v>
      </c>
      <c r="J22" s="8">
        <f t="shared" si="4"/>
        <v>28</v>
      </c>
      <c r="K22" s="6" t="s">
        <v>115</v>
      </c>
      <c r="L22" s="6" t="str">
        <f>CONCATENATE("310 - ",BatchList[First and Last Name]," - ",LEFT(BatchList[Month],3),"_",BatchList[Year])</f>
        <v>310 - Olga Tiju - Feb_2018</v>
      </c>
      <c r="M22" s="6">
        <v>2</v>
      </c>
      <c r="N22" s="8" t="str">
        <f>CONCATENATE(BatchList[Folder Location],"\",BatchList[FileName],".xlsx")</f>
        <v>E:\Dropbox (BEST)\016 MD_TX_CA\310 - Olga Tiju - Feb_2018.xlsx</v>
      </c>
      <c r="O22" s="8" t="str">
        <f>CONCATENATE(BatchList[Folder Location],"\",BatchList[FileName],"_NEWLY_ADDED",".xlsx")</f>
        <v>E:\Dropbox (BEST)\016 MD_TX_CA\310 - Olga Tiju - Feb_2018_NEWLY_ADDED.xlsx</v>
      </c>
      <c r="P22" s="6">
        <v>1</v>
      </c>
      <c r="Q22" s="2">
        <v>1</v>
      </c>
      <c r="R22" s="2" t="s">
        <v>213</v>
      </c>
    </row>
    <row r="23" spans="2:18" ht="16.5" thickBot="1" x14ac:dyDescent="0.3">
      <c r="B23" s="5" t="s">
        <v>49</v>
      </c>
      <c r="C23" s="2" t="s">
        <v>179</v>
      </c>
      <c r="D23" s="2">
        <v>2018</v>
      </c>
      <c r="E23" s="2" t="s">
        <v>31</v>
      </c>
      <c r="F23" s="6">
        <f t="shared" si="0"/>
        <v>2</v>
      </c>
      <c r="G23" s="6" t="str">
        <f t="shared" si="1"/>
        <v>2/01/2018</v>
      </c>
      <c r="H23" s="6">
        <f t="shared" si="2"/>
        <v>43132</v>
      </c>
      <c r="I23" s="6">
        <f t="shared" si="3"/>
        <v>4</v>
      </c>
      <c r="J23" s="8">
        <f t="shared" si="4"/>
        <v>28</v>
      </c>
      <c r="K23" s="6" t="s">
        <v>115</v>
      </c>
      <c r="L23" s="6" t="str">
        <f>CONCATENATE("310 - ",BatchList[First and Last Name]," - ",LEFT(BatchList[Month],3),"_",BatchList[Year])</f>
        <v>310 - Sergiu Racu - Feb_2018</v>
      </c>
      <c r="M23" s="6">
        <v>2</v>
      </c>
      <c r="N23" s="8" t="str">
        <f>CONCATENATE(BatchList[Folder Location],"\",BatchList[FileName],".xlsx")</f>
        <v>E:\Dropbox (BEST)\016 MD_TX_CA\310 - Sergiu Racu - Feb_2018.xlsx</v>
      </c>
      <c r="O23" s="8" t="str">
        <f>CONCATENATE(BatchList[Folder Location],"\",BatchList[FileName],"_NEWLY_ADDED",".xlsx")</f>
        <v>E:\Dropbox (BEST)\016 MD_TX_CA\310 - Sergiu Racu - Feb_2018_NEWLY_ADDED.xlsx</v>
      </c>
      <c r="P23" s="6">
        <v>1</v>
      </c>
      <c r="Q23" s="2">
        <v>1</v>
      </c>
      <c r="R23" s="2" t="s">
        <v>214</v>
      </c>
    </row>
    <row r="24" spans="2:18" ht="16.5" thickBot="1" x14ac:dyDescent="0.3">
      <c r="B24" s="5" t="s">
        <v>50</v>
      </c>
      <c r="C24" s="2" t="s">
        <v>179</v>
      </c>
      <c r="D24" s="2">
        <v>2018</v>
      </c>
      <c r="E24" s="2" t="s">
        <v>15</v>
      </c>
      <c r="F24" s="6">
        <f t="shared" si="0"/>
        <v>2</v>
      </c>
      <c r="G24" s="6" t="str">
        <f t="shared" si="1"/>
        <v>2/01/2018</v>
      </c>
      <c r="H24" s="6">
        <f t="shared" si="2"/>
        <v>43132</v>
      </c>
      <c r="I24" s="6">
        <f t="shared" si="3"/>
        <v>4</v>
      </c>
      <c r="J24" s="8">
        <f t="shared" si="4"/>
        <v>28</v>
      </c>
      <c r="K24" s="6" t="s">
        <v>51</v>
      </c>
      <c r="L24" s="6" t="str">
        <f>CONCATENATE("310 - ",BatchList[First and Last Name]," - ",LEFT(BatchList[Month],3),"_",BatchList[Year])</f>
        <v>310 - Walter Aldana - Feb_2018</v>
      </c>
      <c r="M24" s="6">
        <v>0</v>
      </c>
      <c r="N24" s="8" t="str">
        <f>CONCATENATE(BatchList[Folder Location],"\",BatchList[FileName],".xlsx")</f>
        <v>E:\Dropbox (BEST)\002 data base\0300 Data base - Bureaucracy\310\310-Walter Aldana\310 - Walter Aldana - Feb_2018.xlsx</v>
      </c>
      <c r="O24" s="8" t="str">
        <f>CONCATENATE(BatchList[Folder Location],"\",BatchList[FileName],"_NEWLY_ADDED",".xlsx")</f>
        <v>E:\Dropbox (BEST)\002 data base\0300 Data base - Bureaucracy\310\310-Walter Aldana\310 - Walter Aldana - Feb_2018_NEWLY_ADDED.xlsx</v>
      </c>
      <c r="P24" s="6">
        <v>1</v>
      </c>
      <c r="Q24" s="2">
        <v>1</v>
      </c>
      <c r="R24" s="2" t="s">
        <v>215</v>
      </c>
    </row>
    <row r="25" spans="2:18" ht="16.5" thickBot="1" x14ac:dyDescent="0.3">
      <c r="B25" s="14" t="s">
        <v>53</v>
      </c>
      <c r="C25" s="2" t="s">
        <v>179</v>
      </c>
      <c r="D25" s="2">
        <v>2018</v>
      </c>
      <c r="E25" s="2" t="s">
        <v>15</v>
      </c>
      <c r="F25" s="6">
        <f t="shared" si="0"/>
        <v>2</v>
      </c>
      <c r="G25" s="6" t="str">
        <f t="shared" si="1"/>
        <v>2/01/2018</v>
      </c>
      <c r="H25" s="6">
        <f t="shared" si="2"/>
        <v>43132</v>
      </c>
      <c r="I25" s="6">
        <f t="shared" si="3"/>
        <v>4</v>
      </c>
      <c r="J25" s="8">
        <f t="shared" si="4"/>
        <v>28</v>
      </c>
      <c r="K25" s="6" t="s">
        <v>54</v>
      </c>
      <c r="L25" s="6" t="str">
        <f>CONCATENATE("310 - ",BatchList[First and Last Name]," - ",LEFT(BatchList[Month],3),"_",BatchList[Year])</f>
        <v>310 - Sonia Arias - Feb_2018</v>
      </c>
      <c r="M25" s="6">
        <v>0</v>
      </c>
      <c r="N25" s="8" t="str">
        <f>CONCATENATE(BatchList[Folder Location],"\",BatchList[FileName],".xlsx")</f>
        <v>E:\Dropbox (BEST)\002 data base\0300 Data base - Bureaucracy\310\310-Sonia Arias\310 - Sonia Arias - Feb_2018.xlsx</v>
      </c>
      <c r="O25" s="8" t="str">
        <f>CONCATENATE(BatchList[Folder Location],"\",BatchList[FileName],"_NEWLY_ADDED",".xlsx")</f>
        <v>E:\Dropbox (BEST)\002 data base\0300 Data base - Bureaucracy\310\310-Sonia Arias\310 - Sonia Arias - Feb_2018_NEWLY_ADDED.xlsx</v>
      </c>
      <c r="P25" s="6">
        <v>1</v>
      </c>
      <c r="Q25" s="2">
        <v>1</v>
      </c>
      <c r="R25" s="2" t="s">
        <v>216</v>
      </c>
    </row>
    <row r="26" spans="2:18" ht="16.5" thickBot="1" x14ac:dyDescent="0.3">
      <c r="B26" s="14" t="s">
        <v>55</v>
      </c>
      <c r="C26" s="2" t="s">
        <v>179</v>
      </c>
      <c r="D26" s="2">
        <v>2018</v>
      </c>
      <c r="E26" s="2" t="s">
        <v>15</v>
      </c>
      <c r="F26" s="6">
        <f t="shared" si="0"/>
        <v>2</v>
      </c>
      <c r="G26" s="6" t="str">
        <f t="shared" si="1"/>
        <v>2/01/2018</v>
      </c>
      <c r="H26" s="6">
        <f t="shared" si="2"/>
        <v>43132</v>
      </c>
      <c r="I26" s="6">
        <f t="shared" si="3"/>
        <v>4</v>
      </c>
      <c r="J26" s="8">
        <f t="shared" si="4"/>
        <v>28</v>
      </c>
      <c r="K26" s="6" t="s">
        <v>177</v>
      </c>
      <c r="L26" s="6" t="str">
        <f>CONCATENATE("310 - ",BatchList[First and Last Name]," - ",LEFT(BatchList[Month],3),"_",BatchList[Year])</f>
        <v>310 - Jaleen Dunston - Feb_2018</v>
      </c>
      <c r="M26" s="6">
        <v>0</v>
      </c>
      <c r="N26" s="8" t="str">
        <f>CONCATENATE(BatchList[Folder Location],"\",BatchList[FileName],".xlsx")</f>
        <v>E:\Dropbox (BEST)\002 data base\0300 Data base - Bureaucracy\310\310- jaleen dunston\2018\310 - Jaleen Dunston - Feb_2018.xlsx</v>
      </c>
      <c r="O26" s="8" t="str">
        <f>CONCATENATE(BatchList[Folder Location],"\",BatchList[FileName],"_NEWLY_ADDED",".xlsx")</f>
        <v>E:\Dropbox (BEST)\002 data base\0300 Data base - Bureaucracy\310\310- jaleen dunston\2018\310 - Jaleen Dunston - Feb_2018_NEWLY_ADDED.xlsx</v>
      </c>
      <c r="P26" s="6">
        <v>1</v>
      </c>
      <c r="Q26" s="2">
        <v>1</v>
      </c>
      <c r="R26" s="2" t="s">
        <v>217</v>
      </c>
    </row>
    <row r="27" spans="2:18" ht="16.5" thickBot="1" x14ac:dyDescent="0.3">
      <c r="B27" s="14" t="s">
        <v>56</v>
      </c>
      <c r="C27" s="2" t="s">
        <v>179</v>
      </c>
      <c r="D27" s="2">
        <v>2018</v>
      </c>
      <c r="E27" s="2" t="s">
        <v>15</v>
      </c>
      <c r="F27" s="6">
        <f t="shared" si="0"/>
        <v>2</v>
      </c>
      <c r="G27" s="6" t="str">
        <f t="shared" si="1"/>
        <v>2/01/2018</v>
      </c>
      <c r="H27" s="6">
        <f t="shared" si="2"/>
        <v>43132</v>
      </c>
      <c r="I27" s="6">
        <f t="shared" si="3"/>
        <v>4</v>
      </c>
      <c r="J27" s="8">
        <f t="shared" si="4"/>
        <v>28</v>
      </c>
      <c r="K27" s="6" t="s">
        <v>57</v>
      </c>
      <c r="L27" s="6" t="str">
        <f>CONCATENATE("310 - ",BatchList[First and Last Name]," - ",LEFT(BatchList[Month],3),"_",BatchList[Year])</f>
        <v>310 - Rita Zelaya - Feb_2018</v>
      </c>
      <c r="M27" s="6">
        <v>0</v>
      </c>
      <c r="N27" s="8" t="str">
        <f>CONCATENATE(BatchList[Folder Location],"\",BatchList[FileName],".xlsx")</f>
        <v>E:\Dropbox (BEST)\002 data base\0300 Data base - Bureaucracy\310\310-Rita Zelaya\310 - Rita Zelaya - Feb_2018.xlsx</v>
      </c>
      <c r="O27" s="8" t="str">
        <f>CONCATENATE(BatchList[Folder Location],"\",BatchList[FileName],"_NEWLY_ADDED",".xlsx")</f>
        <v>E:\Dropbox (BEST)\002 data base\0300 Data base - Bureaucracy\310\310-Rita Zelaya\310 - Rita Zelaya - Feb_2018_NEWLY_ADDED.xlsx</v>
      </c>
      <c r="P27" s="6">
        <v>1</v>
      </c>
      <c r="Q27" s="2">
        <v>1</v>
      </c>
      <c r="R27" s="2" t="s">
        <v>218</v>
      </c>
    </row>
    <row r="28" spans="2:18" ht="16.5" thickBot="1" x14ac:dyDescent="0.3">
      <c r="B28" s="14" t="s">
        <v>58</v>
      </c>
      <c r="C28" s="2" t="s">
        <v>179</v>
      </c>
      <c r="D28" s="2">
        <v>2018</v>
      </c>
      <c r="E28" s="6" t="s">
        <v>15</v>
      </c>
      <c r="F28" s="6">
        <f t="shared" si="0"/>
        <v>2</v>
      </c>
      <c r="G28" s="6" t="str">
        <f t="shared" si="1"/>
        <v>2/01/2018</v>
      </c>
      <c r="H28" s="6">
        <f t="shared" si="2"/>
        <v>43132</v>
      </c>
      <c r="I28" s="6">
        <f t="shared" si="3"/>
        <v>4</v>
      </c>
      <c r="J28" s="8">
        <f t="shared" si="4"/>
        <v>28</v>
      </c>
      <c r="K28" s="6" t="s">
        <v>59</v>
      </c>
      <c r="L28" s="6" t="str">
        <f>CONCATENATE("310 - ",BatchList[First and Last Name]," - ",LEFT(BatchList[Month],3),"_",BatchList[Year])</f>
        <v>310 - Victor Boleac - Feb_2018</v>
      </c>
      <c r="M28" s="6">
        <v>2</v>
      </c>
      <c r="N28" s="8" t="str">
        <f>CONCATENATE(BatchList[Folder Location],"\",BatchList[FileName],".xlsx")</f>
        <v>E:\Dropbox (BEST)\002 data base\0300 Data base - Bureaucracy\Moldova Branch\002 md database\0300 md_data base_bureacracy\310\310_Victor Boleac\310 - Victor Boleac - Feb_2018.xlsx</v>
      </c>
      <c r="O28" s="8" t="str">
        <f>CONCATENATE(BatchList[Folder Location],"\",BatchList[FileName],"_NEWLY_ADDED",".xlsx")</f>
        <v>E:\Dropbox (BEST)\002 data base\0300 Data base - Bureaucracy\Moldova Branch\002 md database\0300 md_data base_bureacracy\310\310_Victor Boleac\310 - Victor Boleac - Feb_2018_NEWLY_ADDED.xlsx</v>
      </c>
      <c r="P28" s="6">
        <v>1</v>
      </c>
      <c r="Q28" s="2">
        <v>0</v>
      </c>
      <c r="R28" s="2" t="s">
        <v>219</v>
      </c>
    </row>
    <row r="29" spans="2:18" ht="16.5" thickBot="1" x14ac:dyDescent="0.3">
      <c r="B29" s="14" t="s">
        <v>60</v>
      </c>
      <c r="C29" s="2" t="s">
        <v>179</v>
      </c>
      <c r="D29" s="2">
        <v>2018</v>
      </c>
      <c r="E29" s="6" t="s">
        <v>15</v>
      </c>
      <c r="F29" s="6">
        <f t="shared" si="0"/>
        <v>2</v>
      </c>
      <c r="G29" s="6" t="str">
        <f t="shared" si="1"/>
        <v>2/01/2018</v>
      </c>
      <c r="H29" s="6">
        <f t="shared" si="2"/>
        <v>43132</v>
      </c>
      <c r="I29" s="6">
        <f t="shared" si="3"/>
        <v>4</v>
      </c>
      <c r="J29" s="8">
        <f t="shared" si="4"/>
        <v>28</v>
      </c>
      <c r="K29" s="6" t="s">
        <v>61</v>
      </c>
      <c r="L29" s="6" t="str">
        <f>CONCATENATE("310 - ",BatchList[First and Last Name]," - ",LEFT(BatchList[Month],3),"_",BatchList[Year])</f>
        <v>310 - Nancy Loziienko - Feb_2018</v>
      </c>
      <c r="M29" s="6">
        <v>3</v>
      </c>
      <c r="N29" s="8" t="str">
        <f>CONCATENATE(BatchList[Folder Location],"\",BatchList[FileName],".xlsx")</f>
        <v>E:\Dropbox (BEST)\002 data base\0300 Data base - Bureaucracy\Odessa Branch\310\310_Nancy Loziienko\310 - Nancy Loziienko - Feb_2018.xlsx</v>
      </c>
      <c r="O29" s="8" t="str">
        <f>CONCATENATE(BatchList[Folder Location],"\",BatchList[FileName],"_NEWLY_ADDED",".xlsx")</f>
        <v>E:\Dropbox (BEST)\002 data base\0300 Data base - Bureaucracy\Odessa Branch\310\310_Nancy Loziienko\310 - Nancy Loziienko - Feb_2018_NEWLY_ADDED.xlsx</v>
      </c>
      <c r="P29" s="6">
        <v>1</v>
      </c>
      <c r="Q29" s="6">
        <v>0</v>
      </c>
      <c r="R29" s="6" t="s">
        <v>220</v>
      </c>
    </row>
    <row r="30" spans="2:18" ht="16.5" thickBot="1" x14ac:dyDescent="0.3">
      <c r="B30" s="14" t="s">
        <v>130</v>
      </c>
      <c r="C30" s="2" t="s">
        <v>179</v>
      </c>
      <c r="D30" s="2">
        <v>2018</v>
      </c>
      <c r="E30" s="6" t="s">
        <v>31</v>
      </c>
      <c r="F30" s="6">
        <f t="shared" si="0"/>
        <v>2</v>
      </c>
      <c r="G30" s="6" t="str">
        <f t="shared" si="1"/>
        <v>2/01/2018</v>
      </c>
      <c r="H30" s="6">
        <f t="shared" si="2"/>
        <v>43132</v>
      </c>
      <c r="I30" s="6">
        <f t="shared" si="3"/>
        <v>4</v>
      </c>
      <c r="J30" s="8">
        <f t="shared" si="4"/>
        <v>28</v>
      </c>
      <c r="K30" s="6" t="s">
        <v>115</v>
      </c>
      <c r="L30" s="6" t="str">
        <f>CONCATENATE("310 - ",BatchList[First and Last Name]," - ",LEFT(BatchList[Month],3),"_",BatchList[Year])</f>
        <v>310 - Gerson Barrera - Feb_2018</v>
      </c>
      <c r="M30" s="6">
        <v>0</v>
      </c>
      <c r="N30" s="8" t="str">
        <f>CONCATENATE(BatchList[Folder Location],"\",BatchList[FileName],".xlsx")</f>
        <v>E:\Dropbox (BEST)\016 MD_TX_CA\310 - Gerson Barrera - Feb_2018.xlsx</v>
      </c>
      <c r="O30" s="8" t="str">
        <f>CONCATENATE(BatchList[Folder Location],"\",BatchList[FileName],"_NEWLY_ADDED",".xlsx")</f>
        <v>E:\Dropbox (BEST)\016 MD_TX_CA\310 - Gerson Barrera - Feb_2018_NEWLY_ADDED.xlsx</v>
      </c>
      <c r="P30" s="6">
        <v>0</v>
      </c>
      <c r="Q30" s="6">
        <v>1</v>
      </c>
      <c r="R30" s="6"/>
    </row>
    <row r="31" spans="2:18" ht="16.5" thickBot="1" x14ac:dyDescent="0.3">
      <c r="B31" s="14" t="s">
        <v>125</v>
      </c>
      <c r="C31" s="2" t="s">
        <v>179</v>
      </c>
      <c r="D31" s="2">
        <v>2018</v>
      </c>
      <c r="E31" s="6" t="s">
        <v>31</v>
      </c>
      <c r="F31" s="6">
        <f t="shared" si="0"/>
        <v>2</v>
      </c>
      <c r="G31" s="6" t="str">
        <f t="shared" si="1"/>
        <v>2/01/2018</v>
      </c>
      <c r="H31" s="6">
        <f t="shared" si="2"/>
        <v>43132</v>
      </c>
      <c r="I31" s="6">
        <f t="shared" si="3"/>
        <v>4</v>
      </c>
      <c r="J31" s="8">
        <f t="shared" si="4"/>
        <v>28</v>
      </c>
      <c r="K31" s="6" t="s">
        <v>127</v>
      </c>
      <c r="L31" s="8" t="str">
        <f>CONCATENATE("310 - ",BatchList[First and Last Name]," - ",LEFT(BatchList[Month],3),"_",BatchList[Year])</f>
        <v>310 - Max Tanskiy - Feb_2018</v>
      </c>
      <c r="M31" s="6">
        <v>3</v>
      </c>
      <c r="N31" s="8" t="str">
        <f>CONCATENATE(BatchList[Folder Location],"\",BatchList[FileName],".xlsx")</f>
        <v>E:\Dropbox (BEST)\002 data base\0300 Data base - Bureaucracy\Odessa Branch\310\310_Max Tanskyi\310 - Max Tanskiy - Feb_2018.xlsx</v>
      </c>
      <c r="O31" s="8" t="str">
        <f>CONCATENATE(BatchList[Folder Location],"\",BatchList[FileName],"_NEWLY_ADDED",".xlsx")</f>
        <v>E:\Dropbox (BEST)\002 data base\0300 Data base - Bureaucracy\Odessa Branch\310\310_Max Tanskyi\310 - Max Tanskiy - Feb_2018_NEWLY_ADDED.xlsx</v>
      </c>
      <c r="P31" s="6">
        <v>1</v>
      </c>
      <c r="Q31" s="6">
        <v>1</v>
      </c>
      <c r="R31" s="6" t="s">
        <v>221</v>
      </c>
    </row>
    <row r="32" spans="2:18" ht="16.5" thickBot="1" x14ac:dyDescent="0.3">
      <c r="B32" s="14" t="s">
        <v>190</v>
      </c>
      <c r="C32" s="2" t="s">
        <v>179</v>
      </c>
      <c r="D32" s="6">
        <v>2018</v>
      </c>
      <c r="E32" s="6" t="s">
        <v>15</v>
      </c>
      <c r="F32" s="6">
        <f t="shared" si="0"/>
        <v>2</v>
      </c>
      <c r="G32" s="6" t="str">
        <f t="shared" si="1"/>
        <v>2/01/2018</v>
      </c>
      <c r="H32" s="6">
        <f t="shared" si="2"/>
        <v>43132</v>
      </c>
      <c r="I32" s="6">
        <f t="shared" si="3"/>
        <v>4</v>
      </c>
      <c r="J32" s="8">
        <f t="shared" si="4"/>
        <v>28</v>
      </c>
      <c r="K32" s="6" t="s">
        <v>189</v>
      </c>
      <c r="L32" s="8" t="str">
        <f>CONCATENATE("310 - ",BatchList[First and Last Name]," - ",LEFT(BatchList[Month],3),"_",BatchList[Year])</f>
        <v>310 - Anna Andreeva - Feb_2018</v>
      </c>
      <c r="M32" s="6">
        <v>3</v>
      </c>
      <c r="N32" s="8" t="str">
        <f>CONCATENATE(BatchList[Folder Location],"\",BatchList[FileName],".xlsx")</f>
        <v>E:\Dropbox (BEST)\002 data base\0300 Data base - Bureaucracy\Odessa Branch\310\310_Anna Andreeva\310 - Anna Andreeva - Feb_2018.xlsx</v>
      </c>
      <c r="O32" s="8" t="str">
        <f>CONCATENATE(BatchList[Folder Location],"\",BatchList[FileName],"_NEWLY_ADDED",".xlsx")</f>
        <v>E:\Dropbox (BEST)\002 data base\0300 Data base - Bureaucracy\Odessa Branch\310\310_Anna Andreeva\310 - Anna Andreeva - Feb_2018_NEWLY_ADDED.xlsx</v>
      </c>
      <c r="P32" s="6">
        <v>1</v>
      </c>
      <c r="Q32" s="6">
        <v>1</v>
      </c>
      <c r="R32" s="6" t="s">
        <v>222</v>
      </c>
    </row>
    <row r="46" spans="3:5" x14ac:dyDescent="0.25">
      <c r="C46" t="s">
        <v>178</v>
      </c>
      <c r="E46" t="s">
        <v>15</v>
      </c>
    </row>
    <row r="47" spans="3:5" x14ac:dyDescent="0.25">
      <c r="C47" t="s">
        <v>179</v>
      </c>
      <c r="E47" t="s">
        <v>31</v>
      </c>
    </row>
    <row r="48" spans="3:5" x14ac:dyDescent="0.25">
      <c r="C48" t="s">
        <v>180</v>
      </c>
    </row>
    <row r="49" spans="3:3" x14ac:dyDescent="0.25">
      <c r="C49" t="s">
        <v>181</v>
      </c>
    </row>
    <row r="50" spans="3:3" x14ac:dyDescent="0.25">
      <c r="C50" t="s">
        <v>182</v>
      </c>
    </row>
    <row r="51" spans="3:3" x14ac:dyDescent="0.25">
      <c r="C51" t="s">
        <v>183</v>
      </c>
    </row>
    <row r="52" spans="3:3" x14ac:dyDescent="0.25">
      <c r="C52" t="s">
        <v>184</v>
      </c>
    </row>
    <row r="53" spans="3:3" x14ac:dyDescent="0.25">
      <c r="C53" t="s">
        <v>185</v>
      </c>
    </row>
    <row r="54" spans="3:3" x14ac:dyDescent="0.25">
      <c r="C54" t="s">
        <v>186</v>
      </c>
    </row>
    <row r="55" spans="3:3" x14ac:dyDescent="0.25">
      <c r="C55" t="s">
        <v>187</v>
      </c>
    </row>
    <row r="56" spans="3:3" x14ac:dyDescent="0.25">
      <c r="C56" t="s">
        <v>188</v>
      </c>
    </row>
    <row r="57" spans="3:3" x14ac:dyDescent="0.25">
      <c r="C57" t="s">
        <v>126</v>
      </c>
    </row>
  </sheetData>
  <conditionalFormatting sqref="P3:P32">
    <cfRule type="cellIs" dxfId="1" priority="1" operator="equal">
      <formula>0</formula>
    </cfRule>
    <cfRule type="containsBlanks" dxfId="0" priority="2">
      <formula>LEN(TRIM(P3))=0</formula>
    </cfRule>
  </conditionalFormatting>
  <dataValidations count="2">
    <dataValidation type="decimal" errorStyle="warning" allowBlank="1" showInputMessage="1" showErrorMessage="1" errorTitle="Wrong value" error="Please, enter value between 2016 and 2030" promptTitle="Please enter the year" prompt="The year should be specified as a 4-digit value, e.g. 2017. Works till 2030. Leg godt!" sqref="D3:D32">
      <formula1>2016</formula1>
      <formula2>2030</formula2>
    </dataValidation>
    <dataValidation type="list" allowBlank="1" showInputMessage="1" showErrorMessage="1" sqref="C3:C32">
      <formula1>$C$46:$C$57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lectDirectoriesForBatch">
                <anchor moveWithCells="1" sizeWithCells="1">
                  <from>
                    <xdr:col>19</xdr:col>
                    <xdr:colOff>19050</xdr:colOff>
                    <xdr:row>5</xdr:row>
                    <xdr:rowOff>19050</xdr:rowOff>
                  </from>
                  <to>
                    <xdr:col>21</xdr:col>
                    <xdr:colOff>9525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llectTotalsBatch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22</xdr:col>
                    <xdr:colOff>400050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EntryForTotalCollections">
                <anchor moveWithCells="1" sizeWithCells="1">
                  <from>
                    <xdr:col>19</xdr:col>
                    <xdr:colOff>76200</xdr:colOff>
                    <xdr:row>9</xdr:row>
                    <xdr:rowOff>19050</xdr:rowOff>
                  </from>
                  <to>
                    <xdr:col>23</xdr:col>
                    <xdr:colOff>600075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nAllTables">
                <anchor moveWithCells="1" sizeWithCells="1">
                  <from>
                    <xdr:col>19</xdr:col>
                    <xdr:colOff>38100</xdr:colOff>
                    <xdr:row>14</xdr:row>
                    <xdr:rowOff>28575</xdr:rowOff>
                  </from>
                  <to>
                    <xdr:col>21</xdr:col>
                    <xdr:colOff>600075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Export_TablesByDpts_Simple">
                <anchor moveWithCells="1" sizeWithCells="1">
                  <from>
                    <xdr:col>18</xdr:col>
                    <xdr:colOff>600075</xdr:colOff>
                    <xdr:row>18</xdr:row>
                    <xdr:rowOff>0</xdr:rowOff>
                  </from>
                  <to>
                    <xdr:col>25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Categories!$A$10:$A$11</xm:f>
          </x14:formula1>
          <xm:sqref>E3</xm:sqref>
        </x14:dataValidation>
        <x14:dataValidation type="list" allowBlank="1" showInputMessage="1" showErrorMessage="1">
          <x14:formula1>
            <xm:f>Categories!$A$10:$A$11</xm:f>
          </x14:formula1>
          <xm:sqref>E4:E32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55"/>
  <sheetViews>
    <sheetView workbookViewId="0">
      <selection activeCell="A6" sqref="A6:B7"/>
    </sheetView>
  </sheetViews>
  <sheetFormatPr defaultRowHeight="15" x14ac:dyDescent="0.25"/>
  <sheetData>
    <row r="1" spans="1:27" ht="15.75" thickBot="1" x14ac:dyDescent="0.3"/>
    <row r="2" spans="1:27" ht="15.75" thickBot="1" x14ac:dyDescent="0.3">
      <c r="A2" s="18" t="s">
        <v>48</v>
      </c>
      <c r="B2" t="s">
        <v>116</v>
      </c>
      <c r="D2" t="str">
        <f t="array" ref="D2">INDEX($B$2:$B$95, MATCH(0, COUNTIF($D$1:D1, $B$2:$B$95), 0))</f>
        <v>Bookkeepers</v>
      </c>
      <c r="G2" s="67" t="s">
        <v>32</v>
      </c>
      <c r="H2" s="68"/>
      <c r="I2" s="68"/>
      <c r="J2" s="68"/>
      <c r="K2" s="68"/>
      <c r="L2" s="68"/>
      <c r="M2" s="68"/>
      <c r="N2" s="68"/>
      <c r="O2" s="68"/>
      <c r="P2" s="69"/>
      <c r="R2" s="67" t="s">
        <v>32</v>
      </c>
      <c r="S2" s="68"/>
      <c r="T2" s="68"/>
      <c r="U2" s="68"/>
      <c r="V2" s="68"/>
      <c r="W2" s="68"/>
      <c r="X2" s="68"/>
      <c r="Y2" s="68"/>
      <c r="Z2" s="68"/>
      <c r="AA2" s="69"/>
    </row>
    <row r="3" spans="1:27" x14ac:dyDescent="0.25">
      <c r="A3" s="17" t="s">
        <v>32</v>
      </c>
      <c r="B3" t="s">
        <v>117</v>
      </c>
      <c r="D3" s="38" t="str">
        <f t="array" ref="D3">INDEX($B$2:$B$95, MATCH(0, COUNTIF($D$1:D2, $B$2:$B$95), 0))</f>
        <v>Dispatchers</v>
      </c>
      <c r="G3" s="70" t="s">
        <v>165</v>
      </c>
      <c r="H3" s="71"/>
      <c r="I3" s="71" t="s">
        <v>166</v>
      </c>
      <c r="J3" s="71"/>
      <c r="K3" s="71" t="s">
        <v>167</v>
      </c>
      <c r="L3" s="71"/>
      <c r="M3" s="71" t="s">
        <v>168</v>
      </c>
      <c r="N3" s="71"/>
      <c r="O3" s="71" t="s">
        <v>171</v>
      </c>
      <c r="P3" s="72"/>
      <c r="R3" s="70" t="s">
        <v>165</v>
      </c>
      <c r="S3" s="71"/>
      <c r="T3" s="71" t="s">
        <v>166</v>
      </c>
      <c r="U3" s="71"/>
      <c r="V3" s="71" t="s">
        <v>167</v>
      </c>
      <c r="W3" s="71"/>
      <c r="X3" s="71" t="s">
        <v>168</v>
      </c>
      <c r="Y3" s="71"/>
      <c r="Z3" s="71" t="s">
        <v>171</v>
      </c>
      <c r="AA3" s="72"/>
    </row>
    <row r="4" spans="1:27" ht="15.75" thickBot="1" x14ac:dyDescent="0.3">
      <c r="A4" s="21" t="s">
        <v>47</v>
      </c>
      <c r="B4" t="s">
        <v>117</v>
      </c>
      <c r="D4" s="38" t="str">
        <f t="array" ref="D4">INDEX($B$2:$B$95, MATCH(0, COUNTIF($D$1:D3, $B$2:$B$95), 0))</f>
        <v>Researchers</v>
      </c>
      <c r="G4" s="40" t="s">
        <v>169</v>
      </c>
      <c r="H4" s="41" t="s">
        <v>170</v>
      </c>
      <c r="I4" s="41" t="s">
        <v>169</v>
      </c>
      <c r="J4" s="41" t="s">
        <v>170</v>
      </c>
      <c r="K4" s="41" t="s">
        <v>169</v>
      </c>
      <c r="L4" s="41" t="s">
        <v>170</v>
      </c>
      <c r="M4" s="41" t="s">
        <v>169</v>
      </c>
      <c r="N4" s="41" t="s">
        <v>170</v>
      </c>
      <c r="O4" s="41" t="s">
        <v>169</v>
      </c>
      <c r="P4" s="42" t="s">
        <v>170</v>
      </c>
      <c r="R4" s="40" t="s">
        <v>169</v>
      </c>
      <c r="S4" s="41" t="s">
        <v>170</v>
      </c>
      <c r="T4" s="41" t="s">
        <v>169</v>
      </c>
      <c r="U4" s="41" t="s">
        <v>170</v>
      </c>
      <c r="V4" s="41" t="s">
        <v>169</v>
      </c>
      <c r="W4" s="41" t="s">
        <v>170</v>
      </c>
      <c r="X4" s="41" t="s">
        <v>169</v>
      </c>
      <c r="Y4" s="41" t="s">
        <v>170</v>
      </c>
      <c r="Z4" s="41" t="s">
        <v>169</v>
      </c>
      <c r="AA4" s="42" t="s">
        <v>170</v>
      </c>
    </row>
    <row r="5" spans="1:27" x14ac:dyDescent="0.25">
      <c r="A5" s="18" t="s">
        <v>30</v>
      </c>
      <c r="B5" t="s">
        <v>118</v>
      </c>
      <c r="D5" s="38" t="str">
        <f t="array" ref="D5">INDEX($B$2:$B$95, MATCH(0, COUNTIF($D$1:D4, $B$2:$B$95), 0))</f>
        <v>Schedulers</v>
      </c>
      <c r="G5" s="46"/>
      <c r="H5" s="47">
        <f>IFERROR(G5/G$54,0%)</f>
        <v>0</v>
      </c>
      <c r="I5" s="48"/>
      <c r="J5" s="47">
        <f>IFERROR(I5/I$54,0%)</f>
        <v>0</v>
      </c>
      <c r="K5" s="48"/>
      <c r="L5" s="47">
        <f>IFERROR(K5/K$54,0%)</f>
        <v>0</v>
      </c>
      <c r="M5" s="48"/>
      <c r="N5" s="47">
        <f>IFERROR(M5/M$54,0%)</f>
        <v>0</v>
      </c>
      <c r="O5" s="48"/>
      <c r="P5" s="49">
        <f>IFERROR(O5/O$54,0%)</f>
        <v>0</v>
      </c>
      <c r="R5" s="46"/>
      <c r="S5" s="47">
        <f t="shared" ref="S5:S37" si="0">IFERROR(R5/R$37,0%)</f>
        <v>0</v>
      </c>
      <c r="T5" s="48"/>
      <c r="U5" s="47">
        <f t="shared" ref="U5:U37" si="1">IFERROR(T5/T$37,0%)</f>
        <v>0</v>
      </c>
      <c r="V5" s="48"/>
      <c r="W5" s="47">
        <f t="shared" ref="W5:W37" si="2">IFERROR(V5/V$37,0%)</f>
        <v>0</v>
      </c>
      <c r="X5" s="48"/>
      <c r="Y5" s="47">
        <f t="shared" ref="Y5:Y37" si="3">IFERROR(X5/X$37,0%)</f>
        <v>0</v>
      </c>
      <c r="Z5" s="48"/>
      <c r="AA5" s="49">
        <f t="shared" ref="AA5:AA37" si="4">IFERROR(Z5/Z$37,0%)</f>
        <v>0</v>
      </c>
    </row>
    <row r="6" spans="1:27" ht="15.75" thickBot="1" x14ac:dyDescent="0.3">
      <c r="A6" s="17" t="s">
        <v>49</v>
      </c>
      <c r="B6" t="s">
        <v>118</v>
      </c>
      <c r="D6" s="38" t="str">
        <f t="array" ref="D6">INDEX($B$2:$B$95, MATCH(0, COUNTIF($D$1:D5, $B$2:$B$95), 0))</f>
        <v>Billing</v>
      </c>
      <c r="G6" s="50"/>
      <c r="H6" s="51">
        <f t="shared" ref="H6:J21" si="5">IFERROR(G6/G$54,0%)</f>
        <v>0</v>
      </c>
      <c r="I6" s="52"/>
      <c r="J6" s="51">
        <f t="shared" si="5"/>
        <v>0</v>
      </c>
      <c r="K6" s="52"/>
      <c r="L6" s="51">
        <f t="shared" ref="L6:L54" si="6">IFERROR(K6/K$54,0%)</f>
        <v>0</v>
      </c>
      <c r="M6" s="52"/>
      <c r="N6" s="51">
        <f t="shared" ref="N6:N54" si="7">IFERROR(M6/M$54,0%)</f>
        <v>0</v>
      </c>
      <c r="O6" s="52"/>
      <c r="P6" s="53">
        <f t="shared" ref="P6:P54" si="8">IFERROR(O6/O$54,0%)</f>
        <v>0</v>
      </c>
      <c r="R6" s="50"/>
      <c r="S6" s="51">
        <f t="shared" si="0"/>
        <v>0</v>
      </c>
      <c r="T6" s="52"/>
      <c r="U6" s="51">
        <f t="shared" si="1"/>
        <v>0</v>
      </c>
      <c r="V6" s="52"/>
      <c r="W6" s="51">
        <f t="shared" si="2"/>
        <v>0</v>
      </c>
      <c r="X6" s="52"/>
      <c r="Y6" s="51">
        <f t="shared" si="3"/>
        <v>0</v>
      </c>
      <c r="Z6" s="52"/>
      <c r="AA6" s="53">
        <f t="shared" si="4"/>
        <v>0</v>
      </c>
    </row>
    <row r="7" spans="1:27" ht="15.75" thickBot="1" x14ac:dyDescent="0.3">
      <c r="A7" s="63" t="s">
        <v>128</v>
      </c>
      <c r="B7" s="38" t="s">
        <v>119</v>
      </c>
      <c r="D7" s="38" t="str">
        <f t="array" ref="D7">INDEX($B$2:$B$95, MATCH(0, COUNTIF($D$1:D6, $B$2:$B$95), 0))</f>
        <v>Operational</v>
      </c>
      <c r="G7" s="50"/>
      <c r="H7" s="51">
        <f t="shared" si="5"/>
        <v>0</v>
      </c>
      <c r="I7" s="52"/>
      <c r="J7" s="51">
        <f t="shared" si="5"/>
        <v>0</v>
      </c>
      <c r="K7" s="52"/>
      <c r="L7" s="51">
        <f t="shared" si="6"/>
        <v>0</v>
      </c>
      <c r="M7" s="52"/>
      <c r="N7" s="51">
        <f t="shared" si="7"/>
        <v>0</v>
      </c>
      <c r="O7" s="52"/>
      <c r="P7" s="53">
        <f t="shared" si="8"/>
        <v>0</v>
      </c>
      <c r="R7" s="50"/>
      <c r="S7" s="51">
        <f t="shared" si="0"/>
        <v>0</v>
      </c>
      <c r="T7" s="52"/>
      <c r="U7" s="51">
        <f t="shared" si="1"/>
        <v>0</v>
      </c>
      <c r="V7" s="52"/>
      <c r="W7" s="51">
        <f t="shared" si="2"/>
        <v>0</v>
      </c>
      <c r="X7" s="52"/>
      <c r="Y7" s="51">
        <f t="shared" si="3"/>
        <v>0</v>
      </c>
      <c r="Z7" s="52"/>
      <c r="AA7" s="53">
        <f t="shared" si="4"/>
        <v>0</v>
      </c>
    </row>
    <row r="8" spans="1:27" x14ac:dyDescent="0.25">
      <c r="A8" s="18" t="s">
        <v>24</v>
      </c>
      <c r="B8" t="s">
        <v>119</v>
      </c>
      <c r="D8" s="38" t="str">
        <f t="array" ref="D8">INDEX($B$2:$B$95, MATCH(0, COUNTIF($D$1:D7, $B$2:$B$95), 0))</f>
        <v>Insurance</v>
      </c>
      <c r="G8" s="50"/>
      <c r="H8" s="51">
        <f t="shared" si="5"/>
        <v>0</v>
      </c>
      <c r="I8" s="52"/>
      <c r="J8" s="51">
        <f t="shared" si="5"/>
        <v>0</v>
      </c>
      <c r="K8" s="52"/>
      <c r="L8" s="51">
        <f t="shared" si="6"/>
        <v>0</v>
      </c>
      <c r="M8" s="52"/>
      <c r="N8" s="51">
        <f t="shared" si="7"/>
        <v>0</v>
      </c>
      <c r="O8" s="52"/>
      <c r="P8" s="53">
        <f t="shared" si="8"/>
        <v>0</v>
      </c>
      <c r="R8" s="50"/>
      <c r="S8" s="51">
        <f t="shared" si="0"/>
        <v>0</v>
      </c>
      <c r="T8" s="52"/>
      <c r="U8" s="51">
        <f t="shared" si="1"/>
        <v>0</v>
      </c>
      <c r="V8" s="52"/>
      <c r="W8" s="51">
        <f t="shared" si="2"/>
        <v>0</v>
      </c>
      <c r="X8" s="52"/>
      <c r="Y8" s="51">
        <f t="shared" si="3"/>
        <v>0</v>
      </c>
      <c r="Z8" s="52"/>
      <c r="AA8" s="53">
        <f t="shared" si="4"/>
        <v>0</v>
      </c>
    </row>
    <row r="9" spans="1:27" ht="15.75" thickBot="1" x14ac:dyDescent="0.3">
      <c r="A9" s="17" t="s">
        <v>28</v>
      </c>
      <c r="B9" t="s">
        <v>119</v>
      </c>
      <c r="D9" s="38" t="str">
        <f t="array" ref="D9">INDEX($B$2:$B$95, MATCH(0, COUNTIF($D$1:D8, $B$2:$B$95), 0))</f>
        <v>HR-Marketing</v>
      </c>
      <c r="G9" s="50"/>
      <c r="H9" s="51">
        <f t="shared" si="5"/>
        <v>0</v>
      </c>
      <c r="I9" s="52"/>
      <c r="J9" s="51">
        <f t="shared" si="5"/>
        <v>0</v>
      </c>
      <c r="K9" s="52"/>
      <c r="L9" s="51">
        <f t="shared" si="6"/>
        <v>0</v>
      </c>
      <c r="M9" s="52"/>
      <c r="N9" s="51">
        <f t="shared" si="7"/>
        <v>0</v>
      </c>
      <c r="O9" s="52"/>
      <c r="P9" s="53">
        <f t="shared" si="8"/>
        <v>0</v>
      </c>
      <c r="R9" s="50"/>
      <c r="S9" s="51">
        <f t="shared" si="0"/>
        <v>0</v>
      </c>
      <c r="T9" s="52"/>
      <c r="U9" s="51">
        <f t="shared" si="1"/>
        <v>0</v>
      </c>
      <c r="V9" s="52"/>
      <c r="W9" s="51">
        <f t="shared" si="2"/>
        <v>0</v>
      </c>
      <c r="X9" s="52"/>
      <c r="Y9" s="51">
        <f t="shared" si="3"/>
        <v>0</v>
      </c>
      <c r="Z9" s="52"/>
      <c r="AA9" s="53">
        <f t="shared" si="4"/>
        <v>0</v>
      </c>
    </row>
    <row r="10" spans="1:27" ht="15.75" customHeight="1" thickBot="1" x14ac:dyDescent="0.3">
      <c r="A10" s="17" t="s">
        <v>37</v>
      </c>
      <c r="B10" t="s">
        <v>119</v>
      </c>
      <c r="C10" s="62"/>
      <c r="D10" s="38" t="str">
        <f t="array" ref="D10">INDEX($B$2:$B$95, MATCH(0, COUNTIF($D$1:D9, $B$2:$B$95), 0))</f>
        <v>Frontdesk</v>
      </c>
      <c r="E10" s="62"/>
      <c r="F10" s="62"/>
      <c r="G10" s="50"/>
      <c r="H10" s="51">
        <f t="shared" ref="H10:H13" si="9">IFERROR(G10/G$54,0%)</f>
        <v>0</v>
      </c>
      <c r="I10" s="52"/>
      <c r="J10" s="51">
        <f t="shared" ref="J10:J13" si="10">IFERROR(I10/I$54,0%)</f>
        <v>0</v>
      </c>
      <c r="K10" s="52"/>
      <c r="L10" s="51">
        <f t="shared" si="6"/>
        <v>0</v>
      </c>
      <c r="M10" s="52"/>
      <c r="N10" s="51">
        <f t="shared" si="7"/>
        <v>0</v>
      </c>
      <c r="O10" s="52"/>
      <c r="P10" s="53">
        <f t="shared" si="8"/>
        <v>0</v>
      </c>
      <c r="R10" s="50"/>
      <c r="S10" s="51">
        <f t="shared" si="0"/>
        <v>0</v>
      </c>
      <c r="T10" s="52"/>
      <c r="U10" s="51">
        <f t="shared" si="1"/>
        <v>0</v>
      </c>
      <c r="V10" s="52"/>
      <c r="W10" s="51">
        <f t="shared" si="2"/>
        <v>0</v>
      </c>
      <c r="X10" s="52"/>
      <c r="Y10" s="51">
        <f t="shared" si="3"/>
        <v>0</v>
      </c>
      <c r="Z10" s="52"/>
      <c r="AA10" s="53">
        <f t="shared" si="4"/>
        <v>0</v>
      </c>
    </row>
    <row r="11" spans="1:27" x14ac:dyDescent="0.25">
      <c r="A11" s="18" t="s">
        <v>43</v>
      </c>
      <c r="B11" t="s">
        <v>119</v>
      </c>
      <c r="D11" s="38" t="str">
        <f t="array" ref="D11">INDEX($B$2:$B$95, MATCH(0, COUNTIF($D$1:D10, $B$2:$B$95), 0))</f>
        <v>IT</v>
      </c>
      <c r="G11" s="50"/>
      <c r="H11" s="51">
        <f t="shared" si="9"/>
        <v>0</v>
      </c>
      <c r="I11" s="52"/>
      <c r="J11" s="51">
        <f t="shared" si="10"/>
        <v>0</v>
      </c>
      <c r="K11" s="52"/>
      <c r="L11" s="51">
        <f t="shared" si="6"/>
        <v>0</v>
      </c>
      <c r="M11" s="52"/>
      <c r="N11" s="51">
        <f t="shared" si="7"/>
        <v>0</v>
      </c>
      <c r="O11" s="52"/>
      <c r="P11" s="53">
        <f t="shared" si="8"/>
        <v>0</v>
      </c>
      <c r="R11" s="50"/>
      <c r="S11" s="51">
        <f t="shared" si="0"/>
        <v>0</v>
      </c>
      <c r="T11" s="52"/>
      <c r="U11" s="51">
        <f t="shared" si="1"/>
        <v>0</v>
      </c>
      <c r="V11" s="52"/>
      <c r="W11" s="51">
        <f t="shared" si="2"/>
        <v>0</v>
      </c>
      <c r="X11" s="52"/>
      <c r="Y11" s="51">
        <f t="shared" si="3"/>
        <v>0</v>
      </c>
      <c r="Z11" s="52"/>
      <c r="AA11" s="53">
        <f t="shared" si="4"/>
        <v>0</v>
      </c>
    </row>
    <row r="12" spans="1:27" x14ac:dyDescent="0.25">
      <c r="A12" s="19" t="s">
        <v>33</v>
      </c>
      <c r="B12" t="s">
        <v>120</v>
      </c>
      <c r="D12" s="38" t="str">
        <f t="array" ref="D12">INDEX($B$2:$B$95, MATCH(0, COUNTIF($D$1:D11, $B$2:$B$95), 0))</f>
        <v>TX_Management</v>
      </c>
      <c r="G12" s="50"/>
      <c r="H12" s="51">
        <f t="shared" si="9"/>
        <v>0</v>
      </c>
      <c r="I12" s="52"/>
      <c r="J12" s="51">
        <f t="shared" si="10"/>
        <v>0</v>
      </c>
      <c r="K12" s="52"/>
      <c r="L12" s="51">
        <f t="shared" si="6"/>
        <v>0</v>
      </c>
      <c r="M12" s="52"/>
      <c r="N12" s="51">
        <f t="shared" si="7"/>
        <v>0</v>
      </c>
      <c r="O12" s="52"/>
      <c r="P12" s="53">
        <f t="shared" si="8"/>
        <v>0</v>
      </c>
      <c r="R12" s="50"/>
      <c r="S12" s="51">
        <f t="shared" si="0"/>
        <v>0</v>
      </c>
      <c r="T12" s="52"/>
      <c r="U12" s="51">
        <f t="shared" si="1"/>
        <v>0</v>
      </c>
      <c r="V12" s="52"/>
      <c r="W12" s="51">
        <f t="shared" si="2"/>
        <v>0</v>
      </c>
      <c r="X12" s="52"/>
      <c r="Y12" s="51">
        <f t="shared" si="3"/>
        <v>0</v>
      </c>
      <c r="Z12" s="52"/>
      <c r="AA12" s="53">
        <f t="shared" si="4"/>
        <v>0</v>
      </c>
    </row>
    <row r="13" spans="1:27" x14ac:dyDescent="0.25">
      <c r="A13" s="18" t="s">
        <v>39</v>
      </c>
      <c r="B13" t="s">
        <v>120</v>
      </c>
      <c r="D13" s="38">
        <f t="array" ref="D13">INDEX($B$2:$B$95, MATCH(0, COUNTIF($D$1:D12, $B$2:$B$95), 0))</f>
        <v>0</v>
      </c>
      <c r="G13" s="50"/>
      <c r="H13" s="51">
        <f t="shared" si="9"/>
        <v>0</v>
      </c>
      <c r="I13" s="52"/>
      <c r="J13" s="51">
        <f t="shared" si="10"/>
        <v>0</v>
      </c>
      <c r="K13" s="52"/>
      <c r="L13" s="51">
        <f t="shared" si="6"/>
        <v>0</v>
      </c>
      <c r="M13" s="52"/>
      <c r="N13" s="51">
        <f t="shared" si="7"/>
        <v>0</v>
      </c>
      <c r="O13" s="52"/>
      <c r="P13" s="53">
        <f t="shared" si="8"/>
        <v>0</v>
      </c>
      <c r="R13" s="50"/>
      <c r="S13" s="51">
        <f t="shared" si="0"/>
        <v>0</v>
      </c>
      <c r="T13" s="52"/>
      <c r="U13" s="51">
        <f t="shared" si="1"/>
        <v>0</v>
      </c>
      <c r="V13" s="52"/>
      <c r="W13" s="51">
        <f t="shared" si="2"/>
        <v>0</v>
      </c>
      <c r="X13" s="52"/>
      <c r="Y13" s="51">
        <f t="shared" si="3"/>
        <v>0</v>
      </c>
      <c r="Z13" s="52"/>
      <c r="AA13" s="53">
        <f t="shared" si="4"/>
        <v>0</v>
      </c>
    </row>
    <row r="14" spans="1:27" x14ac:dyDescent="0.25">
      <c r="A14" s="17" t="s">
        <v>41</v>
      </c>
      <c r="B14" t="s">
        <v>120</v>
      </c>
      <c r="D14" s="38" t="e">
        <f t="array" ref="D14">INDEX($B$2:$B$95, MATCH(0, COUNTIF($D$1:D13, $B$2:$B$95), 0))</f>
        <v>#N/A</v>
      </c>
      <c r="G14" s="50"/>
      <c r="H14" s="51">
        <f t="shared" si="5"/>
        <v>0</v>
      </c>
      <c r="I14" s="52"/>
      <c r="J14" s="51">
        <f t="shared" si="5"/>
        <v>0</v>
      </c>
      <c r="K14" s="52"/>
      <c r="L14" s="51">
        <f t="shared" si="6"/>
        <v>0</v>
      </c>
      <c r="M14" s="52"/>
      <c r="N14" s="51">
        <f t="shared" si="7"/>
        <v>0</v>
      </c>
      <c r="O14" s="52"/>
      <c r="P14" s="53">
        <f t="shared" si="8"/>
        <v>0</v>
      </c>
      <c r="R14" s="50"/>
      <c r="S14" s="51">
        <f t="shared" si="0"/>
        <v>0</v>
      </c>
      <c r="T14" s="52"/>
      <c r="U14" s="51">
        <f t="shared" si="1"/>
        <v>0</v>
      </c>
      <c r="V14" s="52"/>
      <c r="W14" s="51">
        <f t="shared" si="2"/>
        <v>0</v>
      </c>
      <c r="X14" s="52"/>
      <c r="Y14" s="51">
        <f t="shared" si="3"/>
        <v>0</v>
      </c>
      <c r="Z14" s="52"/>
      <c r="AA14" s="53">
        <f t="shared" si="4"/>
        <v>0</v>
      </c>
    </row>
    <row r="15" spans="1:27" x14ac:dyDescent="0.25">
      <c r="A15" s="22" t="s">
        <v>60</v>
      </c>
      <c r="B15" t="s">
        <v>120</v>
      </c>
      <c r="D15" s="38" t="e">
        <f t="array" ref="D15">INDEX($B$2:$B$95, MATCH(0, COUNTIF($D$1:D14, $B$2:$B$95), 0))</f>
        <v>#N/A</v>
      </c>
      <c r="G15" s="50"/>
      <c r="H15" s="51">
        <f t="shared" si="5"/>
        <v>0</v>
      </c>
      <c r="I15" s="52"/>
      <c r="J15" s="51">
        <f t="shared" si="5"/>
        <v>0</v>
      </c>
      <c r="K15" s="52"/>
      <c r="L15" s="51">
        <f t="shared" si="6"/>
        <v>0</v>
      </c>
      <c r="M15" s="52"/>
      <c r="N15" s="51">
        <f t="shared" si="7"/>
        <v>0</v>
      </c>
      <c r="O15" s="52"/>
      <c r="P15" s="53">
        <f t="shared" si="8"/>
        <v>0</v>
      </c>
      <c r="R15" s="50"/>
      <c r="S15" s="51">
        <f t="shared" si="0"/>
        <v>0</v>
      </c>
      <c r="T15" s="52"/>
      <c r="U15" s="51">
        <f t="shared" si="1"/>
        <v>0</v>
      </c>
      <c r="V15" s="52"/>
      <c r="W15" s="51">
        <f t="shared" si="2"/>
        <v>0</v>
      </c>
      <c r="X15" s="52"/>
      <c r="Y15" s="51">
        <f t="shared" si="3"/>
        <v>0</v>
      </c>
      <c r="Z15" s="52"/>
      <c r="AA15" s="53">
        <f t="shared" si="4"/>
        <v>0</v>
      </c>
    </row>
    <row r="16" spans="1:27" x14ac:dyDescent="0.25">
      <c r="A16" s="17" t="s">
        <v>17</v>
      </c>
      <c r="B16" t="s">
        <v>121</v>
      </c>
      <c r="D16" s="38" t="e">
        <f t="array" ref="D16">INDEX($B$2:$B$95, MATCH(0, COUNTIF($D$1:D15, $B$2:$B$95), 0))</f>
        <v>#N/A</v>
      </c>
      <c r="G16" s="50"/>
      <c r="H16" s="51">
        <f t="shared" si="5"/>
        <v>0</v>
      </c>
      <c r="I16" s="52"/>
      <c r="J16" s="51">
        <f t="shared" si="5"/>
        <v>0</v>
      </c>
      <c r="K16" s="52"/>
      <c r="L16" s="51">
        <f t="shared" si="6"/>
        <v>0</v>
      </c>
      <c r="M16" s="52"/>
      <c r="N16" s="51">
        <f t="shared" si="7"/>
        <v>0</v>
      </c>
      <c r="O16" s="52"/>
      <c r="P16" s="53">
        <f t="shared" si="8"/>
        <v>0</v>
      </c>
      <c r="R16" s="50"/>
      <c r="S16" s="51">
        <f t="shared" si="0"/>
        <v>0</v>
      </c>
      <c r="T16" s="52"/>
      <c r="U16" s="51">
        <f t="shared" si="1"/>
        <v>0</v>
      </c>
      <c r="V16" s="52"/>
      <c r="W16" s="51">
        <f t="shared" si="2"/>
        <v>0</v>
      </c>
      <c r="X16" s="52"/>
      <c r="Y16" s="51">
        <f t="shared" si="3"/>
        <v>0</v>
      </c>
      <c r="Z16" s="52"/>
      <c r="AA16" s="53">
        <f t="shared" si="4"/>
        <v>0</v>
      </c>
    </row>
    <row r="17" spans="1:27" x14ac:dyDescent="0.25">
      <c r="A17" s="17" t="s">
        <v>21</v>
      </c>
      <c r="B17" t="s">
        <v>121</v>
      </c>
      <c r="D17" s="38" t="e">
        <f t="array" ref="D17">INDEX($B$2:$B$95, MATCH(0, COUNTIF($D$1:D16, $B$2:$B$95), 0))</f>
        <v>#N/A</v>
      </c>
      <c r="G17" s="50"/>
      <c r="H17" s="51">
        <f t="shared" si="5"/>
        <v>0</v>
      </c>
      <c r="I17" s="52"/>
      <c r="J17" s="51">
        <f t="shared" si="5"/>
        <v>0</v>
      </c>
      <c r="K17" s="52"/>
      <c r="L17" s="51">
        <f t="shared" si="6"/>
        <v>0</v>
      </c>
      <c r="M17" s="52"/>
      <c r="N17" s="51">
        <f t="shared" si="7"/>
        <v>0</v>
      </c>
      <c r="O17" s="52"/>
      <c r="P17" s="53">
        <f t="shared" si="8"/>
        <v>0</v>
      </c>
      <c r="R17" s="50"/>
      <c r="S17" s="51">
        <f t="shared" si="0"/>
        <v>0</v>
      </c>
      <c r="T17" s="52"/>
      <c r="U17" s="51">
        <f t="shared" si="1"/>
        <v>0</v>
      </c>
      <c r="V17" s="52"/>
      <c r="W17" s="51">
        <f t="shared" si="2"/>
        <v>0</v>
      </c>
      <c r="X17" s="52"/>
      <c r="Y17" s="51">
        <f t="shared" si="3"/>
        <v>0</v>
      </c>
      <c r="Z17" s="52"/>
      <c r="AA17" s="53">
        <f t="shared" si="4"/>
        <v>0</v>
      </c>
    </row>
    <row r="18" spans="1:27" x14ac:dyDescent="0.25">
      <c r="A18" s="17" t="s">
        <v>26</v>
      </c>
      <c r="B18" t="s">
        <v>121</v>
      </c>
      <c r="D18" s="38" t="e">
        <f t="array" ref="D18">INDEX($B$2:$B$95, MATCH(0, COUNTIF($D$1:D17, $B$2:$B$95), 0))</f>
        <v>#N/A</v>
      </c>
      <c r="G18" s="50"/>
      <c r="H18" s="51">
        <f t="shared" si="5"/>
        <v>0</v>
      </c>
      <c r="I18" s="52"/>
      <c r="J18" s="51">
        <f t="shared" si="5"/>
        <v>0</v>
      </c>
      <c r="K18" s="52"/>
      <c r="L18" s="51">
        <f t="shared" si="6"/>
        <v>0</v>
      </c>
      <c r="M18" s="52"/>
      <c r="N18" s="51">
        <f t="shared" si="7"/>
        <v>0</v>
      </c>
      <c r="O18" s="52"/>
      <c r="P18" s="53">
        <f t="shared" si="8"/>
        <v>0</v>
      </c>
      <c r="R18" s="50"/>
      <c r="S18" s="51">
        <f t="shared" si="0"/>
        <v>0</v>
      </c>
      <c r="T18" s="52"/>
      <c r="U18" s="51">
        <f t="shared" si="1"/>
        <v>0</v>
      </c>
      <c r="V18" s="52"/>
      <c r="W18" s="51">
        <f t="shared" si="2"/>
        <v>0</v>
      </c>
      <c r="X18" s="52"/>
      <c r="Y18" s="51">
        <f t="shared" si="3"/>
        <v>0</v>
      </c>
      <c r="Z18" s="52"/>
      <c r="AA18" s="53">
        <f t="shared" si="4"/>
        <v>0</v>
      </c>
    </row>
    <row r="19" spans="1:27" x14ac:dyDescent="0.25">
      <c r="A19" s="23" t="s">
        <v>58</v>
      </c>
      <c r="B19" t="s">
        <v>121</v>
      </c>
      <c r="D19" s="38" t="e">
        <f t="array" ref="D19">INDEX($B$2:$B$95, MATCH(0, COUNTIF($D$1:D18, $B$2:$B$95), 0))</f>
        <v>#N/A</v>
      </c>
      <c r="G19" s="50"/>
      <c r="H19" s="51">
        <f t="shared" si="5"/>
        <v>0</v>
      </c>
      <c r="I19" s="52"/>
      <c r="J19" s="51">
        <f t="shared" si="5"/>
        <v>0</v>
      </c>
      <c r="K19" s="52"/>
      <c r="L19" s="51">
        <f t="shared" si="6"/>
        <v>0</v>
      </c>
      <c r="M19" s="52"/>
      <c r="N19" s="51">
        <f t="shared" si="7"/>
        <v>0</v>
      </c>
      <c r="O19" s="52"/>
      <c r="P19" s="53">
        <f t="shared" si="8"/>
        <v>0</v>
      </c>
      <c r="R19" s="50"/>
      <c r="S19" s="51">
        <f t="shared" si="0"/>
        <v>0</v>
      </c>
      <c r="T19" s="52"/>
      <c r="U19" s="51">
        <f t="shared" si="1"/>
        <v>0</v>
      </c>
      <c r="V19" s="52"/>
      <c r="W19" s="51">
        <f t="shared" si="2"/>
        <v>0</v>
      </c>
      <c r="X19" s="52"/>
      <c r="Y19" s="51">
        <f t="shared" si="3"/>
        <v>0</v>
      </c>
      <c r="Z19" s="52"/>
      <c r="AA19" s="53">
        <f t="shared" si="4"/>
        <v>0</v>
      </c>
    </row>
    <row r="20" spans="1:27" x14ac:dyDescent="0.25">
      <c r="A20" s="20" t="s">
        <v>35</v>
      </c>
      <c r="B20" t="s">
        <v>122</v>
      </c>
      <c r="D20" s="38" t="e">
        <f t="array" ref="D20">INDEX($B$2:$B$95, MATCH(0, COUNTIF($D$1:D19, $B$2:$B$95), 0))</f>
        <v>#N/A</v>
      </c>
      <c r="G20" s="50"/>
      <c r="H20" s="51">
        <f t="shared" si="5"/>
        <v>0</v>
      </c>
      <c r="I20" s="52"/>
      <c r="J20" s="51">
        <f t="shared" si="5"/>
        <v>0</v>
      </c>
      <c r="K20" s="52"/>
      <c r="L20" s="51">
        <f t="shared" si="6"/>
        <v>0</v>
      </c>
      <c r="M20" s="52"/>
      <c r="N20" s="51">
        <f t="shared" si="7"/>
        <v>0</v>
      </c>
      <c r="O20" s="52"/>
      <c r="P20" s="53">
        <f t="shared" si="8"/>
        <v>0</v>
      </c>
      <c r="R20" s="50"/>
      <c r="S20" s="51">
        <f t="shared" si="0"/>
        <v>0</v>
      </c>
      <c r="T20" s="52"/>
      <c r="U20" s="51">
        <f t="shared" si="1"/>
        <v>0</v>
      </c>
      <c r="V20" s="52"/>
      <c r="W20" s="51">
        <f t="shared" si="2"/>
        <v>0</v>
      </c>
      <c r="X20" s="52"/>
      <c r="Y20" s="51">
        <f t="shared" si="3"/>
        <v>0</v>
      </c>
      <c r="Z20" s="52"/>
      <c r="AA20" s="53">
        <f t="shared" si="4"/>
        <v>0</v>
      </c>
    </row>
    <row r="21" spans="1:27" x14ac:dyDescent="0.25">
      <c r="A21" s="16" t="s">
        <v>14</v>
      </c>
      <c r="B21" t="s">
        <v>123</v>
      </c>
      <c r="D21" s="38" t="e">
        <f t="array" ref="D21">INDEX($B$2:$B$95, MATCH(0, COUNTIF($D$1:D20, $B$2:$B$95), 0))</f>
        <v>#N/A</v>
      </c>
      <c r="G21" s="50"/>
      <c r="H21" s="51">
        <f t="shared" si="5"/>
        <v>0</v>
      </c>
      <c r="I21" s="52"/>
      <c r="J21" s="51">
        <f t="shared" si="5"/>
        <v>0</v>
      </c>
      <c r="K21" s="52"/>
      <c r="L21" s="51">
        <f t="shared" si="6"/>
        <v>0</v>
      </c>
      <c r="M21" s="52"/>
      <c r="N21" s="51">
        <f t="shared" si="7"/>
        <v>0</v>
      </c>
      <c r="O21" s="52"/>
      <c r="P21" s="53">
        <f t="shared" si="8"/>
        <v>0</v>
      </c>
      <c r="R21" s="50"/>
      <c r="S21" s="51">
        <f t="shared" si="0"/>
        <v>0</v>
      </c>
      <c r="T21" s="52"/>
      <c r="U21" s="51">
        <f t="shared" si="1"/>
        <v>0</v>
      </c>
      <c r="V21" s="52"/>
      <c r="W21" s="51">
        <f t="shared" si="2"/>
        <v>0</v>
      </c>
      <c r="X21" s="52"/>
      <c r="Y21" s="51">
        <f t="shared" si="3"/>
        <v>0</v>
      </c>
      <c r="Z21" s="52"/>
      <c r="AA21" s="53">
        <f t="shared" si="4"/>
        <v>0</v>
      </c>
    </row>
    <row r="22" spans="1:27" x14ac:dyDescent="0.25">
      <c r="A22" s="18" t="s">
        <v>19</v>
      </c>
      <c r="B22" t="s">
        <v>123</v>
      </c>
      <c r="D22" s="38" t="e">
        <f t="array" ref="D22">INDEX($B$2:$B$95, MATCH(0, COUNTIF($D$1:D21, $B$2:$B$95), 0))</f>
        <v>#N/A</v>
      </c>
      <c r="G22" s="50"/>
      <c r="H22" s="51">
        <f t="shared" ref="H22:J37" si="11">IFERROR(G22/G$54,0%)</f>
        <v>0</v>
      </c>
      <c r="I22" s="52"/>
      <c r="J22" s="51">
        <f t="shared" si="11"/>
        <v>0</v>
      </c>
      <c r="K22" s="52"/>
      <c r="L22" s="51">
        <f t="shared" si="6"/>
        <v>0</v>
      </c>
      <c r="M22" s="52"/>
      <c r="N22" s="51">
        <f t="shared" si="7"/>
        <v>0</v>
      </c>
      <c r="O22" s="52"/>
      <c r="P22" s="53">
        <f t="shared" si="8"/>
        <v>0</v>
      </c>
      <c r="R22" s="50"/>
      <c r="S22" s="51">
        <f t="shared" si="0"/>
        <v>0</v>
      </c>
      <c r="T22" s="52"/>
      <c r="U22" s="51">
        <f t="shared" si="1"/>
        <v>0</v>
      </c>
      <c r="V22" s="52"/>
      <c r="W22" s="51">
        <f t="shared" si="2"/>
        <v>0</v>
      </c>
      <c r="X22" s="52"/>
      <c r="Y22" s="51">
        <f t="shared" si="3"/>
        <v>0</v>
      </c>
      <c r="Z22" s="52"/>
      <c r="AA22" s="53">
        <f t="shared" si="4"/>
        <v>0</v>
      </c>
    </row>
    <row r="23" spans="1:27" x14ac:dyDescent="0.25">
      <c r="A23" s="18" t="s">
        <v>22</v>
      </c>
      <c r="B23" t="s">
        <v>123</v>
      </c>
      <c r="D23" s="38" t="e">
        <f t="array" ref="D23">INDEX($B$2:$B$95, MATCH(0, COUNTIF($D$1:D22, $B$2:$B$95), 0))</f>
        <v>#N/A</v>
      </c>
      <c r="G23" s="50"/>
      <c r="H23" s="51">
        <f t="shared" si="11"/>
        <v>0</v>
      </c>
      <c r="I23" s="52"/>
      <c r="J23" s="51">
        <f t="shared" si="11"/>
        <v>0</v>
      </c>
      <c r="K23" s="52"/>
      <c r="L23" s="51">
        <f t="shared" si="6"/>
        <v>0</v>
      </c>
      <c r="M23" s="52"/>
      <c r="N23" s="51">
        <f t="shared" si="7"/>
        <v>0</v>
      </c>
      <c r="O23" s="52"/>
      <c r="P23" s="53">
        <f t="shared" si="8"/>
        <v>0</v>
      </c>
      <c r="R23" s="50"/>
      <c r="S23" s="51">
        <f t="shared" si="0"/>
        <v>0</v>
      </c>
      <c r="T23" s="52"/>
      <c r="U23" s="51">
        <f t="shared" si="1"/>
        <v>0</v>
      </c>
      <c r="V23" s="52"/>
      <c r="W23" s="51">
        <f t="shared" si="2"/>
        <v>0</v>
      </c>
      <c r="X23" s="52"/>
      <c r="Y23" s="51">
        <f t="shared" si="3"/>
        <v>0</v>
      </c>
      <c r="Z23" s="52"/>
      <c r="AA23" s="53">
        <f t="shared" si="4"/>
        <v>0</v>
      </c>
    </row>
    <row r="24" spans="1:27" x14ac:dyDescent="0.25">
      <c r="A24" s="39" t="s">
        <v>190</v>
      </c>
      <c r="B24" t="s">
        <v>123</v>
      </c>
      <c r="D24" s="38" t="e">
        <f t="array" ref="D24">INDEX($B$2:$B$95, MATCH(0, COUNTIF($D$1:D23, $B$2:$B$95), 0))</f>
        <v>#N/A</v>
      </c>
      <c r="G24" s="50"/>
      <c r="H24" s="51">
        <f t="shared" si="11"/>
        <v>0</v>
      </c>
      <c r="I24" s="52"/>
      <c r="J24" s="51">
        <f t="shared" si="11"/>
        <v>0</v>
      </c>
      <c r="K24" s="52"/>
      <c r="L24" s="51">
        <f t="shared" si="6"/>
        <v>0</v>
      </c>
      <c r="M24" s="52"/>
      <c r="N24" s="51">
        <f t="shared" si="7"/>
        <v>0</v>
      </c>
      <c r="O24" s="52"/>
      <c r="P24" s="53">
        <f t="shared" si="8"/>
        <v>0</v>
      </c>
      <c r="R24" s="50"/>
      <c r="S24" s="51">
        <f t="shared" si="0"/>
        <v>0</v>
      </c>
      <c r="T24" s="52"/>
      <c r="U24" s="51">
        <f t="shared" si="1"/>
        <v>0</v>
      </c>
      <c r="V24" s="52"/>
      <c r="W24" s="51">
        <f t="shared" si="2"/>
        <v>0</v>
      </c>
      <c r="X24" s="52"/>
      <c r="Y24" s="51">
        <f t="shared" si="3"/>
        <v>0</v>
      </c>
      <c r="Z24" s="52"/>
      <c r="AA24" s="53">
        <f t="shared" si="4"/>
        <v>0</v>
      </c>
    </row>
    <row r="25" spans="1:27" x14ac:dyDescent="0.25">
      <c r="A25" s="18" t="s">
        <v>50</v>
      </c>
      <c r="B25" t="s">
        <v>124</v>
      </c>
      <c r="D25" s="38" t="e">
        <f t="array" ref="D25">INDEX($B$2:$B$95, MATCH(0, COUNTIF($D$1:D24, $B$2:$B$95), 0))</f>
        <v>#N/A</v>
      </c>
      <c r="G25" s="50"/>
      <c r="H25" s="51">
        <f t="shared" si="11"/>
        <v>0</v>
      </c>
      <c r="I25" s="52"/>
      <c r="J25" s="51">
        <f t="shared" si="11"/>
        <v>0</v>
      </c>
      <c r="K25" s="52"/>
      <c r="L25" s="51">
        <f t="shared" si="6"/>
        <v>0</v>
      </c>
      <c r="M25" s="52"/>
      <c r="N25" s="51">
        <f t="shared" si="7"/>
        <v>0</v>
      </c>
      <c r="O25" s="52"/>
      <c r="P25" s="53">
        <f t="shared" si="8"/>
        <v>0</v>
      </c>
      <c r="R25" s="50"/>
      <c r="S25" s="51">
        <f t="shared" si="0"/>
        <v>0</v>
      </c>
      <c r="T25" s="52"/>
      <c r="U25" s="51">
        <f t="shared" si="1"/>
        <v>0</v>
      </c>
      <c r="V25" s="52"/>
      <c r="W25" s="51">
        <f t="shared" si="2"/>
        <v>0</v>
      </c>
      <c r="X25" s="52"/>
      <c r="Y25" s="51">
        <f t="shared" si="3"/>
        <v>0</v>
      </c>
      <c r="Z25" s="52"/>
      <c r="AA25" s="53">
        <f t="shared" si="4"/>
        <v>0</v>
      </c>
    </row>
    <row r="26" spans="1:27" x14ac:dyDescent="0.25">
      <c r="A26" s="22" t="s">
        <v>53</v>
      </c>
      <c r="B26" t="s">
        <v>124</v>
      </c>
      <c r="D26" s="38" t="e">
        <f t="array" ref="D26">INDEX($B$2:$B$95, MATCH(0, COUNTIF($D$1:D25, $B$2:$B$95), 0))</f>
        <v>#N/A</v>
      </c>
      <c r="G26" s="50"/>
      <c r="H26" s="51">
        <f t="shared" si="11"/>
        <v>0</v>
      </c>
      <c r="I26" s="52"/>
      <c r="J26" s="51">
        <f t="shared" si="11"/>
        <v>0</v>
      </c>
      <c r="K26" s="52"/>
      <c r="L26" s="51">
        <f t="shared" si="6"/>
        <v>0</v>
      </c>
      <c r="M26" s="52"/>
      <c r="N26" s="51">
        <f t="shared" si="7"/>
        <v>0</v>
      </c>
      <c r="O26" s="52"/>
      <c r="P26" s="53">
        <f t="shared" si="8"/>
        <v>0</v>
      </c>
      <c r="R26" s="50"/>
      <c r="S26" s="51">
        <f t="shared" si="0"/>
        <v>0</v>
      </c>
      <c r="T26" s="52"/>
      <c r="U26" s="51">
        <f t="shared" si="1"/>
        <v>0</v>
      </c>
      <c r="V26" s="52"/>
      <c r="W26" s="51">
        <f t="shared" si="2"/>
        <v>0</v>
      </c>
      <c r="X26" s="52"/>
      <c r="Y26" s="51">
        <f t="shared" si="3"/>
        <v>0</v>
      </c>
      <c r="Z26" s="52"/>
      <c r="AA26" s="53">
        <f t="shared" si="4"/>
        <v>0</v>
      </c>
    </row>
    <row r="27" spans="1:27" x14ac:dyDescent="0.25">
      <c r="A27" s="23" t="s">
        <v>55</v>
      </c>
      <c r="B27" t="s">
        <v>124</v>
      </c>
      <c r="D27" s="38" t="e">
        <f t="array" ref="D27">INDEX($B$2:$B$95, MATCH(0, COUNTIF($D$1:D26, $B$2:$B$95), 0))</f>
        <v>#N/A</v>
      </c>
      <c r="G27" s="50"/>
      <c r="H27" s="51">
        <f t="shared" si="11"/>
        <v>0</v>
      </c>
      <c r="I27" s="52"/>
      <c r="J27" s="51">
        <f t="shared" si="11"/>
        <v>0</v>
      </c>
      <c r="K27" s="52"/>
      <c r="L27" s="51">
        <f t="shared" si="6"/>
        <v>0</v>
      </c>
      <c r="M27" s="52"/>
      <c r="N27" s="51">
        <f t="shared" si="7"/>
        <v>0</v>
      </c>
      <c r="O27" s="52"/>
      <c r="P27" s="53">
        <f t="shared" si="8"/>
        <v>0</v>
      </c>
      <c r="R27" s="50"/>
      <c r="S27" s="51">
        <f t="shared" si="0"/>
        <v>0</v>
      </c>
      <c r="T27" s="52"/>
      <c r="U27" s="51">
        <f t="shared" si="1"/>
        <v>0</v>
      </c>
      <c r="V27" s="52"/>
      <c r="W27" s="51">
        <f t="shared" si="2"/>
        <v>0</v>
      </c>
      <c r="X27" s="52"/>
      <c r="Y27" s="51">
        <f t="shared" si="3"/>
        <v>0</v>
      </c>
      <c r="Z27" s="52"/>
      <c r="AA27" s="53">
        <f t="shared" si="4"/>
        <v>0</v>
      </c>
    </row>
    <row r="28" spans="1:27" x14ac:dyDescent="0.25">
      <c r="A28" s="17" t="s">
        <v>45</v>
      </c>
      <c r="B28" t="s">
        <v>172</v>
      </c>
      <c r="D28" s="38" t="e">
        <f t="array" ref="D28">INDEX($B$2:$B$95, MATCH(0, COUNTIF($D$1:D27, $B$2:$B$95), 0))</f>
        <v>#N/A</v>
      </c>
      <c r="G28" s="50"/>
      <c r="H28" s="51">
        <f t="shared" si="11"/>
        <v>0</v>
      </c>
      <c r="I28" s="52"/>
      <c r="J28" s="51">
        <f t="shared" si="11"/>
        <v>0</v>
      </c>
      <c r="K28" s="52"/>
      <c r="L28" s="51">
        <f t="shared" si="6"/>
        <v>0</v>
      </c>
      <c r="M28" s="52"/>
      <c r="N28" s="51">
        <f t="shared" si="7"/>
        <v>0</v>
      </c>
      <c r="O28" s="52"/>
      <c r="P28" s="53">
        <f t="shared" si="8"/>
        <v>0</v>
      </c>
      <c r="R28" s="50"/>
      <c r="S28" s="51">
        <f t="shared" si="0"/>
        <v>0</v>
      </c>
      <c r="T28" s="52"/>
      <c r="U28" s="51">
        <f t="shared" si="1"/>
        <v>0</v>
      </c>
      <c r="V28" s="52"/>
      <c r="W28" s="51">
        <f t="shared" si="2"/>
        <v>0</v>
      </c>
      <c r="X28" s="52"/>
      <c r="Y28" s="51">
        <f t="shared" si="3"/>
        <v>0</v>
      </c>
      <c r="Z28" s="52"/>
      <c r="AA28" s="53">
        <f t="shared" si="4"/>
        <v>0</v>
      </c>
    </row>
    <row r="29" spans="1:27" x14ac:dyDescent="0.25">
      <c r="A29" s="22" t="s">
        <v>125</v>
      </c>
      <c r="B29" t="s">
        <v>172</v>
      </c>
      <c r="D29" s="38" t="e">
        <f t="array" ref="D29">INDEX($B$2:$B$95, MATCH(0, COUNTIF($D$1:D28, $B$2:$B$95), 0))</f>
        <v>#N/A</v>
      </c>
      <c r="G29" s="50"/>
      <c r="H29" s="51">
        <f t="shared" si="11"/>
        <v>0</v>
      </c>
      <c r="I29" s="52"/>
      <c r="J29" s="51">
        <f t="shared" si="11"/>
        <v>0</v>
      </c>
      <c r="K29" s="52"/>
      <c r="L29" s="51">
        <f t="shared" si="6"/>
        <v>0</v>
      </c>
      <c r="M29" s="52"/>
      <c r="N29" s="51">
        <f t="shared" si="7"/>
        <v>0</v>
      </c>
      <c r="O29" s="52"/>
      <c r="P29" s="53">
        <f t="shared" si="8"/>
        <v>0</v>
      </c>
      <c r="R29" s="50"/>
      <c r="S29" s="51">
        <f t="shared" si="0"/>
        <v>0</v>
      </c>
      <c r="T29" s="52"/>
      <c r="U29" s="51">
        <f t="shared" si="1"/>
        <v>0</v>
      </c>
      <c r="V29" s="52"/>
      <c r="W29" s="51">
        <f t="shared" si="2"/>
        <v>0</v>
      </c>
      <c r="X29" s="52"/>
      <c r="Y29" s="51">
        <f t="shared" si="3"/>
        <v>0</v>
      </c>
      <c r="Z29" s="52"/>
      <c r="AA29" s="53">
        <f t="shared" si="4"/>
        <v>0</v>
      </c>
    </row>
    <row r="30" spans="1:27" x14ac:dyDescent="0.25">
      <c r="A30" s="23" t="s">
        <v>130</v>
      </c>
      <c r="B30" t="s">
        <v>173</v>
      </c>
      <c r="D30" s="38" t="e">
        <f t="array" ref="D30">INDEX($B$2:$B$95, MATCH(0, COUNTIF($D$1:D29, $B$2:$B$95), 0))</f>
        <v>#N/A</v>
      </c>
      <c r="G30" s="50"/>
      <c r="H30" s="51">
        <f t="shared" si="11"/>
        <v>0</v>
      </c>
      <c r="I30" s="52"/>
      <c r="J30" s="51">
        <f t="shared" si="11"/>
        <v>0</v>
      </c>
      <c r="K30" s="52"/>
      <c r="L30" s="51">
        <f t="shared" si="6"/>
        <v>0</v>
      </c>
      <c r="M30" s="52"/>
      <c r="N30" s="51">
        <f t="shared" si="7"/>
        <v>0</v>
      </c>
      <c r="O30" s="52"/>
      <c r="P30" s="53">
        <f t="shared" si="8"/>
        <v>0</v>
      </c>
      <c r="R30" s="50"/>
      <c r="S30" s="51">
        <f t="shared" si="0"/>
        <v>0</v>
      </c>
      <c r="T30" s="52"/>
      <c r="U30" s="51">
        <f t="shared" si="1"/>
        <v>0</v>
      </c>
      <c r="V30" s="52"/>
      <c r="W30" s="51">
        <f t="shared" si="2"/>
        <v>0</v>
      </c>
      <c r="X30" s="52"/>
      <c r="Y30" s="51">
        <f t="shared" si="3"/>
        <v>0</v>
      </c>
      <c r="Z30" s="52"/>
      <c r="AA30" s="53">
        <f t="shared" si="4"/>
        <v>0</v>
      </c>
    </row>
    <row r="31" spans="1:27" x14ac:dyDescent="0.25">
      <c r="D31" s="38" t="e">
        <f t="array" ref="D31">INDEX($B$2:$B$95, MATCH(0, COUNTIF($D$1:D30, $B$2:$B$95), 0))</f>
        <v>#N/A</v>
      </c>
      <c r="G31" s="50"/>
      <c r="H31" s="51">
        <f t="shared" si="11"/>
        <v>0</v>
      </c>
      <c r="I31" s="52"/>
      <c r="J31" s="51">
        <f t="shared" si="11"/>
        <v>0</v>
      </c>
      <c r="K31" s="52"/>
      <c r="L31" s="51">
        <f t="shared" si="6"/>
        <v>0</v>
      </c>
      <c r="M31" s="52"/>
      <c r="N31" s="51">
        <f t="shared" si="7"/>
        <v>0</v>
      </c>
      <c r="O31" s="52"/>
      <c r="P31" s="53">
        <f t="shared" si="8"/>
        <v>0</v>
      </c>
      <c r="R31" s="50"/>
      <c r="S31" s="51">
        <f t="shared" si="0"/>
        <v>0</v>
      </c>
      <c r="T31" s="52"/>
      <c r="U31" s="51">
        <f t="shared" si="1"/>
        <v>0</v>
      </c>
      <c r="V31" s="52"/>
      <c r="W31" s="51">
        <f t="shared" si="2"/>
        <v>0</v>
      </c>
      <c r="X31" s="52"/>
      <c r="Y31" s="51">
        <f t="shared" si="3"/>
        <v>0</v>
      </c>
      <c r="Z31" s="52"/>
      <c r="AA31" s="53">
        <f t="shared" si="4"/>
        <v>0</v>
      </c>
    </row>
    <row r="32" spans="1:27" x14ac:dyDescent="0.25">
      <c r="D32" s="38" t="e">
        <f t="array" ref="D32">INDEX($B$2:$B$95, MATCH(0, COUNTIF($D$1:D31, $B$2:$B$95), 0))</f>
        <v>#N/A</v>
      </c>
      <c r="G32" s="50"/>
      <c r="H32" s="51">
        <f t="shared" si="11"/>
        <v>0</v>
      </c>
      <c r="I32" s="52"/>
      <c r="J32" s="51">
        <f t="shared" si="11"/>
        <v>0</v>
      </c>
      <c r="K32" s="52"/>
      <c r="L32" s="51">
        <f t="shared" si="6"/>
        <v>0</v>
      </c>
      <c r="M32" s="52"/>
      <c r="N32" s="51">
        <f t="shared" si="7"/>
        <v>0</v>
      </c>
      <c r="O32" s="52"/>
      <c r="P32" s="53">
        <f t="shared" si="8"/>
        <v>0</v>
      </c>
      <c r="R32" s="50"/>
      <c r="S32" s="51">
        <f t="shared" si="0"/>
        <v>0</v>
      </c>
      <c r="T32" s="52"/>
      <c r="U32" s="51">
        <f t="shared" si="1"/>
        <v>0</v>
      </c>
      <c r="V32" s="52"/>
      <c r="W32" s="51">
        <f t="shared" si="2"/>
        <v>0</v>
      </c>
      <c r="X32" s="52"/>
      <c r="Y32" s="51">
        <f t="shared" si="3"/>
        <v>0</v>
      </c>
      <c r="Z32" s="52"/>
      <c r="AA32" s="53">
        <f t="shared" si="4"/>
        <v>0</v>
      </c>
    </row>
    <row r="33" spans="4:27" x14ac:dyDescent="0.25">
      <c r="D33" s="38" t="e">
        <f t="array" ref="D33">INDEX($B$2:$B$95, MATCH(0, COUNTIF($D$1:D32, $B$2:$B$95), 0))</f>
        <v>#N/A</v>
      </c>
      <c r="G33" s="50"/>
      <c r="H33" s="51">
        <f t="shared" si="11"/>
        <v>0</v>
      </c>
      <c r="I33" s="52"/>
      <c r="J33" s="51">
        <f t="shared" si="11"/>
        <v>0</v>
      </c>
      <c r="K33" s="52"/>
      <c r="L33" s="51">
        <f t="shared" si="6"/>
        <v>0</v>
      </c>
      <c r="M33" s="52"/>
      <c r="N33" s="51">
        <f t="shared" si="7"/>
        <v>0</v>
      </c>
      <c r="O33" s="52"/>
      <c r="P33" s="53">
        <f t="shared" si="8"/>
        <v>0</v>
      </c>
      <c r="R33" s="50"/>
      <c r="S33" s="51">
        <f t="shared" si="0"/>
        <v>0</v>
      </c>
      <c r="T33" s="52"/>
      <c r="U33" s="51">
        <f t="shared" si="1"/>
        <v>0</v>
      </c>
      <c r="V33" s="52"/>
      <c r="W33" s="51">
        <f t="shared" si="2"/>
        <v>0</v>
      </c>
      <c r="X33" s="52"/>
      <c r="Y33" s="51">
        <f t="shared" si="3"/>
        <v>0</v>
      </c>
      <c r="Z33" s="52"/>
      <c r="AA33" s="53">
        <f t="shared" si="4"/>
        <v>0</v>
      </c>
    </row>
    <row r="34" spans="4:27" x14ac:dyDescent="0.25">
      <c r="D34" s="38" t="e">
        <f t="array" ref="D34">INDEX($B$2:$B$95, MATCH(0, COUNTIF($D$1:D33, $B$2:$B$95), 0))</f>
        <v>#N/A</v>
      </c>
      <c r="G34" s="50"/>
      <c r="H34" s="51">
        <f t="shared" si="11"/>
        <v>0</v>
      </c>
      <c r="I34" s="52"/>
      <c r="J34" s="51">
        <f t="shared" si="11"/>
        <v>0</v>
      </c>
      <c r="K34" s="52"/>
      <c r="L34" s="51">
        <f t="shared" si="6"/>
        <v>0</v>
      </c>
      <c r="M34" s="52"/>
      <c r="N34" s="51">
        <f t="shared" si="7"/>
        <v>0</v>
      </c>
      <c r="O34" s="52"/>
      <c r="P34" s="53">
        <f t="shared" si="8"/>
        <v>0</v>
      </c>
      <c r="R34" s="50"/>
      <c r="S34" s="51">
        <f t="shared" si="0"/>
        <v>0</v>
      </c>
      <c r="T34" s="52"/>
      <c r="U34" s="51">
        <f t="shared" si="1"/>
        <v>0</v>
      </c>
      <c r="V34" s="52"/>
      <c r="W34" s="51">
        <f t="shared" si="2"/>
        <v>0</v>
      </c>
      <c r="X34" s="52"/>
      <c r="Y34" s="51">
        <f t="shared" si="3"/>
        <v>0</v>
      </c>
      <c r="Z34" s="52"/>
      <c r="AA34" s="53">
        <f t="shared" si="4"/>
        <v>0</v>
      </c>
    </row>
    <row r="35" spans="4:27" x14ac:dyDescent="0.25">
      <c r="D35" s="38" t="e">
        <f t="array" ref="D35">INDEX($B$2:$B$95, MATCH(0, COUNTIF($D$1:D34, $B$2:$B$95), 0))</f>
        <v>#N/A</v>
      </c>
      <c r="G35" s="50"/>
      <c r="H35" s="51">
        <f t="shared" si="11"/>
        <v>0</v>
      </c>
      <c r="I35" s="52"/>
      <c r="J35" s="51">
        <f t="shared" si="11"/>
        <v>0</v>
      </c>
      <c r="K35" s="52"/>
      <c r="L35" s="51">
        <f t="shared" si="6"/>
        <v>0</v>
      </c>
      <c r="M35" s="52"/>
      <c r="N35" s="51">
        <f t="shared" si="7"/>
        <v>0</v>
      </c>
      <c r="O35" s="52"/>
      <c r="P35" s="53">
        <f t="shared" si="8"/>
        <v>0</v>
      </c>
      <c r="R35" s="50"/>
      <c r="S35" s="51">
        <f t="shared" si="0"/>
        <v>0</v>
      </c>
      <c r="T35" s="52"/>
      <c r="U35" s="51">
        <f t="shared" si="1"/>
        <v>0</v>
      </c>
      <c r="V35" s="52"/>
      <c r="W35" s="51">
        <f t="shared" si="2"/>
        <v>0</v>
      </c>
      <c r="X35" s="52"/>
      <c r="Y35" s="51">
        <f t="shared" si="3"/>
        <v>0</v>
      </c>
      <c r="Z35" s="52"/>
      <c r="AA35" s="53">
        <f t="shared" si="4"/>
        <v>0</v>
      </c>
    </row>
    <row r="36" spans="4:27" x14ac:dyDescent="0.25">
      <c r="G36" s="50"/>
      <c r="H36" s="51">
        <f t="shared" si="11"/>
        <v>0</v>
      </c>
      <c r="I36" s="52"/>
      <c r="J36" s="51">
        <f t="shared" si="11"/>
        <v>0</v>
      </c>
      <c r="K36" s="52"/>
      <c r="L36" s="51">
        <f t="shared" si="6"/>
        <v>0</v>
      </c>
      <c r="M36" s="52"/>
      <c r="N36" s="51">
        <f t="shared" si="7"/>
        <v>0</v>
      </c>
      <c r="O36" s="52"/>
      <c r="P36" s="53">
        <f t="shared" si="8"/>
        <v>0</v>
      </c>
      <c r="R36" s="50"/>
      <c r="S36" s="51">
        <f t="shared" si="0"/>
        <v>0</v>
      </c>
      <c r="T36" s="52"/>
      <c r="U36" s="51">
        <f t="shared" si="1"/>
        <v>0</v>
      </c>
      <c r="V36" s="52"/>
      <c r="W36" s="51">
        <f t="shared" si="2"/>
        <v>0</v>
      </c>
      <c r="X36" s="52"/>
      <c r="Y36" s="51">
        <f t="shared" si="3"/>
        <v>0</v>
      </c>
      <c r="Z36" s="52"/>
      <c r="AA36" s="53">
        <f t="shared" si="4"/>
        <v>0</v>
      </c>
    </row>
    <row r="37" spans="4:27" ht="15.75" thickBot="1" x14ac:dyDescent="0.3">
      <c r="G37" s="50"/>
      <c r="H37" s="51">
        <f t="shared" si="11"/>
        <v>0</v>
      </c>
      <c r="I37" s="52"/>
      <c r="J37" s="51">
        <f t="shared" si="11"/>
        <v>0</v>
      </c>
      <c r="K37" s="52"/>
      <c r="L37" s="51">
        <f t="shared" si="6"/>
        <v>0</v>
      </c>
      <c r="M37" s="52"/>
      <c r="N37" s="51">
        <f t="shared" si="7"/>
        <v>0</v>
      </c>
      <c r="O37" s="52"/>
      <c r="P37" s="53">
        <f t="shared" si="8"/>
        <v>0</v>
      </c>
      <c r="R37" s="54"/>
      <c r="S37" s="55">
        <f t="shared" si="0"/>
        <v>0</v>
      </c>
      <c r="T37" s="56"/>
      <c r="U37" s="55">
        <f t="shared" si="1"/>
        <v>0</v>
      </c>
      <c r="V37" s="56"/>
      <c r="W37" s="55">
        <f t="shared" si="2"/>
        <v>0</v>
      </c>
      <c r="X37" s="56"/>
      <c r="Y37" s="55">
        <f t="shared" si="3"/>
        <v>0</v>
      </c>
      <c r="Z37" s="56"/>
      <c r="AA37" s="57">
        <f t="shared" si="4"/>
        <v>0</v>
      </c>
    </row>
    <row r="38" spans="4:27" x14ac:dyDescent="0.25">
      <c r="G38" s="50"/>
      <c r="H38" s="51">
        <f t="shared" ref="H38:J53" si="12">IFERROR(G38/G$54,0%)</f>
        <v>0</v>
      </c>
      <c r="I38" s="52"/>
      <c r="J38" s="51">
        <f t="shared" si="12"/>
        <v>0</v>
      </c>
      <c r="K38" s="52"/>
      <c r="L38" s="51">
        <f t="shared" si="6"/>
        <v>0</v>
      </c>
      <c r="M38" s="52"/>
      <c r="N38" s="51">
        <f t="shared" si="7"/>
        <v>0</v>
      </c>
      <c r="O38" s="52"/>
      <c r="P38" s="53">
        <f t="shared" si="8"/>
        <v>0</v>
      </c>
      <c r="R38" s="43">
        <f>SUM(R5:R37)</f>
        <v>0</v>
      </c>
      <c r="S38" s="37"/>
      <c r="T38" s="43">
        <f>SUM(T5:T37)</f>
        <v>0</v>
      </c>
      <c r="U38" s="37"/>
      <c r="V38" s="43">
        <f>SUM(V5:V37)</f>
        <v>0</v>
      </c>
      <c r="W38" s="37"/>
      <c r="X38" s="43">
        <f>SUM(X5:X37)</f>
        <v>0</v>
      </c>
      <c r="Y38" s="37"/>
      <c r="Z38" s="43">
        <f>SUM(Z5:Z37)</f>
        <v>0</v>
      </c>
      <c r="AA38" s="37"/>
    </row>
    <row r="39" spans="4:27" x14ac:dyDescent="0.25">
      <c r="G39" s="50"/>
      <c r="H39" s="51">
        <f t="shared" si="12"/>
        <v>0</v>
      </c>
      <c r="I39" s="52"/>
      <c r="J39" s="51">
        <f t="shared" si="12"/>
        <v>0</v>
      </c>
      <c r="K39" s="52"/>
      <c r="L39" s="51">
        <f t="shared" si="6"/>
        <v>0</v>
      </c>
      <c r="M39" s="52"/>
      <c r="N39" s="51">
        <f t="shared" si="7"/>
        <v>0</v>
      </c>
      <c r="O39" s="52"/>
      <c r="P39" s="53">
        <f t="shared" si="8"/>
        <v>0</v>
      </c>
    </row>
    <row r="40" spans="4:27" x14ac:dyDescent="0.25">
      <c r="G40" s="50"/>
      <c r="H40" s="51">
        <f t="shared" si="12"/>
        <v>0</v>
      </c>
      <c r="I40" s="52"/>
      <c r="J40" s="51">
        <f t="shared" si="12"/>
        <v>0</v>
      </c>
      <c r="K40" s="52"/>
      <c r="L40" s="51">
        <f t="shared" si="6"/>
        <v>0</v>
      </c>
      <c r="M40" s="52"/>
      <c r="N40" s="51">
        <f t="shared" si="7"/>
        <v>0</v>
      </c>
      <c r="O40" s="52"/>
      <c r="P40" s="53">
        <f t="shared" si="8"/>
        <v>0</v>
      </c>
    </row>
    <row r="41" spans="4:27" x14ac:dyDescent="0.25">
      <c r="G41" s="50"/>
      <c r="H41" s="51">
        <f t="shared" si="12"/>
        <v>0</v>
      </c>
      <c r="I41" s="52"/>
      <c r="J41" s="51">
        <f t="shared" si="12"/>
        <v>0</v>
      </c>
      <c r="K41" s="52"/>
      <c r="L41" s="51">
        <f t="shared" si="6"/>
        <v>0</v>
      </c>
      <c r="M41" s="52"/>
      <c r="N41" s="51">
        <f t="shared" si="7"/>
        <v>0</v>
      </c>
      <c r="O41" s="52"/>
      <c r="P41" s="53">
        <f t="shared" si="8"/>
        <v>0</v>
      </c>
    </row>
    <row r="42" spans="4:27" x14ac:dyDescent="0.25">
      <c r="G42" s="50"/>
      <c r="H42" s="51">
        <f t="shared" si="12"/>
        <v>0</v>
      </c>
      <c r="I42" s="52"/>
      <c r="J42" s="51">
        <f t="shared" si="12"/>
        <v>0</v>
      </c>
      <c r="K42" s="52"/>
      <c r="L42" s="51">
        <f t="shared" si="6"/>
        <v>0</v>
      </c>
      <c r="M42" s="52"/>
      <c r="N42" s="51">
        <f t="shared" si="7"/>
        <v>0</v>
      </c>
      <c r="O42" s="52"/>
      <c r="P42" s="53">
        <f t="shared" si="8"/>
        <v>0</v>
      </c>
    </row>
    <row r="43" spans="4:27" x14ac:dyDescent="0.25">
      <c r="G43" s="50"/>
      <c r="H43" s="51">
        <f t="shared" si="12"/>
        <v>0</v>
      </c>
      <c r="I43" s="52"/>
      <c r="J43" s="51">
        <f t="shared" si="12"/>
        <v>0</v>
      </c>
      <c r="K43" s="52"/>
      <c r="L43" s="51">
        <f t="shared" si="6"/>
        <v>0</v>
      </c>
      <c r="M43" s="52"/>
      <c r="N43" s="51">
        <f t="shared" si="7"/>
        <v>0</v>
      </c>
      <c r="O43" s="52"/>
      <c r="P43" s="53">
        <f t="shared" si="8"/>
        <v>0</v>
      </c>
    </row>
    <row r="44" spans="4:27" x14ac:dyDescent="0.25">
      <c r="G44" s="50"/>
      <c r="H44" s="51">
        <f t="shared" si="12"/>
        <v>0</v>
      </c>
      <c r="I44" s="52"/>
      <c r="J44" s="51">
        <f t="shared" si="12"/>
        <v>0</v>
      </c>
      <c r="K44" s="52"/>
      <c r="L44" s="51">
        <f t="shared" si="6"/>
        <v>0</v>
      </c>
      <c r="M44" s="52"/>
      <c r="N44" s="51">
        <f t="shared" si="7"/>
        <v>0</v>
      </c>
      <c r="O44" s="52"/>
      <c r="P44" s="53">
        <f t="shared" si="8"/>
        <v>0</v>
      </c>
    </row>
    <row r="45" spans="4:27" x14ac:dyDescent="0.25">
      <c r="G45" s="50"/>
      <c r="H45" s="51">
        <f t="shared" si="12"/>
        <v>0</v>
      </c>
      <c r="I45" s="52"/>
      <c r="J45" s="51">
        <f t="shared" si="12"/>
        <v>0</v>
      </c>
      <c r="K45" s="52"/>
      <c r="L45" s="51">
        <f t="shared" si="6"/>
        <v>0</v>
      </c>
      <c r="M45" s="52"/>
      <c r="N45" s="51">
        <f t="shared" si="7"/>
        <v>0</v>
      </c>
      <c r="O45" s="52"/>
      <c r="P45" s="53">
        <f t="shared" si="8"/>
        <v>0</v>
      </c>
    </row>
    <row r="46" spans="4:27" x14ac:dyDescent="0.25">
      <c r="G46" s="50"/>
      <c r="H46" s="51">
        <f t="shared" si="12"/>
        <v>0</v>
      </c>
      <c r="I46" s="52"/>
      <c r="J46" s="51">
        <f t="shared" si="12"/>
        <v>0</v>
      </c>
      <c r="K46" s="52"/>
      <c r="L46" s="51">
        <f t="shared" si="6"/>
        <v>0</v>
      </c>
      <c r="M46" s="52"/>
      <c r="N46" s="51">
        <f t="shared" si="7"/>
        <v>0</v>
      </c>
      <c r="O46" s="52"/>
      <c r="P46" s="53">
        <f t="shared" si="8"/>
        <v>0</v>
      </c>
    </row>
    <row r="47" spans="4:27" x14ac:dyDescent="0.25">
      <c r="G47" s="50"/>
      <c r="H47" s="51">
        <f t="shared" si="12"/>
        <v>0</v>
      </c>
      <c r="I47" s="52"/>
      <c r="J47" s="51">
        <f t="shared" si="12"/>
        <v>0</v>
      </c>
      <c r="K47" s="52"/>
      <c r="L47" s="51">
        <f t="shared" si="6"/>
        <v>0</v>
      </c>
      <c r="M47" s="52"/>
      <c r="N47" s="51">
        <f t="shared" si="7"/>
        <v>0</v>
      </c>
      <c r="O47" s="52"/>
      <c r="P47" s="53">
        <f t="shared" si="8"/>
        <v>0</v>
      </c>
    </row>
    <row r="48" spans="4:27" x14ac:dyDescent="0.25">
      <c r="G48" s="50"/>
      <c r="H48" s="51">
        <f t="shared" si="12"/>
        <v>0</v>
      </c>
      <c r="I48" s="52"/>
      <c r="J48" s="51">
        <f t="shared" si="12"/>
        <v>0</v>
      </c>
      <c r="K48" s="52"/>
      <c r="L48" s="51">
        <f t="shared" si="6"/>
        <v>0</v>
      </c>
      <c r="M48" s="52"/>
      <c r="N48" s="51">
        <f t="shared" si="7"/>
        <v>0</v>
      </c>
      <c r="O48" s="52"/>
      <c r="P48" s="53">
        <f t="shared" si="8"/>
        <v>0</v>
      </c>
    </row>
    <row r="49" spans="7:16" x14ac:dyDescent="0.25">
      <c r="G49" s="50"/>
      <c r="H49" s="51">
        <f t="shared" si="12"/>
        <v>0</v>
      </c>
      <c r="I49" s="52"/>
      <c r="J49" s="51">
        <f t="shared" si="12"/>
        <v>0</v>
      </c>
      <c r="K49" s="52"/>
      <c r="L49" s="51">
        <f t="shared" si="6"/>
        <v>0</v>
      </c>
      <c r="M49" s="52"/>
      <c r="N49" s="51">
        <f t="shared" si="7"/>
        <v>0</v>
      </c>
      <c r="O49" s="52"/>
      <c r="P49" s="53">
        <f t="shared" si="8"/>
        <v>0</v>
      </c>
    </row>
    <row r="50" spans="7:16" x14ac:dyDescent="0.25">
      <c r="G50" s="50"/>
      <c r="H50" s="51">
        <f t="shared" si="12"/>
        <v>0</v>
      </c>
      <c r="I50" s="52"/>
      <c r="J50" s="51">
        <f t="shared" si="12"/>
        <v>0</v>
      </c>
      <c r="K50" s="52"/>
      <c r="L50" s="51">
        <f t="shared" si="6"/>
        <v>0</v>
      </c>
      <c r="M50" s="52"/>
      <c r="N50" s="51">
        <f t="shared" si="7"/>
        <v>0</v>
      </c>
      <c r="O50" s="52"/>
      <c r="P50" s="53">
        <f t="shared" si="8"/>
        <v>0</v>
      </c>
    </row>
    <row r="51" spans="7:16" x14ac:dyDescent="0.25">
      <c r="G51" s="50"/>
      <c r="H51" s="51">
        <f t="shared" si="12"/>
        <v>0</v>
      </c>
      <c r="I51" s="52"/>
      <c r="J51" s="51">
        <f t="shared" si="12"/>
        <v>0</v>
      </c>
      <c r="K51" s="52"/>
      <c r="L51" s="51">
        <f t="shared" si="6"/>
        <v>0</v>
      </c>
      <c r="M51" s="52"/>
      <c r="N51" s="51">
        <f t="shared" si="7"/>
        <v>0</v>
      </c>
      <c r="O51" s="52"/>
      <c r="P51" s="53">
        <f t="shared" si="8"/>
        <v>0</v>
      </c>
    </row>
    <row r="52" spans="7:16" x14ac:dyDescent="0.25">
      <c r="G52" s="50"/>
      <c r="H52" s="51">
        <f t="shared" si="12"/>
        <v>0</v>
      </c>
      <c r="I52" s="52"/>
      <c r="J52" s="51">
        <f t="shared" si="12"/>
        <v>0</v>
      </c>
      <c r="K52" s="52"/>
      <c r="L52" s="51">
        <f t="shared" si="6"/>
        <v>0</v>
      </c>
      <c r="M52" s="52"/>
      <c r="N52" s="51">
        <f t="shared" si="7"/>
        <v>0</v>
      </c>
      <c r="O52" s="52"/>
      <c r="P52" s="53">
        <f t="shared" si="8"/>
        <v>0</v>
      </c>
    </row>
    <row r="53" spans="7:16" x14ac:dyDescent="0.25">
      <c r="G53" s="50"/>
      <c r="H53" s="51">
        <f t="shared" si="12"/>
        <v>0</v>
      </c>
      <c r="I53" s="52"/>
      <c r="J53" s="51">
        <f t="shared" si="12"/>
        <v>0</v>
      </c>
      <c r="K53" s="52"/>
      <c r="L53" s="51">
        <f t="shared" si="6"/>
        <v>0</v>
      </c>
      <c r="M53" s="52"/>
      <c r="N53" s="51">
        <f t="shared" si="7"/>
        <v>0</v>
      </c>
      <c r="O53" s="52"/>
      <c r="P53" s="53">
        <f t="shared" si="8"/>
        <v>0</v>
      </c>
    </row>
    <row r="54" spans="7:16" ht="15.75" thickBot="1" x14ac:dyDescent="0.3">
      <c r="G54" s="54"/>
      <c r="H54" s="55">
        <f t="shared" ref="H54:J54" si="13">IFERROR(G54/G$54,0%)</f>
        <v>0</v>
      </c>
      <c r="I54" s="56"/>
      <c r="J54" s="55">
        <f t="shared" si="13"/>
        <v>0</v>
      </c>
      <c r="K54" s="56"/>
      <c r="L54" s="55">
        <f t="shared" si="6"/>
        <v>0</v>
      </c>
      <c r="M54" s="56"/>
      <c r="N54" s="55">
        <f t="shared" si="7"/>
        <v>0</v>
      </c>
      <c r="O54" s="56"/>
      <c r="P54" s="57">
        <f t="shared" si="8"/>
        <v>0</v>
      </c>
    </row>
    <row r="55" spans="7:16" x14ac:dyDescent="0.25">
      <c r="G55" s="43">
        <f>SUM(G5:G54)</f>
        <v>0</v>
      </c>
      <c r="H55" s="37"/>
      <c r="I55" s="43">
        <f>SUM(I5:I54)</f>
        <v>0</v>
      </c>
      <c r="J55" s="37"/>
      <c r="K55" s="43">
        <f>SUM(K5:K54)</f>
        <v>0</v>
      </c>
      <c r="L55" s="37"/>
      <c r="M55" s="43">
        <f>SUM(M5:M54)</f>
        <v>0</v>
      </c>
      <c r="N55" s="37"/>
      <c r="O55" s="43">
        <f>SUM(O5:O54)</f>
        <v>0</v>
      </c>
      <c r="P55" s="37"/>
    </row>
  </sheetData>
  <mergeCells count="12">
    <mergeCell ref="G2:P2"/>
    <mergeCell ref="G3:H3"/>
    <mergeCell ref="I3:J3"/>
    <mergeCell ref="K3:L3"/>
    <mergeCell ref="M3:N3"/>
    <mergeCell ref="O3:P3"/>
    <mergeCell ref="R2:AA2"/>
    <mergeCell ref="R3:S3"/>
    <mergeCell ref="T3:U3"/>
    <mergeCell ref="V3:W3"/>
    <mergeCell ref="X3:Y3"/>
    <mergeCell ref="Z3:AA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54"/>
  <sheetViews>
    <sheetView workbookViewId="0">
      <selection activeCell="J2" sqref="J2:K2"/>
    </sheetView>
  </sheetViews>
  <sheetFormatPr defaultRowHeight="15" x14ac:dyDescent="0.25"/>
  <cols>
    <col min="1" max="1" width="36.140625" style="37" customWidth="1"/>
    <col min="2" max="16384" width="9.140625" style="37"/>
  </cols>
  <sheetData>
    <row r="1" spans="1:12" ht="15.75" thickBot="1" x14ac:dyDescent="0.3">
      <c r="B1" s="67" t="s">
        <v>130</v>
      </c>
      <c r="C1" s="68"/>
      <c r="D1" s="68"/>
      <c r="E1" s="68"/>
      <c r="F1" s="68"/>
      <c r="G1" s="68"/>
      <c r="H1" s="68"/>
      <c r="I1" s="68"/>
      <c r="J1" s="68"/>
      <c r="K1" s="69"/>
    </row>
    <row r="2" spans="1:12" x14ac:dyDescent="0.25">
      <c r="B2" s="65">
        <f ca="1">SunDates!$H1</f>
        <v>43134</v>
      </c>
      <c r="C2" s="66"/>
      <c r="D2" s="65">
        <f ca="1">SunDates!$H2</f>
        <v>43141</v>
      </c>
      <c r="E2" s="66"/>
      <c r="F2" s="65">
        <f ca="1">SunDates!$H3</f>
        <v>43148</v>
      </c>
      <c r="G2" s="66"/>
      <c r="H2" s="65">
        <f ca="1">SunDates!$H4</f>
        <v>43155</v>
      </c>
      <c r="I2" s="66"/>
      <c r="J2" s="65">
        <f ca="1">SunDates!$H5</f>
        <v>43159</v>
      </c>
      <c r="K2" s="66"/>
    </row>
    <row r="3" spans="1:12" ht="15.75" thickBot="1" x14ac:dyDescent="0.3">
      <c r="B3" s="40" t="s">
        <v>169</v>
      </c>
      <c r="C3" s="41" t="s">
        <v>170</v>
      </c>
      <c r="D3" s="41" t="s">
        <v>169</v>
      </c>
      <c r="E3" s="41" t="s">
        <v>170</v>
      </c>
      <c r="F3" s="41" t="s">
        <v>169</v>
      </c>
      <c r="G3" s="41" t="s">
        <v>170</v>
      </c>
      <c r="H3" s="41" t="s">
        <v>169</v>
      </c>
      <c r="I3" s="41" t="s">
        <v>170</v>
      </c>
      <c r="J3" s="41" t="s">
        <v>169</v>
      </c>
      <c r="K3" s="42" t="s">
        <v>170</v>
      </c>
      <c r="L3" s="61"/>
    </row>
    <row r="4" spans="1:12" x14ac:dyDescent="0.25">
      <c r="A4" s="29" t="s">
        <v>81</v>
      </c>
      <c r="C4" s="45">
        <f>IFERROR(B4/B$54,0%)</f>
        <v>0</v>
      </c>
      <c r="E4" s="45">
        <f>IFERROR(D4/D$54,0%)</f>
        <v>0</v>
      </c>
      <c r="G4" s="45">
        <f>IFERROR(F4/F$54,0%)</f>
        <v>0</v>
      </c>
      <c r="I4" s="45">
        <f>IFERROR(H4/H$54,0%)</f>
        <v>0</v>
      </c>
      <c r="K4" s="45">
        <f>IFERROR(J4/J$54,0%)</f>
        <v>0</v>
      </c>
    </row>
    <row r="5" spans="1:12" x14ac:dyDescent="0.25">
      <c r="A5" s="29" t="s">
        <v>82</v>
      </c>
      <c r="C5" s="45">
        <f t="shared" ref="C5:C53" si="0">IFERROR(B5/B$54,0%)</f>
        <v>0</v>
      </c>
      <c r="E5" s="45">
        <f t="shared" ref="E5:G53" si="1">IFERROR(D5/D$54,0%)</f>
        <v>0</v>
      </c>
      <c r="G5" s="45">
        <f t="shared" si="1"/>
        <v>0</v>
      </c>
      <c r="I5" s="45">
        <f t="shared" ref="I5" si="2">IFERROR(H5/H$54,0%)</f>
        <v>0</v>
      </c>
      <c r="K5" s="45">
        <f t="shared" ref="K5" si="3">IFERROR(J5/J$54,0%)</f>
        <v>0</v>
      </c>
    </row>
    <row r="6" spans="1:12" x14ac:dyDescent="0.25">
      <c r="A6" s="29" t="s">
        <v>83</v>
      </c>
      <c r="C6" s="45">
        <f t="shared" si="0"/>
        <v>0</v>
      </c>
      <c r="E6" s="45">
        <f t="shared" si="1"/>
        <v>0</v>
      </c>
      <c r="G6" s="45">
        <f t="shared" si="1"/>
        <v>0</v>
      </c>
      <c r="I6" s="45">
        <f t="shared" ref="I6" si="4">IFERROR(H6/H$54,0%)</f>
        <v>0</v>
      </c>
      <c r="K6" s="45">
        <f t="shared" ref="K6" si="5">IFERROR(J6/J$54,0%)</f>
        <v>0</v>
      </c>
    </row>
    <row r="7" spans="1:12" x14ac:dyDescent="0.25">
      <c r="A7" s="29" t="s">
        <v>84</v>
      </c>
      <c r="C7" s="45">
        <f t="shared" si="0"/>
        <v>0</v>
      </c>
      <c r="E7" s="45">
        <f t="shared" si="1"/>
        <v>0</v>
      </c>
      <c r="G7" s="45">
        <f t="shared" si="1"/>
        <v>0</v>
      </c>
      <c r="I7" s="45">
        <f t="shared" ref="I7" si="6">IFERROR(H7/H$54,0%)</f>
        <v>0</v>
      </c>
      <c r="K7" s="45">
        <f t="shared" ref="K7" si="7">IFERROR(J7/J$54,0%)</f>
        <v>0</v>
      </c>
    </row>
    <row r="8" spans="1:12" x14ac:dyDescent="0.25">
      <c r="A8" s="29" t="s">
        <v>85</v>
      </c>
      <c r="C8" s="45">
        <f t="shared" si="0"/>
        <v>0</v>
      </c>
      <c r="E8" s="45">
        <f t="shared" si="1"/>
        <v>0</v>
      </c>
      <c r="G8" s="45">
        <f t="shared" si="1"/>
        <v>0</v>
      </c>
      <c r="I8" s="45">
        <f t="shared" ref="I8" si="8">IFERROR(H8/H$54,0%)</f>
        <v>0</v>
      </c>
      <c r="K8" s="45">
        <f t="shared" ref="K8" si="9">IFERROR(J8/J$54,0%)</f>
        <v>0</v>
      </c>
    </row>
    <row r="9" spans="1:12" x14ac:dyDescent="0.25">
      <c r="A9" s="29" t="s">
        <v>86</v>
      </c>
      <c r="C9" s="45">
        <f t="shared" si="0"/>
        <v>0</v>
      </c>
      <c r="E9" s="45">
        <f t="shared" si="1"/>
        <v>0</v>
      </c>
      <c r="G9" s="45">
        <f t="shared" si="1"/>
        <v>0</v>
      </c>
      <c r="I9" s="45">
        <f t="shared" ref="I9" si="10">IFERROR(H9/H$54,0%)</f>
        <v>0</v>
      </c>
      <c r="K9" s="45">
        <f t="shared" ref="K9" si="11">IFERROR(J9/J$54,0%)</f>
        <v>0</v>
      </c>
    </row>
    <row r="10" spans="1:12" x14ac:dyDescent="0.25">
      <c r="A10" s="29" t="s">
        <v>87</v>
      </c>
      <c r="C10" s="45">
        <f t="shared" si="0"/>
        <v>0</v>
      </c>
      <c r="E10" s="45">
        <f t="shared" si="1"/>
        <v>0</v>
      </c>
      <c r="G10" s="45">
        <f t="shared" si="1"/>
        <v>0</v>
      </c>
      <c r="I10" s="45">
        <f t="shared" ref="I10" si="12">IFERROR(H10/H$54,0%)</f>
        <v>0</v>
      </c>
      <c r="K10" s="45">
        <f t="shared" ref="K10" si="13">IFERROR(J10/J$54,0%)</f>
        <v>0</v>
      </c>
    </row>
    <row r="11" spans="1:12" x14ac:dyDescent="0.25">
      <c r="A11" s="29" t="s">
        <v>88</v>
      </c>
      <c r="C11" s="45">
        <f t="shared" si="0"/>
        <v>0</v>
      </c>
      <c r="E11" s="45">
        <f t="shared" si="1"/>
        <v>0</v>
      </c>
      <c r="G11" s="45">
        <f t="shared" si="1"/>
        <v>0</v>
      </c>
      <c r="I11" s="45">
        <f t="shared" ref="I11" si="14">IFERROR(H11/H$54,0%)</f>
        <v>0</v>
      </c>
      <c r="K11" s="45">
        <f t="shared" ref="K11" si="15">IFERROR(J11/J$54,0%)</f>
        <v>0</v>
      </c>
    </row>
    <row r="12" spans="1:12" x14ac:dyDescent="0.25">
      <c r="A12" s="29" t="s">
        <v>89</v>
      </c>
      <c r="C12" s="45">
        <f t="shared" si="0"/>
        <v>0</v>
      </c>
      <c r="E12" s="45">
        <f t="shared" si="1"/>
        <v>0</v>
      </c>
      <c r="G12" s="45">
        <f t="shared" si="1"/>
        <v>0</v>
      </c>
      <c r="I12" s="45">
        <f t="shared" ref="I12" si="16">IFERROR(H12/H$54,0%)</f>
        <v>0</v>
      </c>
      <c r="K12" s="45">
        <f t="shared" ref="K12" si="17">IFERROR(J12/J$54,0%)</f>
        <v>0</v>
      </c>
    </row>
    <row r="13" spans="1:12" x14ac:dyDescent="0.25">
      <c r="A13" s="29" t="s">
        <v>90</v>
      </c>
      <c r="C13" s="45">
        <f t="shared" si="0"/>
        <v>0</v>
      </c>
      <c r="E13" s="45">
        <f t="shared" si="1"/>
        <v>0</v>
      </c>
      <c r="G13" s="45">
        <f t="shared" si="1"/>
        <v>0</v>
      </c>
      <c r="I13" s="45">
        <f t="shared" ref="I13" si="18">IFERROR(H13/H$54,0%)</f>
        <v>0</v>
      </c>
      <c r="K13" s="45">
        <f t="shared" ref="K13" si="19">IFERROR(J13/J$54,0%)</f>
        <v>0</v>
      </c>
    </row>
    <row r="14" spans="1:12" x14ac:dyDescent="0.25">
      <c r="A14" s="29" t="s">
        <v>91</v>
      </c>
      <c r="C14" s="45">
        <f t="shared" si="0"/>
        <v>0</v>
      </c>
      <c r="E14" s="45">
        <f t="shared" si="1"/>
        <v>0</v>
      </c>
      <c r="G14" s="45">
        <f t="shared" si="1"/>
        <v>0</v>
      </c>
      <c r="I14" s="45">
        <f t="shared" ref="I14" si="20">IFERROR(H14/H$54,0%)</f>
        <v>0</v>
      </c>
      <c r="K14" s="45">
        <f t="shared" ref="K14" si="21">IFERROR(J14/J$54,0%)</f>
        <v>0</v>
      </c>
    </row>
    <row r="15" spans="1:12" x14ac:dyDescent="0.25">
      <c r="A15" s="29" t="s">
        <v>92</v>
      </c>
      <c r="C15" s="45">
        <f t="shared" si="0"/>
        <v>0</v>
      </c>
      <c r="E15" s="45">
        <f t="shared" si="1"/>
        <v>0</v>
      </c>
      <c r="G15" s="45">
        <f t="shared" si="1"/>
        <v>0</v>
      </c>
      <c r="I15" s="45">
        <f t="shared" ref="I15" si="22">IFERROR(H15/H$54,0%)</f>
        <v>0</v>
      </c>
      <c r="K15" s="45">
        <f t="shared" ref="K15" si="23">IFERROR(J15/J$54,0%)</f>
        <v>0</v>
      </c>
    </row>
    <row r="16" spans="1:12" x14ac:dyDescent="0.25">
      <c r="A16" s="29" t="s">
        <v>93</v>
      </c>
      <c r="C16" s="45">
        <f t="shared" si="0"/>
        <v>0</v>
      </c>
      <c r="E16" s="45">
        <f t="shared" si="1"/>
        <v>0</v>
      </c>
      <c r="G16" s="45">
        <f t="shared" si="1"/>
        <v>0</v>
      </c>
      <c r="I16" s="45">
        <f t="shared" ref="I16" si="24">IFERROR(H16/H$54,0%)</f>
        <v>0</v>
      </c>
      <c r="K16" s="45">
        <f t="shared" ref="K16" si="25">IFERROR(J16/J$54,0%)</f>
        <v>0</v>
      </c>
    </row>
    <row r="17" spans="1:11" x14ac:dyDescent="0.25">
      <c r="A17" s="29" t="s">
        <v>94</v>
      </c>
      <c r="C17" s="45">
        <f t="shared" si="0"/>
        <v>0</v>
      </c>
      <c r="E17" s="45">
        <f t="shared" si="1"/>
        <v>0</v>
      </c>
      <c r="G17" s="45">
        <f t="shared" si="1"/>
        <v>0</v>
      </c>
      <c r="I17" s="45">
        <f t="shared" ref="I17" si="26">IFERROR(H17/H$54,0%)</f>
        <v>0</v>
      </c>
      <c r="K17" s="45">
        <f t="shared" ref="K17" si="27">IFERROR(J17/J$54,0%)</f>
        <v>0</v>
      </c>
    </row>
    <row r="18" spans="1:11" x14ac:dyDescent="0.25">
      <c r="A18" s="29" t="s">
        <v>95</v>
      </c>
      <c r="C18" s="45">
        <f t="shared" si="0"/>
        <v>0</v>
      </c>
      <c r="E18" s="45">
        <f t="shared" si="1"/>
        <v>0</v>
      </c>
      <c r="G18" s="45">
        <f t="shared" si="1"/>
        <v>0</v>
      </c>
      <c r="I18" s="45">
        <f t="shared" ref="I18" si="28">IFERROR(H18/H$54,0%)</f>
        <v>0</v>
      </c>
      <c r="K18" s="45">
        <f t="shared" ref="K18" si="29">IFERROR(J18/J$54,0%)</f>
        <v>0</v>
      </c>
    </row>
    <row r="19" spans="1:11" x14ac:dyDescent="0.25">
      <c r="A19" s="29" t="s">
        <v>96</v>
      </c>
      <c r="C19" s="45">
        <f t="shared" si="0"/>
        <v>0</v>
      </c>
      <c r="E19" s="45">
        <f t="shared" si="1"/>
        <v>0</v>
      </c>
      <c r="G19" s="45">
        <f t="shared" si="1"/>
        <v>0</v>
      </c>
      <c r="I19" s="45">
        <f t="shared" ref="I19" si="30">IFERROR(H19/H$54,0%)</f>
        <v>0</v>
      </c>
      <c r="K19" s="45">
        <f t="shared" ref="K19" si="31">IFERROR(J19/J$54,0%)</f>
        <v>0</v>
      </c>
    </row>
    <row r="20" spans="1:11" x14ac:dyDescent="0.25">
      <c r="A20" s="29" t="s">
        <v>97</v>
      </c>
      <c r="C20" s="45">
        <f t="shared" si="0"/>
        <v>0</v>
      </c>
      <c r="E20" s="45">
        <f t="shared" si="1"/>
        <v>0</v>
      </c>
      <c r="G20" s="45">
        <f t="shared" si="1"/>
        <v>0</v>
      </c>
      <c r="I20" s="45">
        <f t="shared" ref="I20" si="32">IFERROR(H20/H$54,0%)</f>
        <v>0</v>
      </c>
      <c r="K20" s="45">
        <f t="shared" ref="K20" si="33">IFERROR(J20/J$54,0%)</f>
        <v>0</v>
      </c>
    </row>
    <row r="21" spans="1:11" x14ac:dyDescent="0.25">
      <c r="A21" s="30" t="s">
        <v>148</v>
      </c>
      <c r="C21" s="45">
        <f t="shared" si="0"/>
        <v>0</v>
      </c>
      <c r="E21" s="45">
        <f t="shared" si="1"/>
        <v>0</v>
      </c>
      <c r="G21" s="45">
        <f t="shared" si="1"/>
        <v>0</v>
      </c>
      <c r="I21" s="45">
        <f t="shared" ref="I21" si="34">IFERROR(H21/H$54,0%)</f>
        <v>0</v>
      </c>
      <c r="K21" s="45">
        <f t="shared" ref="K21" si="35">IFERROR(J21/J$54,0%)</f>
        <v>0</v>
      </c>
    </row>
    <row r="22" spans="1:11" x14ac:dyDescent="0.25">
      <c r="A22" s="30" t="s">
        <v>149</v>
      </c>
      <c r="C22" s="45">
        <f t="shared" si="0"/>
        <v>0</v>
      </c>
      <c r="E22" s="45">
        <f t="shared" si="1"/>
        <v>0</v>
      </c>
      <c r="G22" s="45">
        <f t="shared" si="1"/>
        <v>0</v>
      </c>
      <c r="I22" s="45">
        <f t="shared" ref="I22" si="36">IFERROR(H22/H$54,0%)</f>
        <v>0</v>
      </c>
      <c r="K22" s="45">
        <f t="shared" ref="K22" si="37">IFERROR(J22/J$54,0%)</f>
        <v>0</v>
      </c>
    </row>
    <row r="23" spans="1:11" x14ac:dyDescent="0.25">
      <c r="A23" s="30" t="s">
        <v>150</v>
      </c>
      <c r="C23" s="45">
        <f t="shared" si="0"/>
        <v>0</v>
      </c>
      <c r="E23" s="45">
        <f t="shared" si="1"/>
        <v>0</v>
      </c>
      <c r="G23" s="45">
        <f t="shared" si="1"/>
        <v>0</v>
      </c>
      <c r="I23" s="45">
        <f t="shared" ref="I23" si="38">IFERROR(H23/H$54,0%)</f>
        <v>0</v>
      </c>
      <c r="K23" s="45">
        <f t="shared" ref="K23" si="39">IFERROR(J23/J$54,0%)</f>
        <v>0</v>
      </c>
    </row>
    <row r="24" spans="1:11" x14ac:dyDescent="0.25">
      <c r="A24" s="30" t="s">
        <v>151</v>
      </c>
      <c r="C24" s="45">
        <f t="shared" si="0"/>
        <v>0</v>
      </c>
      <c r="E24" s="45">
        <f t="shared" si="1"/>
        <v>0</v>
      </c>
      <c r="G24" s="45">
        <f t="shared" si="1"/>
        <v>0</v>
      </c>
      <c r="I24" s="45">
        <f t="shared" ref="I24" si="40">IFERROR(H24/H$54,0%)</f>
        <v>0</v>
      </c>
      <c r="K24" s="45">
        <f t="shared" ref="K24" si="41">IFERROR(J24/J$54,0%)</f>
        <v>0</v>
      </c>
    </row>
    <row r="25" spans="1:11" x14ac:dyDescent="0.25">
      <c r="A25" s="30" t="s">
        <v>152</v>
      </c>
      <c r="C25" s="45">
        <f t="shared" si="0"/>
        <v>0</v>
      </c>
      <c r="E25" s="45">
        <f t="shared" si="1"/>
        <v>0</v>
      </c>
      <c r="G25" s="45">
        <f t="shared" si="1"/>
        <v>0</v>
      </c>
      <c r="I25" s="45">
        <f t="shared" ref="I25" si="42">IFERROR(H25/H$54,0%)</f>
        <v>0</v>
      </c>
      <c r="K25" s="45">
        <f t="shared" ref="K25" si="43">IFERROR(J25/J$54,0%)</f>
        <v>0</v>
      </c>
    </row>
    <row r="26" spans="1:11" x14ac:dyDescent="0.25">
      <c r="A26" s="31" t="s">
        <v>153</v>
      </c>
      <c r="C26" s="45">
        <f t="shared" si="0"/>
        <v>0</v>
      </c>
      <c r="E26" s="45">
        <f t="shared" si="1"/>
        <v>0</v>
      </c>
      <c r="G26" s="45">
        <f t="shared" si="1"/>
        <v>0</v>
      </c>
      <c r="I26" s="45">
        <f t="shared" ref="I26" si="44">IFERROR(H26/H$54,0%)</f>
        <v>0</v>
      </c>
      <c r="K26" s="45">
        <f t="shared" ref="K26" si="45">IFERROR(J26/J$54,0%)</f>
        <v>0</v>
      </c>
    </row>
    <row r="27" spans="1:11" x14ac:dyDescent="0.25">
      <c r="A27" s="29" t="s">
        <v>98</v>
      </c>
      <c r="C27" s="45">
        <f t="shared" si="0"/>
        <v>0</v>
      </c>
      <c r="E27" s="45">
        <f t="shared" si="1"/>
        <v>0</v>
      </c>
      <c r="G27" s="45">
        <f t="shared" si="1"/>
        <v>0</v>
      </c>
      <c r="I27" s="45">
        <f t="shared" ref="I27" si="46">IFERROR(H27/H$54,0%)</f>
        <v>0</v>
      </c>
      <c r="K27" s="45">
        <f t="shared" ref="K27" si="47">IFERROR(J27/J$54,0%)</f>
        <v>0</v>
      </c>
    </row>
    <row r="28" spans="1:11" x14ac:dyDescent="0.25">
      <c r="A28" s="29" t="s">
        <v>99</v>
      </c>
      <c r="C28" s="45">
        <f t="shared" si="0"/>
        <v>0</v>
      </c>
      <c r="E28" s="45">
        <f t="shared" si="1"/>
        <v>0</v>
      </c>
      <c r="G28" s="45">
        <f t="shared" si="1"/>
        <v>0</v>
      </c>
      <c r="I28" s="45">
        <f t="shared" ref="I28" si="48">IFERROR(H28/H$54,0%)</f>
        <v>0</v>
      </c>
      <c r="K28" s="45">
        <f t="shared" ref="K28" si="49">IFERROR(J28/J$54,0%)</f>
        <v>0</v>
      </c>
    </row>
    <row r="29" spans="1:11" x14ac:dyDescent="0.25">
      <c r="A29" s="30" t="s">
        <v>154</v>
      </c>
      <c r="C29" s="45">
        <f t="shared" si="0"/>
        <v>0</v>
      </c>
      <c r="E29" s="45">
        <f t="shared" si="1"/>
        <v>0</v>
      </c>
      <c r="G29" s="45">
        <f t="shared" si="1"/>
        <v>0</v>
      </c>
      <c r="I29" s="45">
        <f t="shared" ref="I29" si="50">IFERROR(H29/H$54,0%)</f>
        <v>0</v>
      </c>
      <c r="K29" s="45">
        <f t="shared" ref="K29" si="51">IFERROR(J29/J$54,0%)</f>
        <v>0</v>
      </c>
    </row>
    <row r="30" spans="1:11" x14ac:dyDescent="0.25">
      <c r="A30" s="30" t="s">
        <v>155</v>
      </c>
      <c r="C30" s="45">
        <f t="shared" si="0"/>
        <v>0</v>
      </c>
      <c r="E30" s="45">
        <f t="shared" si="1"/>
        <v>0</v>
      </c>
      <c r="G30" s="45">
        <f t="shared" si="1"/>
        <v>0</v>
      </c>
      <c r="I30" s="45">
        <f t="shared" ref="I30" si="52">IFERROR(H30/H$54,0%)</f>
        <v>0</v>
      </c>
      <c r="K30" s="45">
        <f t="shared" ref="K30" si="53">IFERROR(J30/J$54,0%)</f>
        <v>0</v>
      </c>
    </row>
    <row r="31" spans="1:11" x14ac:dyDescent="0.25">
      <c r="A31" s="30" t="s">
        <v>156</v>
      </c>
      <c r="C31" s="45">
        <f t="shared" si="0"/>
        <v>0</v>
      </c>
      <c r="E31" s="45">
        <f t="shared" si="1"/>
        <v>0</v>
      </c>
      <c r="G31" s="45">
        <f t="shared" si="1"/>
        <v>0</v>
      </c>
      <c r="I31" s="45">
        <f t="shared" ref="I31" si="54">IFERROR(H31/H$54,0%)</f>
        <v>0</v>
      </c>
      <c r="K31" s="45">
        <f t="shared" ref="K31" si="55">IFERROR(J31/J$54,0%)</f>
        <v>0</v>
      </c>
    </row>
    <row r="32" spans="1:11" x14ac:dyDescent="0.25">
      <c r="A32" s="30" t="s">
        <v>157</v>
      </c>
      <c r="C32" s="45">
        <f t="shared" si="0"/>
        <v>0</v>
      </c>
      <c r="E32" s="45">
        <f t="shared" si="1"/>
        <v>0</v>
      </c>
      <c r="G32" s="45">
        <f t="shared" si="1"/>
        <v>0</v>
      </c>
      <c r="I32" s="45">
        <f t="shared" ref="I32" si="56">IFERROR(H32/H$54,0%)</f>
        <v>0</v>
      </c>
      <c r="K32" s="45">
        <f t="shared" ref="K32" si="57">IFERROR(J32/J$54,0%)</f>
        <v>0</v>
      </c>
    </row>
    <row r="33" spans="1:11" x14ac:dyDescent="0.25">
      <c r="A33" s="30" t="s">
        <v>158</v>
      </c>
      <c r="C33" s="45">
        <f t="shared" si="0"/>
        <v>0</v>
      </c>
      <c r="E33" s="45">
        <f t="shared" si="1"/>
        <v>0</v>
      </c>
      <c r="G33" s="45">
        <f t="shared" si="1"/>
        <v>0</v>
      </c>
      <c r="I33" s="45">
        <f t="shared" ref="I33" si="58">IFERROR(H33/H$54,0%)</f>
        <v>0</v>
      </c>
      <c r="K33" s="45">
        <f t="shared" ref="K33" si="59">IFERROR(J33/J$54,0%)</f>
        <v>0</v>
      </c>
    </row>
    <row r="34" spans="1:11" x14ac:dyDescent="0.25">
      <c r="A34" s="29" t="s">
        <v>100</v>
      </c>
      <c r="C34" s="45">
        <f t="shared" si="0"/>
        <v>0</v>
      </c>
      <c r="E34" s="45">
        <f t="shared" si="1"/>
        <v>0</v>
      </c>
      <c r="G34" s="45">
        <f t="shared" si="1"/>
        <v>0</v>
      </c>
      <c r="I34" s="45">
        <f t="shared" ref="I34" si="60">IFERROR(H34/H$54,0%)</f>
        <v>0</v>
      </c>
      <c r="K34" s="45">
        <f t="shared" ref="K34" si="61">IFERROR(J34/J$54,0%)</f>
        <v>0</v>
      </c>
    </row>
    <row r="35" spans="1:11" x14ac:dyDescent="0.25">
      <c r="A35" s="29" t="s">
        <v>101</v>
      </c>
      <c r="C35" s="45">
        <f t="shared" si="0"/>
        <v>0</v>
      </c>
      <c r="E35" s="45">
        <f t="shared" si="1"/>
        <v>0</v>
      </c>
      <c r="G35" s="45">
        <f t="shared" si="1"/>
        <v>0</v>
      </c>
      <c r="I35" s="45">
        <f t="shared" ref="I35" si="62">IFERROR(H35/H$54,0%)</f>
        <v>0</v>
      </c>
      <c r="K35" s="45">
        <f t="shared" ref="K35" si="63">IFERROR(J35/J$54,0%)</f>
        <v>0</v>
      </c>
    </row>
    <row r="36" spans="1:11" x14ac:dyDescent="0.25">
      <c r="A36" s="29" t="s">
        <v>102</v>
      </c>
      <c r="C36" s="45">
        <f t="shared" si="0"/>
        <v>0</v>
      </c>
      <c r="E36" s="45">
        <f t="shared" si="1"/>
        <v>0</v>
      </c>
      <c r="G36" s="45">
        <f t="shared" si="1"/>
        <v>0</v>
      </c>
      <c r="I36" s="45">
        <f t="shared" ref="I36" si="64">IFERROR(H36/H$54,0%)</f>
        <v>0</v>
      </c>
      <c r="K36" s="45">
        <f t="shared" ref="K36" si="65">IFERROR(J36/J$54,0%)</f>
        <v>0</v>
      </c>
    </row>
    <row r="37" spans="1:11" x14ac:dyDescent="0.25">
      <c r="A37" s="29" t="s">
        <v>103</v>
      </c>
      <c r="C37" s="45">
        <f t="shared" si="0"/>
        <v>0</v>
      </c>
      <c r="E37" s="45">
        <f t="shared" si="1"/>
        <v>0</v>
      </c>
      <c r="G37" s="45">
        <f t="shared" si="1"/>
        <v>0</v>
      </c>
      <c r="I37" s="45">
        <f t="shared" ref="I37" si="66">IFERROR(H37/H$54,0%)</f>
        <v>0</v>
      </c>
      <c r="K37" s="45">
        <f t="shared" ref="K37" si="67">IFERROR(J37/J$54,0%)</f>
        <v>0</v>
      </c>
    </row>
    <row r="38" spans="1:11" x14ac:dyDescent="0.25">
      <c r="A38" s="29" t="s">
        <v>104</v>
      </c>
      <c r="C38" s="45">
        <f t="shared" si="0"/>
        <v>0</v>
      </c>
      <c r="E38" s="45">
        <f t="shared" si="1"/>
        <v>0</v>
      </c>
      <c r="G38" s="45">
        <f t="shared" si="1"/>
        <v>0</v>
      </c>
      <c r="I38" s="45">
        <f t="shared" ref="I38" si="68">IFERROR(H38/H$54,0%)</f>
        <v>0</v>
      </c>
      <c r="K38" s="45">
        <f t="shared" ref="K38" si="69">IFERROR(J38/J$54,0%)</f>
        <v>0</v>
      </c>
    </row>
    <row r="39" spans="1:11" x14ac:dyDescent="0.25">
      <c r="A39" s="32" t="s">
        <v>105</v>
      </c>
      <c r="C39" s="45">
        <f t="shared" si="0"/>
        <v>0</v>
      </c>
      <c r="E39" s="45">
        <f t="shared" si="1"/>
        <v>0</v>
      </c>
      <c r="G39" s="45">
        <f t="shared" si="1"/>
        <v>0</v>
      </c>
      <c r="I39" s="45">
        <f t="shared" ref="I39" si="70">IFERROR(H39/H$54,0%)</f>
        <v>0</v>
      </c>
      <c r="K39" s="45">
        <f t="shared" ref="K39" si="71">IFERROR(J39/J$54,0%)</f>
        <v>0</v>
      </c>
    </row>
    <row r="40" spans="1:11" x14ac:dyDescent="0.25">
      <c r="A40" s="32" t="s">
        <v>106</v>
      </c>
      <c r="C40" s="45">
        <f t="shared" si="0"/>
        <v>0</v>
      </c>
      <c r="E40" s="45">
        <f t="shared" si="1"/>
        <v>0</v>
      </c>
      <c r="G40" s="45">
        <f t="shared" si="1"/>
        <v>0</v>
      </c>
      <c r="I40" s="45">
        <f t="shared" ref="I40" si="72">IFERROR(H40/H$54,0%)</f>
        <v>0</v>
      </c>
      <c r="K40" s="45">
        <f t="shared" ref="K40" si="73">IFERROR(J40/J$54,0%)</f>
        <v>0</v>
      </c>
    </row>
    <row r="41" spans="1:11" x14ac:dyDescent="0.25">
      <c r="A41" s="32" t="s">
        <v>107</v>
      </c>
      <c r="C41" s="45">
        <f t="shared" si="0"/>
        <v>0</v>
      </c>
      <c r="E41" s="45">
        <f t="shared" si="1"/>
        <v>0</v>
      </c>
      <c r="G41" s="45">
        <f t="shared" si="1"/>
        <v>0</v>
      </c>
      <c r="I41" s="45">
        <f t="shared" ref="I41" si="74">IFERROR(H41/H$54,0%)</f>
        <v>0</v>
      </c>
      <c r="K41" s="45">
        <f t="shared" ref="K41" si="75">IFERROR(J41/J$54,0%)</f>
        <v>0</v>
      </c>
    </row>
    <row r="42" spans="1:11" x14ac:dyDescent="0.25">
      <c r="A42" s="32" t="s">
        <v>108</v>
      </c>
      <c r="C42" s="45">
        <f t="shared" si="0"/>
        <v>0</v>
      </c>
      <c r="E42" s="45">
        <f t="shared" si="1"/>
        <v>0</v>
      </c>
      <c r="G42" s="45">
        <f t="shared" si="1"/>
        <v>0</v>
      </c>
      <c r="I42" s="45">
        <f t="shared" ref="I42" si="76">IFERROR(H42/H$54,0%)</f>
        <v>0</v>
      </c>
      <c r="K42" s="45">
        <f t="shared" ref="K42" si="77">IFERROR(J42/J$54,0%)</f>
        <v>0</v>
      </c>
    </row>
    <row r="43" spans="1:11" x14ac:dyDescent="0.25">
      <c r="A43" s="32" t="s">
        <v>109</v>
      </c>
      <c r="C43" s="45">
        <f t="shared" si="0"/>
        <v>0</v>
      </c>
      <c r="E43" s="45">
        <f t="shared" si="1"/>
        <v>0</v>
      </c>
      <c r="G43" s="45">
        <f t="shared" si="1"/>
        <v>0</v>
      </c>
      <c r="I43" s="45">
        <f t="shared" ref="I43" si="78">IFERROR(H43/H$54,0%)</f>
        <v>0</v>
      </c>
      <c r="K43" s="45">
        <f t="shared" ref="K43" si="79">IFERROR(J43/J$54,0%)</f>
        <v>0</v>
      </c>
    </row>
    <row r="44" spans="1:11" x14ac:dyDescent="0.25">
      <c r="A44" s="32" t="s">
        <v>110</v>
      </c>
      <c r="C44" s="45">
        <f t="shared" si="0"/>
        <v>0</v>
      </c>
      <c r="E44" s="45">
        <f t="shared" si="1"/>
        <v>0</v>
      </c>
      <c r="G44" s="45">
        <f t="shared" si="1"/>
        <v>0</v>
      </c>
      <c r="I44" s="45">
        <f t="shared" ref="I44" si="80">IFERROR(H44/H$54,0%)</f>
        <v>0</v>
      </c>
      <c r="K44" s="45">
        <f t="shared" ref="K44" si="81">IFERROR(J44/J$54,0%)</f>
        <v>0</v>
      </c>
    </row>
    <row r="45" spans="1:11" x14ac:dyDescent="0.25">
      <c r="A45" s="32" t="s">
        <v>111</v>
      </c>
      <c r="C45" s="45">
        <f t="shared" si="0"/>
        <v>0</v>
      </c>
      <c r="E45" s="45">
        <f t="shared" si="1"/>
        <v>0</v>
      </c>
      <c r="G45" s="45">
        <f t="shared" si="1"/>
        <v>0</v>
      </c>
      <c r="I45" s="45">
        <f t="shared" ref="I45" si="82">IFERROR(H45/H$54,0%)</f>
        <v>0</v>
      </c>
      <c r="K45" s="45">
        <f t="shared" ref="K45" si="83">IFERROR(J45/J$54,0%)</f>
        <v>0</v>
      </c>
    </row>
    <row r="46" spans="1:11" x14ac:dyDescent="0.25">
      <c r="A46" s="32" t="s">
        <v>112</v>
      </c>
      <c r="C46" s="45">
        <f t="shared" si="0"/>
        <v>0</v>
      </c>
      <c r="E46" s="45">
        <f t="shared" si="1"/>
        <v>0</v>
      </c>
      <c r="G46" s="45">
        <f t="shared" si="1"/>
        <v>0</v>
      </c>
      <c r="I46" s="45">
        <f t="shared" ref="I46" si="84">IFERROR(H46/H$54,0%)</f>
        <v>0</v>
      </c>
      <c r="K46" s="45">
        <f t="shared" ref="K46" si="85">IFERROR(J46/J$54,0%)</f>
        <v>0</v>
      </c>
    </row>
    <row r="47" spans="1:11" x14ac:dyDescent="0.25">
      <c r="A47" s="29" t="s">
        <v>71</v>
      </c>
      <c r="C47" s="45">
        <f t="shared" si="0"/>
        <v>0</v>
      </c>
      <c r="E47" s="45">
        <f t="shared" si="1"/>
        <v>0</v>
      </c>
      <c r="G47" s="45">
        <f t="shared" si="1"/>
        <v>0</v>
      </c>
      <c r="I47" s="45">
        <f t="shared" ref="I47" si="86">IFERROR(H47/H$54,0%)</f>
        <v>0</v>
      </c>
      <c r="K47" s="45">
        <f t="shared" ref="K47" si="87">IFERROR(J47/J$54,0%)</f>
        <v>0</v>
      </c>
    </row>
    <row r="48" spans="1:11" x14ac:dyDescent="0.25">
      <c r="A48" s="29" t="s">
        <v>159</v>
      </c>
      <c r="C48" s="45">
        <f t="shared" si="0"/>
        <v>0</v>
      </c>
      <c r="E48" s="45">
        <f t="shared" si="1"/>
        <v>0</v>
      </c>
      <c r="G48" s="45">
        <f t="shared" si="1"/>
        <v>0</v>
      </c>
      <c r="I48" s="45">
        <f t="shared" ref="I48" si="88">IFERROR(H48/H$54,0%)</f>
        <v>0</v>
      </c>
      <c r="K48" s="45">
        <f t="shared" ref="K48" si="89">IFERROR(J48/J$54,0%)</f>
        <v>0</v>
      </c>
    </row>
    <row r="49" spans="1:11" x14ac:dyDescent="0.25">
      <c r="A49" s="44" t="s">
        <v>160</v>
      </c>
      <c r="C49" s="45">
        <f t="shared" si="0"/>
        <v>0</v>
      </c>
      <c r="E49" s="45">
        <f t="shared" si="1"/>
        <v>0</v>
      </c>
      <c r="G49" s="45">
        <f t="shared" si="1"/>
        <v>0</v>
      </c>
      <c r="I49" s="45">
        <f t="shared" ref="I49" si="90">IFERROR(H49/H$54,0%)</f>
        <v>0</v>
      </c>
      <c r="K49" s="45">
        <f t="shared" ref="K49" si="91">IFERROR(J49/J$54,0%)</f>
        <v>0</v>
      </c>
    </row>
    <row r="50" spans="1:11" x14ac:dyDescent="0.25">
      <c r="A50" s="44" t="s">
        <v>161</v>
      </c>
      <c r="C50" s="45">
        <f t="shared" si="0"/>
        <v>0</v>
      </c>
      <c r="E50" s="45">
        <f t="shared" si="1"/>
        <v>0</v>
      </c>
      <c r="G50" s="45">
        <f t="shared" si="1"/>
        <v>0</v>
      </c>
      <c r="I50" s="45">
        <f t="shared" ref="I50" si="92">IFERROR(H50/H$54,0%)</f>
        <v>0</v>
      </c>
      <c r="K50" s="45">
        <f t="shared" ref="K50" si="93">IFERROR(J50/J$54,0%)</f>
        <v>0</v>
      </c>
    </row>
    <row r="51" spans="1:11" x14ac:dyDescent="0.25">
      <c r="A51" s="44" t="s">
        <v>162</v>
      </c>
      <c r="C51" s="45">
        <f t="shared" si="0"/>
        <v>0</v>
      </c>
      <c r="E51" s="45">
        <f t="shared" si="1"/>
        <v>0</v>
      </c>
      <c r="G51" s="45">
        <f t="shared" si="1"/>
        <v>0</v>
      </c>
      <c r="I51" s="45">
        <f t="shared" ref="I51" si="94">IFERROR(H51/H$54,0%)</f>
        <v>0</v>
      </c>
      <c r="K51" s="45">
        <f t="shared" ref="K51" si="95">IFERROR(J51/J$54,0%)</f>
        <v>0</v>
      </c>
    </row>
    <row r="52" spans="1:11" x14ac:dyDescent="0.25">
      <c r="A52" s="36" t="s">
        <v>163</v>
      </c>
      <c r="C52" s="45">
        <f t="shared" si="0"/>
        <v>0</v>
      </c>
      <c r="E52" s="45">
        <f t="shared" si="1"/>
        <v>0</v>
      </c>
      <c r="G52" s="45">
        <f t="shared" si="1"/>
        <v>0</v>
      </c>
      <c r="I52" s="45">
        <f t="shared" ref="I52" si="96">IFERROR(H52/H$54,0%)</f>
        <v>0</v>
      </c>
      <c r="K52" s="45">
        <f t="shared" ref="K52" si="97">IFERROR(J52/J$54,0%)</f>
        <v>0</v>
      </c>
    </row>
    <row r="53" spans="1:11" x14ac:dyDescent="0.25">
      <c r="A53" s="29" t="s">
        <v>164</v>
      </c>
      <c r="C53" s="45">
        <f t="shared" si="0"/>
        <v>0</v>
      </c>
      <c r="E53" s="45">
        <f t="shared" si="1"/>
        <v>0</v>
      </c>
      <c r="G53" s="45">
        <f t="shared" si="1"/>
        <v>0</v>
      </c>
      <c r="I53" s="45">
        <f t="shared" ref="I53" si="98">IFERROR(H53/H$54,0%)</f>
        <v>0</v>
      </c>
      <c r="K53" s="45">
        <f t="shared" ref="K53" si="99">IFERROR(J53/J$54,0%)</f>
        <v>0</v>
      </c>
    </row>
    <row r="54" spans="1:11" x14ac:dyDescent="0.25">
      <c r="B54" s="43">
        <f>SUM(B4:B53)</f>
        <v>0</v>
      </c>
      <c r="D54" s="43">
        <f>SUM(D4:D53)</f>
        <v>0</v>
      </c>
      <c r="F54" s="43">
        <f>SUM(F4:F53)</f>
        <v>0</v>
      </c>
      <c r="H54" s="43">
        <f>SUM(H4:H53)</f>
        <v>0</v>
      </c>
      <c r="J54" s="43">
        <f>SUM(J4:J53)</f>
        <v>0</v>
      </c>
    </row>
  </sheetData>
  <mergeCells count="6">
    <mergeCell ref="B1:K1"/>
    <mergeCell ref="B2:C2"/>
    <mergeCell ref="D2:E2"/>
    <mergeCell ref="F2:G2"/>
    <mergeCell ref="H2:I2"/>
    <mergeCell ref="J2:K2"/>
  </mergeCell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54"/>
  <sheetViews>
    <sheetView zoomScale="60" zoomScaleNormal="60" workbookViewId="0">
      <selection activeCell="B2" sqref="B2:DB2"/>
    </sheetView>
  </sheetViews>
  <sheetFormatPr defaultRowHeight="15" x14ac:dyDescent="0.25"/>
  <cols>
    <col min="1" max="1" width="36.140625" style="37" customWidth="1"/>
    <col min="2" max="16384" width="9.140625" style="37"/>
  </cols>
  <sheetData>
    <row r="1" spans="1:21" ht="15.75" thickBot="1" x14ac:dyDescent="0.3">
      <c r="B1" s="67" t="s">
        <v>48</v>
      </c>
      <c r="C1" s="68"/>
      <c r="D1" s="68"/>
      <c r="E1" s="68"/>
      <c r="F1" s="68"/>
      <c r="G1" s="68"/>
      <c r="H1" s="68"/>
      <c r="I1" s="68"/>
      <c r="J1" s="68"/>
      <c r="K1" s="69"/>
      <c r="L1" s="67" t="s">
        <v>52</v>
      </c>
      <c r="M1" s="68"/>
      <c r="N1" s="68"/>
      <c r="O1" s="68"/>
      <c r="P1" s="68"/>
      <c r="Q1" s="68"/>
      <c r="R1" s="68"/>
      <c r="S1" s="68"/>
      <c r="T1" s="68"/>
      <c r="U1" s="69"/>
    </row>
    <row r="2" spans="1:21" x14ac:dyDescent="0.25">
      <c r="B2" s="65">
        <f ca="1">SunDates!$H1</f>
        <v>43134</v>
      </c>
      <c r="C2" s="66"/>
      <c r="D2" s="65">
        <f ca="1">SunDates!$H2</f>
        <v>43141</v>
      </c>
      <c r="E2" s="66"/>
      <c r="F2" s="65">
        <f ca="1">SunDates!$H3</f>
        <v>43148</v>
      </c>
      <c r="G2" s="66"/>
      <c r="H2" s="65">
        <f ca="1">SunDates!$H4</f>
        <v>43155</v>
      </c>
      <c r="I2" s="66"/>
      <c r="J2" s="65">
        <f ca="1">SunDates!$H5</f>
        <v>43159</v>
      </c>
      <c r="K2" s="66"/>
      <c r="L2" s="65">
        <f ca="1">SunDates!$H1</f>
        <v>43134</v>
      </c>
      <c r="M2" s="66"/>
      <c r="N2" s="65">
        <f ca="1">SunDates!$H2</f>
        <v>43141</v>
      </c>
      <c r="O2" s="66"/>
      <c r="P2" s="65">
        <f ca="1">SunDates!$H3</f>
        <v>43148</v>
      </c>
      <c r="Q2" s="66"/>
      <c r="R2" s="65">
        <f ca="1">SunDates!$H4</f>
        <v>43155</v>
      </c>
      <c r="S2" s="66"/>
      <c r="T2" s="65">
        <f ca="1">SunDates!$H5</f>
        <v>43159</v>
      </c>
      <c r="U2" s="66"/>
    </row>
    <row r="3" spans="1:21" ht="15.75" thickBot="1" x14ac:dyDescent="0.3">
      <c r="B3" s="40" t="s">
        <v>169</v>
      </c>
      <c r="C3" s="41" t="s">
        <v>170</v>
      </c>
      <c r="D3" s="41" t="s">
        <v>169</v>
      </c>
      <c r="E3" s="41" t="s">
        <v>170</v>
      </c>
      <c r="F3" s="41" t="s">
        <v>169</v>
      </c>
      <c r="G3" s="41" t="s">
        <v>170</v>
      </c>
      <c r="H3" s="41" t="s">
        <v>169</v>
      </c>
      <c r="I3" s="41" t="s">
        <v>170</v>
      </c>
      <c r="J3" s="41" t="s">
        <v>169</v>
      </c>
      <c r="K3" s="42" t="s">
        <v>170</v>
      </c>
      <c r="L3" s="40" t="s">
        <v>169</v>
      </c>
      <c r="M3" s="41" t="s">
        <v>170</v>
      </c>
      <c r="N3" s="41" t="s">
        <v>169</v>
      </c>
      <c r="O3" s="41" t="s">
        <v>170</v>
      </c>
      <c r="P3" s="41" t="s">
        <v>169</v>
      </c>
      <c r="Q3" s="41" t="s">
        <v>170</v>
      </c>
      <c r="R3" s="41" t="s">
        <v>169</v>
      </c>
      <c r="S3" s="41" t="s">
        <v>170</v>
      </c>
      <c r="T3" s="41" t="s">
        <v>169</v>
      </c>
      <c r="U3" s="42" t="s">
        <v>170</v>
      </c>
    </row>
    <row r="4" spans="1:21" x14ac:dyDescent="0.25">
      <c r="A4" s="29" t="s">
        <v>81</v>
      </c>
      <c r="C4" s="45">
        <f>IFERROR(B4/B$54,0%)</f>
        <v>0</v>
      </c>
      <c r="E4" s="45">
        <f>IFERROR(D4/D$54,0%)</f>
        <v>0</v>
      </c>
      <c r="G4" s="45">
        <f>IFERROR(F4/F$54,0%)</f>
        <v>0</v>
      </c>
      <c r="I4" s="45">
        <f>IFERROR(H4/H$54,0%)</f>
        <v>0</v>
      </c>
      <c r="K4" s="45">
        <f>IFERROR(J4/J$54,0%)</f>
        <v>0</v>
      </c>
      <c r="M4" s="45">
        <f>IFERROR(L4/L$54,0%)</f>
        <v>0</v>
      </c>
      <c r="O4" s="45">
        <f>IFERROR(N4/N$54,0%)</f>
        <v>0</v>
      </c>
      <c r="Q4" s="45">
        <f>IFERROR(P4/P$54,0%)</f>
        <v>0</v>
      </c>
      <c r="S4" s="45">
        <f>IFERROR(R4/R$54,0%)</f>
        <v>0</v>
      </c>
      <c r="U4" s="45">
        <f>IFERROR(T4/T$54,0%)</f>
        <v>0</v>
      </c>
    </row>
    <row r="5" spans="1:21" x14ac:dyDescent="0.25">
      <c r="A5" s="29" t="s">
        <v>82</v>
      </c>
      <c r="C5" s="45">
        <f t="shared" ref="C5:C53" si="0">IFERROR(B5/B$54,0%)</f>
        <v>0</v>
      </c>
      <c r="E5" s="45">
        <f t="shared" ref="E5:E53" si="1">IFERROR(D5/D$54,0%)</f>
        <v>0</v>
      </c>
      <c r="G5" s="45">
        <f t="shared" ref="G5:G53" si="2">IFERROR(F5/F$54,0%)</f>
        <v>0</v>
      </c>
      <c r="I5" s="45">
        <f t="shared" ref="I5:I53" si="3">IFERROR(H5/H$54,0%)</f>
        <v>0</v>
      </c>
      <c r="K5" s="45">
        <f t="shared" ref="K5:K53" si="4">IFERROR(J5/J$54,0%)</f>
        <v>0</v>
      </c>
      <c r="M5" s="45">
        <f t="shared" ref="M5:M53" si="5">IFERROR(L5/L$54,0%)</f>
        <v>0</v>
      </c>
      <c r="O5" s="45">
        <f t="shared" ref="O5:O53" si="6">IFERROR(N5/N$54,0%)</f>
        <v>0</v>
      </c>
      <c r="Q5" s="45">
        <f t="shared" ref="Q5:Q53" si="7">IFERROR(P5/P$54,0%)</f>
        <v>0</v>
      </c>
      <c r="S5" s="45">
        <f t="shared" ref="S5:S53" si="8">IFERROR(R5/R$54,0%)</f>
        <v>0</v>
      </c>
      <c r="U5" s="45">
        <f t="shared" ref="U5:U53" si="9">IFERROR(T5/T$54,0%)</f>
        <v>0</v>
      </c>
    </row>
    <row r="6" spans="1:21" x14ac:dyDescent="0.25">
      <c r="A6" s="29" t="s">
        <v>83</v>
      </c>
      <c r="C6" s="45">
        <f t="shared" si="0"/>
        <v>0</v>
      </c>
      <c r="E6" s="45">
        <f t="shared" si="1"/>
        <v>0</v>
      </c>
      <c r="G6" s="45">
        <f t="shared" si="2"/>
        <v>0</v>
      </c>
      <c r="I6" s="45">
        <f t="shared" si="3"/>
        <v>0</v>
      </c>
      <c r="K6" s="45">
        <f t="shared" si="4"/>
        <v>0</v>
      </c>
      <c r="M6" s="45">
        <f t="shared" si="5"/>
        <v>0</v>
      </c>
      <c r="O6" s="45">
        <f t="shared" si="6"/>
        <v>0</v>
      </c>
      <c r="Q6" s="45">
        <f t="shared" si="7"/>
        <v>0</v>
      </c>
      <c r="S6" s="45">
        <f t="shared" si="8"/>
        <v>0</v>
      </c>
      <c r="U6" s="45">
        <f t="shared" si="9"/>
        <v>0</v>
      </c>
    </row>
    <row r="7" spans="1:21" x14ac:dyDescent="0.25">
      <c r="A7" s="29" t="s">
        <v>84</v>
      </c>
      <c r="C7" s="45">
        <f t="shared" si="0"/>
        <v>0</v>
      </c>
      <c r="E7" s="45">
        <f t="shared" si="1"/>
        <v>0</v>
      </c>
      <c r="G7" s="45">
        <f t="shared" si="2"/>
        <v>0</v>
      </c>
      <c r="I7" s="45">
        <f t="shared" si="3"/>
        <v>0</v>
      </c>
      <c r="K7" s="45">
        <f t="shared" si="4"/>
        <v>0</v>
      </c>
      <c r="M7" s="45">
        <f t="shared" si="5"/>
        <v>0</v>
      </c>
      <c r="O7" s="45">
        <f t="shared" si="6"/>
        <v>0</v>
      </c>
      <c r="Q7" s="45">
        <f t="shared" si="7"/>
        <v>0</v>
      </c>
      <c r="S7" s="45">
        <f t="shared" si="8"/>
        <v>0</v>
      </c>
      <c r="U7" s="45">
        <f t="shared" si="9"/>
        <v>0</v>
      </c>
    </row>
    <row r="8" spans="1:21" x14ac:dyDescent="0.25">
      <c r="A8" s="29" t="s">
        <v>85</v>
      </c>
      <c r="C8" s="45">
        <f t="shared" si="0"/>
        <v>0</v>
      </c>
      <c r="E8" s="45">
        <f t="shared" si="1"/>
        <v>0</v>
      </c>
      <c r="G8" s="45">
        <f t="shared" si="2"/>
        <v>0</v>
      </c>
      <c r="I8" s="45">
        <f t="shared" si="3"/>
        <v>0</v>
      </c>
      <c r="K8" s="45">
        <f t="shared" si="4"/>
        <v>0</v>
      </c>
      <c r="M8" s="45">
        <f t="shared" si="5"/>
        <v>0</v>
      </c>
      <c r="O8" s="45">
        <f t="shared" si="6"/>
        <v>0</v>
      </c>
      <c r="Q8" s="45">
        <f t="shared" si="7"/>
        <v>0</v>
      </c>
      <c r="S8" s="45">
        <f t="shared" si="8"/>
        <v>0</v>
      </c>
      <c r="U8" s="45">
        <f t="shared" si="9"/>
        <v>0</v>
      </c>
    </row>
    <row r="9" spans="1:21" x14ac:dyDescent="0.25">
      <c r="A9" s="29" t="s">
        <v>86</v>
      </c>
      <c r="C9" s="45">
        <f t="shared" si="0"/>
        <v>0</v>
      </c>
      <c r="E9" s="45">
        <f t="shared" si="1"/>
        <v>0</v>
      </c>
      <c r="G9" s="45">
        <f t="shared" si="2"/>
        <v>0</v>
      </c>
      <c r="I9" s="45">
        <f t="shared" si="3"/>
        <v>0</v>
      </c>
      <c r="K9" s="45">
        <f t="shared" si="4"/>
        <v>0</v>
      </c>
      <c r="M9" s="45">
        <f t="shared" si="5"/>
        <v>0</v>
      </c>
      <c r="O9" s="45">
        <f t="shared" si="6"/>
        <v>0</v>
      </c>
      <c r="Q9" s="45">
        <f t="shared" si="7"/>
        <v>0</v>
      </c>
      <c r="S9" s="45">
        <f t="shared" si="8"/>
        <v>0</v>
      </c>
      <c r="U9" s="45">
        <f t="shared" si="9"/>
        <v>0</v>
      </c>
    </row>
    <row r="10" spans="1:21" x14ac:dyDescent="0.25">
      <c r="A10" s="29" t="s">
        <v>87</v>
      </c>
      <c r="C10" s="45">
        <f t="shared" si="0"/>
        <v>0</v>
      </c>
      <c r="E10" s="45">
        <f t="shared" si="1"/>
        <v>0</v>
      </c>
      <c r="G10" s="45">
        <f t="shared" si="2"/>
        <v>0</v>
      </c>
      <c r="I10" s="45">
        <f t="shared" si="3"/>
        <v>0</v>
      </c>
      <c r="K10" s="45">
        <f t="shared" si="4"/>
        <v>0</v>
      </c>
      <c r="M10" s="45">
        <f t="shared" si="5"/>
        <v>0</v>
      </c>
      <c r="O10" s="45">
        <f t="shared" si="6"/>
        <v>0</v>
      </c>
      <c r="Q10" s="45">
        <f t="shared" si="7"/>
        <v>0</v>
      </c>
      <c r="S10" s="45">
        <f t="shared" si="8"/>
        <v>0</v>
      </c>
      <c r="U10" s="45">
        <f t="shared" si="9"/>
        <v>0</v>
      </c>
    </row>
    <row r="11" spans="1:21" x14ac:dyDescent="0.25">
      <c r="A11" s="29" t="s">
        <v>88</v>
      </c>
      <c r="C11" s="45">
        <f t="shared" si="0"/>
        <v>0</v>
      </c>
      <c r="E11" s="45">
        <f t="shared" si="1"/>
        <v>0</v>
      </c>
      <c r="G11" s="45">
        <f t="shared" si="2"/>
        <v>0</v>
      </c>
      <c r="I11" s="45">
        <f t="shared" si="3"/>
        <v>0</v>
      </c>
      <c r="K11" s="45">
        <f t="shared" si="4"/>
        <v>0</v>
      </c>
      <c r="M11" s="45">
        <f t="shared" si="5"/>
        <v>0</v>
      </c>
      <c r="O11" s="45">
        <f t="shared" si="6"/>
        <v>0</v>
      </c>
      <c r="Q11" s="45">
        <f t="shared" si="7"/>
        <v>0</v>
      </c>
      <c r="S11" s="45">
        <f t="shared" si="8"/>
        <v>0</v>
      </c>
      <c r="U11" s="45">
        <f t="shared" si="9"/>
        <v>0</v>
      </c>
    </row>
    <row r="12" spans="1:21" x14ac:dyDescent="0.25">
      <c r="A12" s="29" t="s">
        <v>89</v>
      </c>
      <c r="C12" s="45">
        <f t="shared" si="0"/>
        <v>0</v>
      </c>
      <c r="E12" s="45">
        <f t="shared" si="1"/>
        <v>0</v>
      </c>
      <c r="G12" s="45">
        <f t="shared" si="2"/>
        <v>0</v>
      </c>
      <c r="I12" s="45">
        <f t="shared" si="3"/>
        <v>0</v>
      </c>
      <c r="K12" s="45">
        <f t="shared" si="4"/>
        <v>0</v>
      </c>
      <c r="M12" s="45">
        <f t="shared" si="5"/>
        <v>0</v>
      </c>
      <c r="O12" s="45">
        <f t="shared" si="6"/>
        <v>0</v>
      </c>
      <c r="Q12" s="45">
        <f t="shared" si="7"/>
        <v>0</v>
      </c>
      <c r="S12" s="45">
        <f t="shared" si="8"/>
        <v>0</v>
      </c>
      <c r="U12" s="45">
        <f t="shared" si="9"/>
        <v>0</v>
      </c>
    </row>
    <row r="13" spans="1:21" x14ac:dyDescent="0.25">
      <c r="A13" s="29" t="s">
        <v>90</v>
      </c>
      <c r="C13" s="45">
        <f t="shared" si="0"/>
        <v>0</v>
      </c>
      <c r="E13" s="45">
        <f t="shared" si="1"/>
        <v>0</v>
      </c>
      <c r="G13" s="45">
        <f t="shared" si="2"/>
        <v>0</v>
      </c>
      <c r="I13" s="45">
        <f t="shared" si="3"/>
        <v>0</v>
      </c>
      <c r="K13" s="45">
        <f t="shared" si="4"/>
        <v>0</v>
      </c>
      <c r="M13" s="45">
        <f t="shared" si="5"/>
        <v>0</v>
      </c>
      <c r="O13" s="45">
        <f t="shared" si="6"/>
        <v>0</v>
      </c>
      <c r="Q13" s="45">
        <f t="shared" si="7"/>
        <v>0</v>
      </c>
      <c r="S13" s="45">
        <f t="shared" si="8"/>
        <v>0</v>
      </c>
      <c r="U13" s="45">
        <f t="shared" si="9"/>
        <v>0</v>
      </c>
    </row>
    <row r="14" spans="1:21" x14ac:dyDescent="0.25">
      <c r="A14" s="29" t="s">
        <v>91</v>
      </c>
      <c r="C14" s="45">
        <f t="shared" si="0"/>
        <v>0</v>
      </c>
      <c r="E14" s="45">
        <f t="shared" si="1"/>
        <v>0</v>
      </c>
      <c r="G14" s="45">
        <f t="shared" si="2"/>
        <v>0</v>
      </c>
      <c r="I14" s="45">
        <f t="shared" si="3"/>
        <v>0</v>
      </c>
      <c r="K14" s="45">
        <f t="shared" si="4"/>
        <v>0</v>
      </c>
      <c r="M14" s="45">
        <f t="shared" si="5"/>
        <v>0</v>
      </c>
      <c r="O14" s="45">
        <f t="shared" si="6"/>
        <v>0</v>
      </c>
      <c r="Q14" s="45">
        <f t="shared" si="7"/>
        <v>0</v>
      </c>
      <c r="S14" s="45">
        <f t="shared" si="8"/>
        <v>0</v>
      </c>
      <c r="U14" s="45">
        <f t="shared" si="9"/>
        <v>0</v>
      </c>
    </row>
    <row r="15" spans="1:21" x14ac:dyDescent="0.25">
      <c r="A15" s="29" t="s">
        <v>92</v>
      </c>
      <c r="C15" s="45">
        <f t="shared" si="0"/>
        <v>0</v>
      </c>
      <c r="E15" s="45">
        <f t="shared" si="1"/>
        <v>0</v>
      </c>
      <c r="G15" s="45">
        <f t="shared" si="2"/>
        <v>0</v>
      </c>
      <c r="I15" s="45">
        <f t="shared" si="3"/>
        <v>0</v>
      </c>
      <c r="K15" s="45">
        <f t="shared" si="4"/>
        <v>0</v>
      </c>
      <c r="M15" s="45">
        <f t="shared" si="5"/>
        <v>0</v>
      </c>
      <c r="O15" s="45">
        <f t="shared" si="6"/>
        <v>0</v>
      </c>
      <c r="Q15" s="45">
        <f t="shared" si="7"/>
        <v>0</v>
      </c>
      <c r="S15" s="45">
        <f t="shared" si="8"/>
        <v>0</v>
      </c>
      <c r="U15" s="45">
        <f t="shared" si="9"/>
        <v>0</v>
      </c>
    </row>
    <row r="16" spans="1:21" x14ac:dyDescent="0.25">
      <c r="A16" s="29" t="s">
        <v>93</v>
      </c>
      <c r="C16" s="45">
        <f t="shared" si="0"/>
        <v>0</v>
      </c>
      <c r="E16" s="45">
        <f t="shared" si="1"/>
        <v>0</v>
      </c>
      <c r="G16" s="45">
        <f t="shared" si="2"/>
        <v>0</v>
      </c>
      <c r="I16" s="45">
        <f t="shared" si="3"/>
        <v>0</v>
      </c>
      <c r="K16" s="45">
        <f t="shared" si="4"/>
        <v>0</v>
      </c>
      <c r="M16" s="45">
        <f t="shared" si="5"/>
        <v>0</v>
      </c>
      <c r="O16" s="45">
        <f t="shared" si="6"/>
        <v>0</v>
      </c>
      <c r="Q16" s="45">
        <f t="shared" si="7"/>
        <v>0</v>
      </c>
      <c r="S16" s="45">
        <f t="shared" si="8"/>
        <v>0</v>
      </c>
      <c r="U16" s="45">
        <f t="shared" si="9"/>
        <v>0</v>
      </c>
    </row>
    <row r="17" spans="1:21" x14ac:dyDescent="0.25">
      <c r="A17" s="29" t="s">
        <v>94</v>
      </c>
      <c r="C17" s="45">
        <f t="shared" si="0"/>
        <v>0</v>
      </c>
      <c r="E17" s="45">
        <f t="shared" si="1"/>
        <v>0</v>
      </c>
      <c r="G17" s="45">
        <f t="shared" si="2"/>
        <v>0</v>
      </c>
      <c r="I17" s="45">
        <f t="shared" si="3"/>
        <v>0</v>
      </c>
      <c r="K17" s="45">
        <f t="shared" si="4"/>
        <v>0</v>
      </c>
      <c r="M17" s="45">
        <f t="shared" si="5"/>
        <v>0</v>
      </c>
      <c r="O17" s="45">
        <f t="shared" si="6"/>
        <v>0</v>
      </c>
      <c r="Q17" s="45">
        <f t="shared" si="7"/>
        <v>0</v>
      </c>
      <c r="S17" s="45">
        <f t="shared" si="8"/>
        <v>0</v>
      </c>
      <c r="U17" s="45">
        <f t="shared" si="9"/>
        <v>0</v>
      </c>
    </row>
    <row r="18" spans="1:21" x14ac:dyDescent="0.25">
      <c r="A18" s="29" t="s">
        <v>95</v>
      </c>
      <c r="C18" s="45">
        <f t="shared" si="0"/>
        <v>0</v>
      </c>
      <c r="E18" s="45">
        <f t="shared" si="1"/>
        <v>0</v>
      </c>
      <c r="G18" s="45">
        <f t="shared" si="2"/>
        <v>0</v>
      </c>
      <c r="I18" s="45">
        <f t="shared" si="3"/>
        <v>0</v>
      </c>
      <c r="K18" s="45">
        <f t="shared" si="4"/>
        <v>0</v>
      </c>
      <c r="M18" s="45">
        <f t="shared" si="5"/>
        <v>0</v>
      </c>
      <c r="O18" s="45">
        <f t="shared" si="6"/>
        <v>0</v>
      </c>
      <c r="Q18" s="45">
        <f t="shared" si="7"/>
        <v>0</v>
      </c>
      <c r="S18" s="45">
        <f t="shared" si="8"/>
        <v>0</v>
      </c>
      <c r="U18" s="45">
        <f t="shared" si="9"/>
        <v>0</v>
      </c>
    </row>
    <row r="19" spans="1:21" x14ac:dyDescent="0.25">
      <c r="A19" s="29" t="s">
        <v>96</v>
      </c>
      <c r="C19" s="45">
        <f t="shared" si="0"/>
        <v>0</v>
      </c>
      <c r="E19" s="45">
        <f t="shared" si="1"/>
        <v>0</v>
      </c>
      <c r="G19" s="45">
        <f t="shared" si="2"/>
        <v>0</v>
      </c>
      <c r="I19" s="45">
        <f t="shared" si="3"/>
        <v>0</v>
      </c>
      <c r="K19" s="45">
        <f t="shared" si="4"/>
        <v>0</v>
      </c>
      <c r="M19" s="45">
        <f t="shared" si="5"/>
        <v>0</v>
      </c>
      <c r="O19" s="45">
        <f t="shared" si="6"/>
        <v>0</v>
      </c>
      <c r="Q19" s="45">
        <f t="shared" si="7"/>
        <v>0</v>
      </c>
      <c r="S19" s="45">
        <f t="shared" si="8"/>
        <v>0</v>
      </c>
      <c r="U19" s="45">
        <f t="shared" si="9"/>
        <v>0</v>
      </c>
    </row>
    <row r="20" spans="1:21" x14ac:dyDescent="0.25">
      <c r="A20" s="29" t="s">
        <v>97</v>
      </c>
      <c r="C20" s="45">
        <f t="shared" si="0"/>
        <v>0</v>
      </c>
      <c r="E20" s="45">
        <f t="shared" si="1"/>
        <v>0</v>
      </c>
      <c r="G20" s="45">
        <f t="shared" si="2"/>
        <v>0</v>
      </c>
      <c r="I20" s="45">
        <f t="shared" si="3"/>
        <v>0</v>
      </c>
      <c r="K20" s="45">
        <f t="shared" si="4"/>
        <v>0</v>
      </c>
      <c r="M20" s="45">
        <f t="shared" si="5"/>
        <v>0</v>
      </c>
      <c r="O20" s="45">
        <f t="shared" si="6"/>
        <v>0</v>
      </c>
      <c r="Q20" s="45">
        <f t="shared" si="7"/>
        <v>0</v>
      </c>
      <c r="S20" s="45">
        <f t="shared" si="8"/>
        <v>0</v>
      </c>
      <c r="U20" s="45">
        <f t="shared" si="9"/>
        <v>0</v>
      </c>
    </row>
    <row r="21" spans="1:21" x14ac:dyDescent="0.25">
      <c r="A21" s="30" t="s">
        <v>148</v>
      </c>
      <c r="C21" s="45">
        <f t="shared" si="0"/>
        <v>0</v>
      </c>
      <c r="E21" s="45">
        <f t="shared" si="1"/>
        <v>0</v>
      </c>
      <c r="G21" s="45">
        <f t="shared" si="2"/>
        <v>0</v>
      </c>
      <c r="I21" s="45">
        <f t="shared" si="3"/>
        <v>0</v>
      </c>
      <c r="K21" s="45">
        <f t="shared" si="4"/>
        <v>0</v>
      </c>
      <c r="M21" s="45">
        <f t="shared" si="5"/>
        <v>0</v>
      </c>
      <c r="O21" s="45">
        <f t="shared" si="6"/>
        <v>0</v>
      </c>
      <c r="Q21" s="45">
        <f t="shared" si="7"/>
        <v>0</v>
      </c>
      <c r="S21" s="45">
        <f t="shared" si="8"/>
        <v>0</v>
      </c>
      <c r="U21" s="45">
        <f t="shared" si="9"/>
        <v>0</v>
      </c>
    </row>
    <row r="22" spans="1:21" x14ac:dyDescent="0.25">
      <c r="A22" s="30" t="s">
        <v>149</v>
      </c>
      <c r="C22" s="45">
        <f t="shared" si="0"/>
        <v>0</v>
      </c>
      <c r="E22" s="45">
        <f t="shared" si="1"/>
        <v>0</v>
      </c>
      <c r="G22" s="45">
        <f t="shared" si="2"/>
        <v>0</v>
      </c>
      <c r="I22" s="45">
        <f t="shared" si="3"/>
        <v>0</v>
      </c>
      <c r="K22" s="45">
        <f t="shared" si="4"/>
        <v>0</v>
      </c>
      <c r="M22" s="45">
        <f t="shared" si="5"/>
        <v>0</v>
      </c>
      <c r="O22" s="45">
        <f t="shared" si="6"/>
        <v>0</v>
      </c>
      <c r="Q22" s="45">
        <f t="shared" si="7"/>
        <v>0</v>
      </c>
      <c r="S22" s="45">
        <f t="shared" si="8"/>
        <v>0</v>
      </c>
      <c r="U22" s="45">
        <f t="shared" si="9"/>
        <v>0</v>
      </c>
    </row>
    <row r="23" spans="1:21" x14ac:dyDescent="0.25">
      <c r="A23" s="30" t="s">
        <v>150</v>
      </c>
      <c r="C23" s="45">
        <f t="shared" si="0"/>
        <v>0</v>
      </c>
      <c r="E23" s="45">
        <f t="shared" si="1"/>
        <v>0</v>
      </c>
      <c r="G23" s="45">
        <f t="shared" si="2"/>
        <v>0</v>
      </c>
      <c r="I23" s="45">
        <f t="shared" si="3"/>
        <v>0</v>
      </c>
      <c r="K23" s="45">
        <f t="shared" si="4"/>
        <v>0</v>
      </c>
      <c r="M23" s="45">
        <f t="shared" si="5"/>
        <v>0</v>
      </c>
      <c r="O23" s="45">
        <f t="shared" si="6"/>
        <v>0</v>
      </c>
      <c r="Q23" s="45">
        <f t="shared" si="7"/>
        <v>0</v>
      </c>
      <c r="S23" s="45">
        <f t="shared" si="8"/>
        <v>0</v>
      </c>
      <c r="U23" s="45">
        <f t="shared" si="9"/>
        <v>0</v>
      </c>
    </row>
    <row r="24" spans="1:21" x14ac:dyDescent="0.25">
      <c r="A24" s="30" t="s">
        <v>151</v>
      </c>
      <c r="C24" s="45">
        <f t="shared" si="0"/>
        <v>0</v>
      </c>
      <c r="E24" s="45">
        <f t="shared" si="1"/>
        <v>0</v>
      </c>
      <c r="G24" s="45">
        <f t="shared" si="2"/>
        <v>0</v>
      </c>
      <c r="I24" s="45">
        <f t="shared" si="3"/>
        <v>0</v>
      </c>
      <c r="K24" s="45">
        <f t="shared" si="4"/>
        <v>0</v>
      </c>
      <c r="M24" s="45">
        <f t="shared" si="5"/>
        <v>0</v>
      </c>
      <c r="O24" s="45">
        <f t="shared" si="6"/>
        <v>0</v>
      </c>
      <c r="Q24" s="45">
        <f t="shared" si="7"/>
        <v>0</v>
      </c>
      <c r="S24" s="45">
        <f t="shared" si="8"/>
        <v>0</v>
      </c>
      <c r="U24" s="45">
        <f t="shared" si="9"/>
        <v>0</v>
      </c>
    </row>
    <row r="25" spans="1:21" x14ac:dyDescent="0.25">
      <c r="A25" s="30" t="s">
        <v>152</v>
      </c>
      <c r="C25" s="45">
        <f t="shared" si="0"/>
        <v>0</v>
      </c>
      <c r="E25" s="45">
        <f t="shared" si="1"/>
        <v>0</v>
      </c>
      <c r="G25" s="45">
        <f t="shared" si="2"/>
        <v>0</v>
      </c>
      <c r="I25" s="45">
        <f t="shared" si="3"/>
        <v>0</v>
      </c>
      <c r="K25" s="45">
        <f t="shared" si="4"/>
        <v>0</v>
      </c>
      <c r="M25" s="45">
        <f t="shared" si="5"/>
        <v>0</v>
      </c>
      <c r="O25" s="45">
        <f t="shared" si="6"/>
        <v>0</v>
      </c>
      <c r="Q25" s="45">
        <f t="shared" si="7"/>
        <v>0</v>
      </c>
      <c r="S25" s="45">
        <f t="shared" si="8"/>
        <v>0</v>
      </c>
      <c r="U25" s="45">
        <f t="shared" si="9"/>
        <v>0</v>
      </c>
    </row>
    <row r="26" spans="1:21" x14ac:dyDescent="0.25">
      <c r="A26" s="31" t="s">
        <v>153</v>
      </c>
      <c r="C26" s="45">
        <f t="shared" si="0"/>
        <v>0</v>
      </c>
      <c r="E26" s="45">
        <f t="shared" si="1"/>
        <v>0</v>
      </c>
      <c r="G26" s="45">
        <f t="shared" si="2"/>
        <v>0</v>
      </c>
      <c r="I26" s="45">
        <f t="shared" si="3"/>
        <v>0</v>
      </c>
      <c r="K26" s="45">
        <f t="shared" si="4"/>
        <v>0</v>
      </c>
      <c r="M26" s="45">
        <f t="shared" si="5"/>
        <v>0</v>
      </c>
      <c r="O26" s="45">
        <f t="shared" si="6"/>
        <v>0</v>
      </c>
      <c r="Q26" s="45">
        <f t="shared" si="7"/>
        <v>0</v>
      </c>
      <c r="S26" s="45">
        <f t="shared" si="8"/>
        <v>0</v>
      </c>
      <c r="U26" s="45">
        <f t="shared" si="9"/>
        <v>0</v>
      </c>
    </row>
    <row r="27" spans="1:21" x14ac:dyDescent="0.25">
      <c r="A27" s="29" t="s">
        <v>98</v>
      </c>
      <c r="C27" s="45">
        <f t="shared" si="0"/>
        <v>0</v>
      </c>
      <c r="E27" s="45">
        <f t="shared" si="1"/>
        <v>0</v>
      </c>
      <c r="G27" s="45">
        <f t="shared" si="2"/>
        <v>0</v>
      </c>
      <c r="I27" s="45">
        <f t="shared" si="3"/>
        <v>0</v>
      </c>
      <c r="K27" s="45">
        <f t="shared" si="4"/>
        <v>0</v>
      </c>
      <c r="M27" s="45">
        <f t="shared" si="5"/>
        <v>0</v>
      </c>
      <c r="O27" s="45">
        <f t="shared" si="6"/>
        <v>0</v>
      </c>
      <c r="Q27" s="45">
        <f t="shared" si="7"/>
        <v>0</v>
      </c>
      <c r="S27" s="45">
        <f t="shared" si="8"/>
        <v>0</v>
      </c>
      <c r="U27" s="45">
        <f t="shared" si="9"/>
        <v>0</v>
      </c>
    </row>
    <row r="28" spans="1:21" x14ac:dyDescent="0.25">
      <c r="A28" s="29" t="s">
        <v>99</v>
      </c>
      <c r="C28" s="45">
        <f t="shared" si="0"/>
        <v>0</v>
      </c>
      <c r="E28" s="45">
        <f t="shared" si="1"/>
        <v>0</v>
      </c>
      <c r="G28" s="45">
        <f t="shared" si="2"/>
        <v>0</v>
      </c>
      <c r="I28" s="45">
        <f t="shared" si="3"/>
        <v>0</v>
      </c>
      <c r="K28" s="45">
        <f t="shared" si="4"/>
        <v>0</v>
      </c>
      <c r="M28" s="45">
        <f t="shared" si="5"/>
        <v>0</v>
      </c>
      <c r="O28" s="45">
        <f t="shared" si="6"/>
        <v>0</v>
      </c>
      <c r="Q28" s="45">
        <f t="shared" si="7"/>
        <v>0</v>
      </c>
      <c r="S28" s="45">
        <f t="shared" si="8"/>
        <v>0</v>
      </c>
      <c r="U28" s="45">
        <f t="shared" si="9"/>
        <v>0</v>
      </c>
    </row>
    <row r="29" spans="1:21" x14ac:dyDescent="0.25">
      <c r="A29" s="30" t="s">
        <v>154</v>
      </c>
      <c r="C29" s="45">
        <f t="shared" si="0"/>
        <v>0</v>
      </c>
      <c r="E29" s="45">
        <f t="shared" si="1"/>
        <v>0</v>
      </c>
      <c r="G29" s="45">
        <f t="shared" si="2"/>
        <v>0</v>
      </c>
      <c r="I29" s="45">
        <f t="shared" si="3"/>
        <v>0</v>
      </c>
      <c r="K29" s="45">
        <f t="shared" si="4"/>
        <v>0</v>
      </c>
      <c r="M29" s="45">
        <f t="shared" si="5"/>
        <v>0</v>
      </c>
      <c r="O29" s="45">
        <f t="shared" si="6"/>
        <v>0</v>
      </c>
      <c r="Q29" s="45">
        <f t="shared" si="7"/>
        <v>0</v>
      </c>
      <c r="S29" s="45">
        <f t="shared" si="8"/>
        <v>0</v>
      </c>
      <c r="U29" s="45">
        <f t="shared" si="9"/>
        <v>0</v>
      </c>
    </row>
    <row r="30" spans="1:21" x14ac:dyDescent="0.25">
      <c r="A30" s="30" t="s">
        <v>155</v>
      </c>
      <c r="C30" s="45">
        <f t="shared" si="0"/>
        <v>0</v>
      </c>
      <c r="E30" s="45">
        <f t="shared" si="1"/>
        <v>0</v>
      </c>
      <c r="G30" s="45">
        <f t="shared" si="2"/>
        <v>0</v>
      </c>
      <c r="I30" s="45">
        <f t="shared" si="3"/>
        <v>0</v>
      </c>
      <c r="K30" s="45">
        <f t="shared" si="4"/>
        <v>0</v>
      </c>
      <c r="M30" s="45">
        <f t="shared" si="5"/>
        <v>0</v>
      </c>
      <c r="O30" s="45">
        <f t="shared" si="6"/>
        <v>0</v>
      </c>
      <c r="Q30" s="45">
        <f t="shared" si="7"/>
        <v>0</v>
      </c>
      <c r="S30" s="45">
        <f t="shared" si="8"/>
        <v>0</v>
      </c>
      <c r="U30" s="45">
        <f t="shared" si="9"/>
        <v>0</v>
      </c>
    </row>
    <row r="31" spans="1:21" x14ac:dyDescent="0.25">
      <c r="A31" s="30" t="s">
        <v>156</v>
      </c>
      <c r="C31" s="45">
        <f t="shared" si="0"/>
        <v>0</v>
      </c>
      <c r="E31" s="45">
        <f t="shared" si="1"/>
        <v>0</v>
      </c>
      <c r="G31" s="45">
        <f t="shared" si="2"/>
        <v>0</v>
      </c>
      <c r="I31" s="45">
        <f t="shared" si="3"/>
        <v>0</v>
      </c>
      <c r="K31" s="45">
        <f t="shared" si="4"/>
        <v>0</v>
      </c>
      <c r="M31" s="45">
        <f t="shared" si="5"/>
        <v>0</v>
      </c>
      <c r="O31" s="45">
        <f t="shared" si="6"/>
        <v>0</v>
      </c>
      <c r="Q31" s="45">
        <f t="shared" si="7"/>
        <v>0</v>
      </c>
      <c r="S31" s="45">
        <f t="shared" si="8"/>
        <v>0</v>
      </c>
      <c r="U31" s="45">
        <f t="shared" si="9"/>
        <v>0</v>
      </c>
    </row>
    <row r="32" spans="1:21" x14ac:dyDescent="0.25">
      <c r="A32" s="30" t="s">
        <v>157</v>
      </c>
      <c r="C32" s="45">
        <f t="shared" si="0"/>
        <v>0</v>
      </c>
      <c r="E32" s="45">
        <f t="shared" si="1"/>
        <v>0</v>
      </c>
      <c r="G32" s="45">
        <f t="shared" si="2"/>
        <v>0</v>
      </c>
      <c r="I32" s="45">
        <f t="shared" si="3"/>
        <v>0</v>
      </c>
      <c r="K32" s="45">
        <f t="shared" si="4"/>
        <v>0</v>
      </c>
      <c r="M32" s="45">
        <f t="shared" si="5"/>
        <v>0</v>
      </c>
      <c r="O32" s="45">
        <f t="shared" si="6"/>
        <v>0</v>
      </c>
      <c r="Q32" s="45">
        <f t="shared" si="7"/>
        <v>0</v>
      </c>
      <c r="S32" s="45">
        <f t="shared" si="8"/>
        <v>0</v>
      </c>
      <c r="U32" s="45">
        <f t="shared" si="9"/>
        <v>0</v>
      </c>
    </row>
    <row r="33" spans="1:21" x14ac:dyDescent="0.25">
      <c r="A33" s="30" t="s">
        <v>158</v>
      </c>
      <c r="C33" s="45">
        <f t="shared" si="0"/>
        <v>0</v>
      </c>
      <c r="E33" s="45">
        <f t="shared" si="1"/>
        <v>0</v>
      </c>
      <c r="G33" s="45">
        <f t="shared" si="2"/>
        <v>0</v>
      </c>
      <c r="I33" s="45">
        <f t="shared" si="3"/>
        <v>0</v>
      </c>
      <c r="K33" s="45">
        <f t="shared" si="4"/>
        <v>0</v>
      </c>
      <c r="M33" s="45">
        <f t="shared" si="5"/>
        <v>0</v>
      </c>
      <c r="O33" s="45">
        <f t="shared" si="6"/>
        <v>0</v>
      </c>
      <c r="Q33" s="45">
        <f t="shared" si="7"/>
        <v>0</v>
      </c>
      <c r="S33" s="45">
        <f t="shared" si="8"/>
        <v>0</v>
      </c>
      <c r="U33" s="45">
        <f t="shared" si="9"/>
        <v>0</v>
      </c>
    </row>
    <row r="34" spans="1:21" x14ac:dyDescent="0.25">
      <c r="A34" s="29" t="s">
        <v>100</v>
      </c>
      <c r="C34" s="45">
        <f t="shared" si="0"/>
        <v>0</v>
      </c>
      <c r="E34" s="45">
        <f t="shared" si="1"/>
        <v>0</v>
      </c>
      <c r="G34" s="45">
        <f t="shared" si="2"/>
        <v>0</v>
      </c>
      <c r="I34" s="45">
        <f t="shared" si="3"/>
        <v>0</v>
      </c>
      <c r="K34" s="45">
        <f t="shared" si="4"/>
        <v>0</v>
      </c>
      <c r="M34" s="45">
        <f t="shared" si="5"/>
        <v>0</v>
      </c>
      <c r="O34" s="45">
        <f t="shared" si="6"/>
        <v>0</v>
      </c>
      <c r="Q34" s="45">
        <f t="shared" si="7"/>
        <v>0</v>
      </c>
      <c r="S34" s="45">
        <f t="shared" si="8"/>
        <v>0</v>
      </c>
      <c r="U34" s="45">
        <f t="shared" si="9"/>
        <v>0</v>
      </c>
    </row>
    <row r="35" spans="1:21" x14ac:dyDescent="0.25">
      <c r="A35" s="29" t="s">
        <v>101</v>
      </c>
      <c r="C35" s="45">
        <f t="shared" si="0"/>
        <v>0</v>
      </c>
      <c r="E35" s="45">
        <f t="shared" si="1"/>
        <v>0</v>
      </c>
      <c r="G35" s="45">
        <f t="shared" si="2"/>
        <v>0</v>
      </c>
      <c r="I35" s="45">
        <f t="shared" si="3"/>
        <v>0</v>
      </c>
      <c r="K35" s="45">
        <f t="shared" si="4"/>
        <v>0</v>
      </c>
      <c r="M35" s="45">
        <f t="shared" si="5"/>
        <v>0</v>
      </c>
      <c r="O35" s="45">
        <f t="shared" si="6"/>
        <v>0</v>
      </c>
      <c r="Q35" s="45">
        <f t="shared" si="7"/>
        <v>0</v>
      </c>
      <c r="S35" s="45">
        <f t="shared" si="8"/>
        <v>0</v>
      </c>
      <c r="U35" s="45">
        <f t="shared" si="9"/>
        <v>0</v>
      </c>
    </row>
    <row r="36" spans="1:21" x14ac:dyDescent="0.25">
      <c r="A36" s="29" t="s">
        <v>102</v>
      </c>
      <c r="C36" s="45">
        <f t="shared" si="0"/>
        <v>0</v>
      </c>
      <c r="E36" s="45">
        <f t="shared" si="1"/>
        <v>0</v>
      </c>
      <c r="G36" s="45">
        <f t="shared" si="2"/>
        <v>0</v>
      </c>
      <c r="I36" s="45">
        <f t="shared" si="3"/>
        <v>0</v>
      </c>
      <c r="K36" s="45">
        <f t="shared" si="4"/>
        <v>0</v>
      </c>
      <c r="M36" s="45">
        <f t="shared" si="5"/>
        <v>0</v>
      </c>
      <c r="O36" s="45">
        <f t="shared" si="6"/>
        <v>0</v>
      </c>
      <c r="Q36" s="45">
        <f t="shared" si="7"/>
        <v>0</v>
      </c>
      <c r="S36" s="45">
        <f t="shared" si="8"/>
        <v>0</v>
      </c>
      <c r="U36" s="45">
        <f t="shared" si="9"/>
        <v>0</v>
      </c>
    </row>
    <row r="37" spans="1:21" x14ac:dyDescent="0.25">
      <c r="A37" s="29" t="s">
        <v>103</v>
      </c>
      <c r="C37" s="45">
        <f t="shared" si="0"/>
        <v>0</v>
      </c>
      <c r="E37" s="45">
        <f t="shared" si="1"/>
        <v>0</v>
      </c>
      <c r="G37" s="45">
        <f t="shared" si="2"/>
        <v>0</v>
      </c>
      <c r="I37" s="45">
        <f t="shared" si="3"/>
        <v>0</v>
      </c>
      <c r="K37" s="45">
        <f t="shared" si="4"/>
        <v>0</v>
      </c>
      <c r="M37" s="45">
        <f t="shared" si="5"/>
        <v>0</v>
      </c>
      <c r="O37" s="45">
        <f t="shared" si="6"/>
        <v>0</v>
      </c>
      <c r="Q37" s="45">
        <f t="shared" si="7"/>
        <v>0</v>
      </c>
      <c r="S37" s="45">
        <f t="shared" si="8"/>
        <v>0</v>
      </c>
      <c r="U37" s="45">
        <f t="shared" si="9"/>
        <v>0</v>
      </c>
    </row>
    <row r="38" spans="1:21" x14ac:dyDescent="0.25">
      <c r="A38" s="29" t="s">
        <v>104</v>
      </c>
      <c r="C38" s="45">
        <f t="shared" si="0"/>
        <v>0</v>
      </c>
      <c r="E38" s="45">
        <f t="shared" si="1"/>
        <v>0</v>
      </c>
      <c r="G38" s="45">
        <f t="shared" si="2"/>
        <v>0</v>
      </c>
      <c r="I38" s="45">
        <f t="shared" si="3"/>
        <v>0</v>
      </c>
      <c r="K38" s="45">
        <f t="shared" si="4"/>
        <v>0</v>
      </c>
      <c r="M38" s="45">
        <f t="shared" si="5"/>
        <v>0</v>
      </c>
      <c r="O38" s="45">
        <f t="shared" si="6"/>
        <v>0</v>
      </c>
      <c r="Q38" s="45">
        <f t="shared" si="7"/>
        <v>0</v>
      </c>
      <c r="S38" s="45">
        <f t="shared" si="8"/>
        <v>0</v>
      </c>
      <c r="U38" s="45">
        <f t="shared" si="9"/>
        <v>0</v>
      </c>
    </row>
    <row r="39" spans="1:21" x14ac:dyDescent="0.25">
      <c r="A39" s="32" t="s">
        <v>105</v>
      </c>
      <c r="C39" s="45">
        <f t="shared" si="0"/>
        <v>0</v>
      </c>
      <c r="E39" s="45">
        <f t="shared" si="1"/>
        <v>0</v>
      </c>
      <c r="G39" s="45">
        <f t="shared" si="2"/>
        <v>0</v>
      </c>
      <c r="I39" s="45">
        <f t="shared" si="3"/>
        <v>0</v>
      </c>
      <c r="K39" s="45">
        <f t="shared" si="4"/>
        <v>0</v>
      </c>
      <c r="M39" s="45">
        <f t="shared" si="5"/>
        <v>0</v>
      </c>
      <c r="O39" s="45">
        <f t="shared" si="6"/>
        <v>0</v>
      </c>
      <c r="Q39" s="45">
        <f t="shared" si="7"/>
        <v>0</v>
      </c>
      <c r="S39" s="45">
        <f t="shared" si="8"/>
        <v>0</v>
      </c>
      <c r="U39" s="45">
        <f t="shared" si="9"/>
        <v>0</v>
      </c>
    </row>
    <row r="40" spans="1:21" x14ac:dyDescent="0.25">
      <c r="A40" s="32" t="s">
        <v>106</v>
      </c>
      <c r="C40" s="45">
        <f t="shared" si="0"/>
        <v>0</v>
      </c>
      <c r="E40" s="45">
        <f t="shared" si="1"/>
        <v>0</v>
      </c>
      <c r="G40" s="45">
        <f t="shared" si="2"/>
        <v>0</v>
      </c>
      <c r="I40" s="45">
        <f t="shared" si="3"/>
        <v>0</v>
      </c>
      <c r="K40" s="45">
        <f t="shared" si="4"/>
        <v>0</v>
      </c>
      <c r="M40" s="45">
        <f t="shared" si="5"/>
        <v>0</v>
      </c>
      <c r="O40" s="45">
        <f t="shared" si="6"/>
        <v>0</v>
      </c>
      <c r="Q40" s="45">
        <f t="shared" si="7"/>
        <v>0</v>
      </c>
      <c r="S40" s="45">
        <f t="shared" si="8"/>
        <v>0</v>
      </c>
      <c r="U40" s="45">
        <f t="shared" si="9"/>
        <v>0</v>
      </c>
    </row>
    <row r="41" spans="1:21" x14ac:dyDescent="0.25">
      <c r="A41" s="32" t="s">
        <v>107</v>
      </c>
      <c r="C41" s="45">
        <f t="shared" si="0"/>
        <v>0</v>
      </c>
      <c r="E41" s="45">
        <f t="shared" si="1"/>
        <v>0</v>
      </c>
      <c r="G41" s="45">
        <f t="shared" si="2"/>
        <v>0</v>
      </c>
      <c r="I41" s="45">
        <f t="shared" si="3"/>
        <v>0</v>
      </c>
      <c r="K41" s="45">
        <f t="shared" si="4"/>
        <v>0</v>
      </c>
      <c r="M41" s="45">
        <f t="shared" si="5"/>
        <v>0</v>
      </c>
      <c r="O41" s="45">
        <f t="shared" si="6"/>
        <v>0</v>
      </c>
      <c r="Q41" s="45">
        <f t="shared" si="7"/>
        <v>0</v>
      </c>
      <c r="S41" s="45">
        <f t="shared" si="8"/>
        <v>0</v>
      </c>
      <c r="U41" s="45">
        <f t="shared" si="9"/>
        <v>0</v>
      </c>
    </row>
    <row r="42" spans="1:21" x14ac:dyDescent="0.25">
      <c r="A42" s="32" t="s">
        <v>108</v>
      </c>
      <c r="C42" s="45">
        <f t="shared" si="0"/>
        <v>0</v>
      </c>
      <c r="E42" s="45">
        <f t="shared" si="1"/>
        <v>0</v>
      </c>
      <c r="G42" s="45">
        <f t="shared" si="2"/>
        <v>0</v>
      </c>
      <c r="I42" s="45">
        <f t="shared" si="3"/>
        <v>0</v>
      </c>
      <c r="K42" s="45">
        <f t="shared" si="4"/>
        <v>0</v>
      </c>
      <c r="M42" s="45">
        <f t="shared" si="5"/>
        <v>0</v>
      </c>
      <c r="O42" s="45">
        <f t="shared" si="6"/>
        <v>0</v>
      </c>
      <c r="Q42" s="45">
        <f t="shared" si="7"/>
        <v>0</v>
      </c>
      <c r="S42" s="45">
        <f t="shared" si="8"/>
        <v>0</v>
      </c>
      <c r="U42" s="45">
        <f t="shared" si="9"/>
        <v>0</v>
      </c>
    </row>
    <row r="43" spans="1:21" x14ac:dyDescent="0.25">
      <c r="A43" s="32" t="s">
        <v>109</v>
      </c>
      <c r="C43" s="45">
        <f t="shared" si="0"/>
        <v>0</v>
      </c>
      <c r="E43" s="45">
        <f t="shared" si="1"/>
        <v>0</v>
      </c>
      <c r="G43" s="45">
        <f t="shared" si="2"/>
        <v>0</v>
      </c>
      <c r="I43" s="45">
        <f t="shared" si="3"/>
        <v>0</v>
      </c>
      <c r="K43" s="45">
        <f t="shared" si="4"/>
        <v>0</v>
      </c>
      <c r="M43" s="45">
        <f t="shared" si="5"/>
        <v>0</v>
      </c>
      <c r="O43" s="45">
        <f t="shared" si="6"/>
        <v>0</v>
      </c>
      <c r="Q43" s="45">
        <f t="shared" si="7"/>
        <v>0</v>
      </c>
      <c r="S43" s="45">
        <f t="shared" si="8"/>
        <v>0</v>
      </c>
      <c r="U43" s="45">
        <f t="shared" si="9"/>
        <v>0</v>
      </c>
    </row>
    <row r="44" spans="1:21" x14ac:dyDescent="0.25">
      <c r="A44" s="32" t="s">
        <v>110</v>
      </c>
      <c r="C44" s="45">
        <f t="shared" si="0"/>
        <v>0</v>
      </c>
      <c r="E44" s="45">
        <f t="shared" si="1"/>
        <v>0</v>
      </c>
      <c r="G44" s="45">
        <f t="shared" si="2"/>
        <v>0</v>
      </c>
      <c r="I44" s="45">
        <f t="shared" si="3"/>
        <v>0</v>
      </c>
      <c r="K44" s="45">
        <f t="shared" si="4"/>
        <v>0</v>
      </c>
      <c r="M44" s="45">
        <f t="shared" si="5"/>
        <v>0</v>
      </c>
      <c r="O44" s="45">
        <f t="shared" si="6"/>
        <v>0</v>
      </c>
      <c r="Q44" s="45">
        <f t="shared" si="7"/>
        <v>0</v>
      </c>
      <c r="S44" s="45">
        <f t="shared" si="8"/>
        <v>0</v>
      </c>
      <c r="U44" s="45">
        <f t="shared" si="9"/>
        <v>0</v>
      </c>
    </row>
    <row r="45" spans="1:21" x14ac:dyDescent="0.25">
      <c r="A45" s="32" t="s">
        <v>111</v>
      </c>
      <c r="C45" s="45">
        <f t="shared" si="0"/>
        <v>0</v>
      </c>
      <c r="E45" s="45">
        <f t="shared" si="1"/>
        <v>0</v>
      </c>
      <c r="G45" s="45">
        <f t="shared" si="2"/>
        <v>0</v>
      </c>
      <c r="I45" s="45">
        <f t="shared" si="3"/>
        <v>0</v>
      </c>
      <c r="K45" s="45">
        <f t="shared" si="4"/>
        <v>0</v>
      </c>
      <c r="M45" s="45">
        <f t="shared" si="5"/>
        <v>0</v>
      </c>
      <c r="O45" s="45">
        <f t="shared" si="6"/>
        <v>0</v>
      </c>
      <c r="Q45" s="45">
        <f t="shared" si="7"/>
        <v>0</v>
      </c>
      <c r="S45" s="45">
        <f t="shared" si="8"/>
        <v>0</v>
      </c>
      <c r="U45" s="45">
        <f t="shared" si="9"/>
        <v>0</v>
      </c>
    </row>
    <row r="46" spans="1:21" x14ac:dyDescent="0.25">
      <c r="A46" s="32" t="s">
        <v>112</v>
      </c>
      <c r="C46" s="45">
        <f t="shared" si="0"/>
        <v>0</v>
      </c>
      <c r="E46" s="45">
        <f t="shared" si="1"/>
        <v>0</v>
      </c>
      <c r="G46" s="45">
        <f t="shared" si="2"/>
        <v>0</v>
      </c>
      <c r="I46" s="45">
        <f t="shared" si="3"/>
        <v>0</v>
      </c>
      <c r="K46" s="45">
        <f t="shared" si="4"/>
        <v>0</v>
      </c>
      <c r="M46" s="45">
        <f t="shared" si="5"/>
        <v>0</v>
      </c>
      <c r="O46" s="45">
        <f t="shared" si="6"/>
        <v>0</v>
      </c>
      <c r="Q46" s="45">
        <f t="shared" si="7"/>
        <v>0</v>
      </c>
      <c r="S46" s="45">
        <f t="shared" si="8"/>
        <v>0</v>
      </c>
      <c r="U46" s="45">
        <f t="shared" si="9"/>
        <v>0</v>
      </c>
    </row>
    <row r="47" spans="1:21" x14ac:dyDescent="0.25">
      <c r="A47" s="29" t="s">
        <v>71</v>
      </c>
      <c r="C47" s="45">
        <f t="shared" si="0"/>
        <v>0</v>
      </c>
      <c r="E47" s="45">
        <f t="shared" si="1"/>
        <v>0</v>
      </c>
      <c r="G47" s="45">
        <f t="shared" si="2"/>
        <v>0</v>
      </c>
      <c r="I47" s="45">
        <f t="shared" si="3"/>
        <v>0</v>
      </c>
      <c r="K47" s="45">
        <f t="shared" si="4"/>
        <v>0</v>
      </c>
      <c r="M47" s="45">
        <f t="shared" si="5"/>
        <v>0</v>
      </c>
      <c r="O47" s="45">
        <f t="shared" si="6"/>
        <v>0</v>
      </c>
      <c r="Q47" s="45">
        <f t="shared" si="7"/>
        <v>0</v>
      </c>
      <c r="S47" s="45">
        <f t="shared" si="8"/>
        <v>0</v>
      </c>
      <c r="U47" s="45">
        <f t="shared" si="9"/>
        <v>0</v>
      </c>
    </row>
    <row r="48" spans="1:21" x14ac:dyDescent="0.25">
      <c r="A48" s="29" t="s">
        <v>159</v>
      </c>
      <c r="C48" s="45">
        <f t="shared" si="0"/>
        <v>0</v>
      </c>
      <c r="E48" s="45">
        <f t="shared" si="1"/>
        <v>0</v>
      </c>
      <c r="G48" s="45">
        <f t="shared" si="2"/>
        <v>0</v>
      </c>
      <c r="I48" s="45">
        <f t="shared" si="3"/>
        <v>0</v>
      </c>
      <c r="K48" s="45">
        <f t="shared" si="4"/>
        <v>0</v>
      </c>
      <c r="M48" s="45">
        <f t="shared" si="5"/>
        <v>0</v>
      </c>
      <c r="O48" s="45">
        <f t="shared" si="6"/>
        <v>0</v>
      </c>
      <c r="Q48" s="45">
        <f t="shared" si="7"/>
        <v>0</v>
      </c>
      <c r="S48" s="45">
        <f t="shared" si="8"/>
        <v>0</v>
      </c>
      <c r="U48" s="45">
        <f t="shared" si="9"/>
        <v>0</v>
      </c>
    </row>
    <row r="49" spans="1:21" x14ac:dyDescent="0.25">
      <c r="A49" s="44" t="s">
        <v>160</v>
      </c>
      <c r="C49" s="45">
        <f t="shared" si="0"/>
        <v>0</v>
      </c>
      <c r="E49" s="45">
        <f t="shared" si="1"/>
        <v>0</v>
      </c>
      <c r="G49" s="45">
        <f t="shared" si="2"/>
        <v>0</v>
      </c>
      <c r="I49" s="45">
        <f t="shared" si="3"/>
        <v>0</v>
      </c>
      <c r="K49" s="45">
        <f t="shared" si="4"/>
        <v>0</v>
      </c>
      <c r="M49" s="45">
        <f t="shared" si="5"/>
        <v>0</v>
      </c>
      <c r="O49" s="45">
        <f t="shared" si="6"/>
        <v>0</v>
      </c>
      <c r="Q49" s="45">
        <f t="shared" si="7"/>
        <v>0</v>
      </c>
      <c r="S49" s="45">
        <f t="shared" si="8"/>
        <v>0</v>
      </c>
      <c r="U49" s="45">
        <f t="shared" si="9"/>
        <v>0</v>
      </c>
    </row>
    <row r="50" spans="1:21" x14ac:dyDescent="0.25">
      <c r="A50" s="44" t="s">
        <v>161</v>
      </c>
      <c r="C50" s="45">
        <f t="shared" si="0"/>
        <v>0</v>
      </c>
      <c r="E50" s="45">
        <f t="shared" si="1"/>
        <v>0</v>
      </c>
      <c r="G50" s="45">
        <f t="shared" si="2"/>
        <v>0</v>
      </c>
      <c r="I50" s="45">
        <f t="shared" si="3"/>
        <v>0</v>
      </c>
      <c r="K50" s="45">
        <f t="shared" si="4"/>
        <v>0</v>
      </c>
      <c r="M50" s="45">
        <f t="shared" si="5"/>
        <v>0</v>
      </c>
      <c r="O50" s="45">
        <f t="shared" si="6"/>
        <v>0</v>
      </c>
      <c r="Q50" s="45">
        <f t="shared" si="7"/>
        <v>0</v>
      </c>
      <c r="S50" s="45">
        <f t="shared" si="8"/>
        <v>0</v>
      </c>
      <c r="U50" s="45">
        <f t="shared" si="9"/>
        <v>0</v>
      </c>
    </row>
    <row r="51" spans="1:21" x14ac:dyDescent="0.25">
      <c r="A51" s="44" t="s">
        <v>162</v>
      </c>
      <c r="C51" s="45">
        <f t="shared" si="0"/>
        <v>0</v>
      </c>
      <c r="E51" s="45">
        <f t="shared" si="1"/>
        <v>0</v>
      </c>
      <c r="G51" s="45">
        <f t="shared" si="2"/>
        <v>0</v>
      </c>
      <c r="I51" s="45">
        <f t="shared" si="3"/>
        <v>0</v>
      </c>
      <c r="K51" s="45">
        <f t="shared" si="4"/>
        <v>0</v>
      </c>
      <c r="M51" s="45">
        <f t="shared" si="5"/>
        <v>0</v>
      </c>
      <c r="O51" s="45">
        <f t="shared" si="6"/>
        <v>0</v>
      </c>
      <c r="Q51" s="45">
        <f t="shared" si="7"/>
        <v>0</v>
      </c>
      <c r="S51" s="45">
        <f t="shared" si="8"/>
        <v>0</v>
      </c>
      <c r="U51" s="45">
        <f t="shared" si="9"/>
        <v>0</v>
      </c>
    </row>
    <row r="52" spans="1:21" x14ac:dyDescent="0.25">
      <c r="A52" s="36" t="s">
        <v>163</v>
      </c>
      <c r="C52" s="45">
        <f t="shared" si="0"/>
        <v>0</v>
      </c>
      <c r="E52" s="45">
        <f t="shared" si="1"/>
        <v>0</v>
      </c>
      <c r="G52" s="45">
        <f t="shared" si="2"/>
        <v>0</v>
      </c>
      <c r="I52" s="45">
        <f t="shared" si="3"/>
        <v>0</v>
      </c>
      <c r="K52" s="45">
        <f t="shared" si="4"/>
        <v>0</v>
      </c>
      <c r="M52" s="45">
        <f t="shared" si="5"/>
        <v>0</v>
      </c>
      <c r="O52" s="45">
        <f t="shared" si="6"/>
        <v>0</v>
      </c>
      <c r="Q52" s="45">
        <f t="shared" si="7"/>
        <v>0</v>
      </c>
      <c r="S52" s="45">
        <f t="shared" si="8"/>
        <v>0</v>
      </c>
      <c r="U52" s="45">
        <f t="shared" si="9"/>
        <v>0</v>
      </c>
    </row>
    <row r="53" spans="1:21" x14ac:dyDescent="0.25">
      <c r="A53" s="29" t="s">
        <v>164</v>
      </c>
      <c r="C53" s="45">
        <f t="shared" si="0"/>
        <v>0</v>
      </c>
      <c r="E53" s="45">
        <f t="shared" si="1"/>
        <v>0</v>
      </c>
      <c r="G53" s="45">
        <f t="shared" si="2"/>
        <v>0</v>
      </c>
      <c r="I53" s="45">
        <f t="shared" si="3"/>
        <v>0</v>
      </c>
      <c r="K53" s="45">
        <f t="shared" si="4"/>
        <v>0</v>
      </c>
      <c r="M53" s="45">
        <f t="shared" si="5"/>
        <v>0</v>
      </c>
      <c r="O53" s="45">
        <f t="shared" si="6"/>
        <v>0</v>
      </c>
      <c r="Q53" s="45">
        <f t="shared" si="7"/>
        <v>0</v>
      </c>
      <c r="S53" s="45">
        <f t="shared" si="8"/>
        <v>0</v>
      </c>
      <c r="U53" s="45">
        <f t="shared" si="9"/>
        <v>0</v>
      </c>
    </row>
    <row r="54" spans="1:21" x14ac:dyDescent="0.25">
      <c r="B54" s="43">
        <f>SUM(B4:B53)</f>
        <v>0</v>
      </c>
      <c r="D54" s="43">
        <f>SUM(D4:D53)</f>
        <v>0</v>
      </c>
      <c r="F54" s="43">
        <f>SUM(F4:F53)</f>
        <v>0</v>
      </c>
      <c r="H54" s="43">
        <f>SUM(H4:H53)</f>
        <v>0</v>
      </c>
      <c r="J54" s="43">
        <f>SUM(J4:J53)</f>
        <v>0</v>
      </c>
      <c r="L54" s="43">
        <f>SUM(L4:L53)</f>
        <v>0</v>
      </c>
      <c r="N54" s="43">
        <f>SUM(N4:N53)</f>
        <v>0</v>
      </c>
      <c r="P54" s="43">
        <f>SUM(P4:P53)</f>
        <v>0</v>
      </c>
      <c r="R54" s="43">
        <f>SUM(R4:R53)</f>
        <v>0</v>
      </c>
      <c r="T54" s="43">
        <f>SUM(T4:T53)</f>
        <v>0</v>
      </c>
    </row>
  </sheetData>
  <mergeCells count="12">
    <mergeCell ref="P2:Q2"/>
    <mergeCell ref="R2:S2"/>
    <mergeCell ref="T2:U2"/>
    <mergeCell ref="B1:K1"/>
    <mergeCell ref="B2:C2"/>
    <mergeCell ref="D2:E2"/>
    <mergeCell ref="F2:G2"/>
    <mergeCell ref="H2:I2"/>
    <mergeCell ref="J2:K2"/>
    <mergeCell ref="L1:U1"/>
    <mergeCell ref="L2:M2"/>
    <mergeCell ref="N2:O2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4"/>
  <sheetViews>
    <sheetView zoomScale="57" zoomScaleNormal="57" workbookViewId="0">
      <selection activeCell="B2" sqref="B2:DB2"/>
    </sheetView>
  </sheetViews>
  <sheetFormatPr defaultRowHeight="15" x14ac:dyDescent="0.25"/>
  <cols>
    <col min="1" max="1" width="36.140625" style="37" customWidth="1"/>
    <col min="2" max="16384" width="9.140625" style="37"/>
  </cols>
  <sheetData>
    <row r="1" spans="1:21" ht="15.75" thickBot="1" x14ac:dyDescent="0.3">
      <c r="B1" s="67" t="s">
        <v>32</v>
      </c>
      <c r="C1" s="68"/>
      <c r="D1" s="68"/>
      <c r="E1" s="68"/>
      <c r="F1" s="68"/>
      <c r="G1" s="68"/>
      <c r="H1" s="68"/>
      <c r="I1" s="68"/>
      <c r="J1" s="68"/>
      <c r="K1" s="69"/>
      <c r="L1" s="67" t="s">
        <v>47</v>
      </c>
      <c r="M1" s="68"/>
      <c r="N1" s="68"/>
      <c r="O1" s="68"/>
      <c r="P1" s="68"/>
      <c r="Q1" s="68"/>
      <c r="R1" s="68"/>
      <c r="S1" s="68"/>
      <c r="T1" s="68"/>
      <c r="U1" s="69"/>
    </row>
    <row r="2" spans="1:21" x14ac:dyDescent="0.25">
      <c r="B2" s="65">
        <f ca="1">SunDates!$H1</f>
        <v>43134</v>
      </c>
      <c r="C2" s="66"/>
      <c r="D2" s="65">
        <f ca="1">SunDates!$H2</f>
        <v>43141</v>
      </c>
      <c r="E2" s="66"/>
      <c r="F2" s="65">
        <f ca="1">SunDates!$H3</f>
        <v>43148</v>
      </c>
      <c r="G2" s="66"/>
      <c r="H2" s="65">
        <f ca="1">SunDates!$H4</f>
        <v>43155</v>
      </c>
      <c r="I2" s="66"/>
      <c r="J2" s="65">
        <f ca="1">SunDates!$H5</f>
        <v>43159</v>
      </c>
      <c r="K2" s="66"/>
      <c r="L2" s="65">
        <f ca="1">SunDates!$H1</f>
        <v>43134</v>
      </c>
      <c r="M2" s="66"/>
      <c r="N2" s="65">
        <f ca="1">SunDates!$H2</f>
        <v>43141</v>
      </c>
      <c r="O2" s="66"/>
      <c r="P2" s="65">
        <f ca="1">SunDates!$H3</f>
        <v>43148</v>
      </c>
      <c r="Q2" s="66"/>
      <c r="R2" s="65">
        <f ca="1">SunDates!$H4</f>
        <v>43155</v>
      </c>
      <c r="S2" s="66"/>
      <c r="T2" s="65">
        <f ca="1">SunDates!$H5</f>
        <v>43159</v>
      </c>
      <c r="U2" s="66"/>
    </row>
    <row r="3" spans="1:21" ht="15.75" thickBot="1" x14ac:dyDescent="0.3">
      <c r="B3" s="40" t="s">
        <v>169</v>
      </c>
      <c r="C3" s="41" t="s">
        <v>170</v>
      </c>
      <c r="D3" s="41" t="s">
        <v>169</v>
      </c>
      <c r="E3" s="41" t="s">
        <v>170</v>
      </c>
      <c r="F3" s="41" t="s">
        <v>169</v>
      </c>
      <c r="G3" s="41" t="s">
        <v>170</v>
      </c>
      <c r="H3" s="41" t="s">
        <v>169</v>
      </c>
      <c r="I3" s="41" t="s">
        <v>170</v>
      </c>
      <c r="J3" s="41" t="s">
        <v>169</v>
      </c>
      <c r="K3" s="42" t="s">
        <v>170</v>
      </c>
      <c r="L3" s="40" t="s">
        <v>169</v>
      </c>
      <c r="M3" s="41" t="s">
        <v>170</v>
      </c>
      <c r="N3" s="41" t="s">
        <v>169</v>
      </c>
      <c r="O3" s="41" t="s">
        <v>170</v>
      </c>
      <c r="P3" s="41" t="s">
        <v>169</v>
      </c>
      <c r="Q3" s="41" t="s">
        <v>170</v>
      </c>
      <c r="R3" s="41" t="s">
        <v>169</v>
      </c>
      <c r="S3" s="41" t="s">
        <v>170</v>
      </c>
      <c r="T3" s="41" t="s">
        <v>169</v>
      </c>
      <c r="U3" s="42" t="s">
        <v>170</v>
      </c>
    </row>
    <row r="4" spans="1:21" x14ac:dyDescent="0.25">
      <c r="A4" s="29" t="s">
        <v>81</v>
      </c>
      <c r="B4" s="15"/>
      <c r="C4" s="45">
        <f>IFERROR(B4/B$54,0%)</f>
        <v>0</v>
      </c>
      <c r="D4" s="15"/>
      <c r="E4" s="45">
        <f>IFERROR(D4/D$54,0%)</f>
        <v>0</v>
      </c>
      <c r="F4" s="15"/>
      <c r="G4" s="45">
        <f>IFERROR(F4/F$54,0%)</f>
        <v>0</v>
      </c>
      <c r="H4" s="15"/>
      <c r="I4" s="45">
        <f>IFERROR(H4/H$54,0%)</f>
        <v>0</v>
      </c>
      <c r="J4" s="15"/>
      <c r="K4" s="45">
        <f>IFERROR(J4/J$54,0%)</f>
        <v>0</v>
      </c>
      <c r="L4" s="15"/>
      <c r="M4" s="45">
        <f>IFERROR(L4/L$54,0%)</f>
        <v>0</v>
      </c>
      <c r="N4" s="15"/>
      <c r="O4" s="45">
        <f>IFERROR(N4/N$54,0%)</f>
        <v>0</v>
      </c>
      <c r="P4" s="15"/>
      <c r="Q4" s="45">
        <f>IFERROR(P4/P$54,0%)</f>
        <v>0</v>
      </c>
      <c r="R4" s="15"/>
      <c r="S4" s="45">
        <f>IFERROR(R4/R$54,0%)</f>
        <v>0</v>
      </c>
      <c r="T4" s="15"/>
      <c r="U4" s="45">
        <f>IFERROR(T4/T$54,0%)</f>
        <v>0</v>
      </c>
    </row>
    <row r="5" spans="1:21" x14ac:dyDescent="0.25">
      <c r="A5" s="29" t="s">
        <v>82</v>
      </c>
      <c r="B5" s="15"/>
      <c r="C5" s="45">
        <f t="shared" ref="C5:E53" si="0">IFERROR(B5/B$54,0%)</f>
        <v>0</v>
      </c>
      <c r="D5" s="15"/>
      <c r="E5" s="45">
        <f t="shared" si="0"/>
        <v>0</v>
      </c>
      <c r="F5" s="15"/>
      <c r="G5" s="45">
        <f t="shared" ref="G5" si="1">IFERROR(F5/F$54,0%)</f>
        <v>0</v>
      </c>
      <c r="H5" s="15"/>
      <c r="I5" s="45">
        <f t="shared" ref="I5" si="2">IFERROR(H5/H$54,0%)</f>
        <v>0</v>
      </c>
      <c r="J5" s="15"/>
      <c r="K5" s="45">
        <f t="shared" ref="K5" si="3">IFERROR(J5/J$54,0%)</f>
        <v>0</v>
      </c>
      <c r="L5" s="15"/>
      <c r="M5" s="45">
        <f t="shared" ref="M5" si="4">IFERROR(L5/L$54,0%)</f>
        <v>0</v>
      </c>
      <c r="N5" s="15"/>
      <c r="O5" s="45">
        <f t="shared" ref="O5" si="5">IFERROR(N5/N$54,0%)</f>
        <v>0</v>
      </c>
      <c r="P5" s="15"/>
      <c r="Q5" s="45">
        <f t="shared" ref="Q5:Q53" si="6">IFERROR(P5/P$54,0%)</f>
        <v>0</v>
      </c>
      <c r="R5" s="15"/>
      <c r="S5" s="45">
        <f t="shared" ref="S5:S53" si="7">IFERROR(R5/R$54,0%)</f>
        <v>0</v>
      </c>
      <c r="T5" s="15"/>
      <c r="U5" s="45">
        <f t="shared" ref="U5:U53" si="8">IFERROR(T5/T$54,0%)</f>
        <v>0</v>
      </c>
    </row>
    <row r="6" spans="1:21" x14ac:dyDescent="0.25">
      <c r="A6" s="29" t="s">
        <v>83</v>
      </c>
      <c r="B6" s="15"/>
      <c r="C6" s="45">
        <f t="shared" si="0"/>
        <v>0</v>
      </c>
      <c r="D6" s="15"/>
      <c r="E6" s="45">
        <f t="shared" si="0"/>
        <v>0</v>
      </c>
      <c r="F6" s="15"/>
      <c r="G6" s="45">
        <f t="shared" ref="G6" si="9">IFERROR(F6/F$54,0%)</f>
        <v>0</v>
      </c>
      <c r="H6" s="15"/>
      <c r="I6" s="45">
        <f t="shared" ref="I6" si="10">IFERROR(H6/H$54,0%)</f>
        <v>0</v>
      </c>
      <c r="J6" s="15"/>
      <c r="K6" s="45">
        <f t="shared" ref="K6" si="11">IFERROR(J6/J$54,0%)</f>
        <v>0</v>
      </c>
      <c r="L6" s="15"/>
      <c r="M6" s="45">
        <f t="shared" ref="M6" si="12">IFERROR(L6/L$54,0%)</f>
        <v>0</v>
      </c>
      <c r="N6" s="15"/>
      <c r="O6" s="45">
        <f t="shared" ref="O6" si="13">IFERROR(N6/N$54,0%)</f>
        <v>0</v>
      </c>
      <c r="P6" s="15"/>
      <c r="Q6" s="45">
        <f t="shared" si="6"/>
        <v>0</v>
      </c>
      <c r="R6" s="15"/>
      <c r="S6" s="45">
        <f t="shared" si="7"/>
        <v>0</v>
      </c>
      <c r="T6" s="15"/>
      <c r="U6" s="45">
        <f t="shared" si="8"/>
        <v>0</v>
      </c>
    </row>
    <row r="7" spans="1:21" x14ac:dyDescent="0.25">
      <c r="A7" s="29" t="s">
        <v>84</v>
      </c>
      <c r="B7" s="15"/>
      <c r="C7" s="45">
        <f t="shared" si="0"/>
        <v>0</v>
      </c>
      <c r="D7" s="15"/>
      <c r="E7" s="45">
        <f t="shared" si="0"/>
        <v>0</v>
      </c>
      <c r="F7" s="15"/>
      <c r="G7" s="45">
        <f t="shared" ref="G7" si="14">IFERROR(F7/F$54,0%)</f>
        <v>0</v>
      </c>
      <c r="H7" s="15"/>
      <c r="I7" s="45">
        <f t="shared" ref="I7" si="15">IFERROR(H7/H$54,0%)</f>
        <v>0</v>
      </c>
      <c r="J7" s="15"/>
      <c r="K7" s="45">
        <f t="shared" ref="K7" si="16">IFERROR(J7/J$54,0%)</f>
        <v>0</v>
      </c>
      <c r="L7" s="15"/>
      <c r="M7" s="45">
        <f t="shared" ref="M7" si="17">IFERROR(L7/L$54,0%)</f>
        <v>0</v>
      </c>
      <c r="N7" s="15"/>
      <c r="O7" s="45">
        <f t="shared" ref="O7" si="18">IFERROR(N7/N$54,0%)</f>
        <v>0</v>
      </c>
      <c r="P7" s="15"/>
      <c r="Q7" s="45">
        <f t="shared" si="6"/>
        <v>0</v>
      </c>
      <c r="R7" s="15"/>
      <c r="S7" s="45">
        <f t="shared" si="7"/>
        <v>0</v>
      </c>
      <c r="T7" s="15"/>
      <c r="U7" s="45">
        <f t="shared" si="8"/>
        <v>0</v>
      </c>
    </row>
    <row r="8" spans="1:21" x14ac:dyDescent="0.25">
      <c r="A8" s="29" t="s">
        <v>85</v>
      </c>
      <c r="B8" s="15"/>
      <c r="C8" s="45">
        <f t="shared" si="0"/>
        <v>0</v>
      </c>
      <c r="D8" s="15"/>
      <c r="E8" s="45">
        <f t="shared" si="0"/>
        <v>0</v>
      </c>
      <c r="F8" s="15"/>
      <c r="G8" s="45">
        <f t="shared" ref="G8" si="19">IFERROR(F8/F$54,0%)</f>
        <v>0</v>
      </c>
      <c r="H8" s="15"/>
      <c r="I8" s="45">
        <f t="shared" ref="I8" si="20">IFERROR(H8/H$54,0%)</f>
        <v>0</v>
      </c>
      <c r="J8" s="15"/>
      <c r="K8" s="45">
        <f t="shared" ref="K8" si="21">IFERROR(J8/J$54,0%)</f>
        <v>0</v>
      </c>
      <c r="L8" s="15"/>
      <c r="M8" s="45">
        <f t="shared" ref="M8" si="22">IFERROR(L8/L$54,0%)</f>
        <v>0</v>
      </c>
      <c r="N8" s="15"/>
      <c r="O8" s="45">
        <f t="shared" ref="O8" si="23">IFERROR(N8/N$54,0%)</f>
        <v>0</v>
      </c>
      <c r="P8" s="15"/>
      <c r="Q8" s="45">
        <f t="shared" si="6"/>
        <v>0</v>
      </c>
      <c r="R8" s="15"/>
      <c r="S8" s="45">
        <f t="shared" si="7"/>
        <v>0</v>
      </c>
      <c r="T8" s="15"/>
      <c r="U8" s="45">
        <f t="shared" si="8"/>
        <v>0</v>
      </c>
    </row>
    <row r="9" spans="1:21" x14ac:dyDescent="0.25">
      <c r="A9" s="29" t="s">
        <v>86</v>
      </c>
      <c r="B9" s="15"/>
      <c r="C9" s="45">
        <f t="shared" si="0"/>
        <v>0</v>
      </c>
      <c r="D9" s="15"/>
      <c r="E9" s="45">
        <f t="shared" si="0"/>
        <v>0</v>
      </c>
      <c r="F9" s="15"/>
      <c r="G9" s="45">
        <f t="shared" ref="G9" si="24">IFERROR(F9/F$54,0%)</f>
        <v>0</v>
      </c>
      <c r="H9" s="15"/>
      <c r="I9" s="45">
        <f t="shared" ref="I9" si="25">IFERROR(H9/H$54,0%)</f>
        <v>0</v>
      </c>
      <c r="J9" s="15"/>
      <c r="K9" s="45">
        <f t="shared" ref="K9" si="26">IFERROR(J9/J$54,0%)</f>
        <v>0</v>
      </c>
      <c r="L9" s="15"/>
      <c r="M9" s="45">
        <f t="shared" ref="M9" si="27">IFERROR(L9/L$54,0%)</f>
        <v>0</v>
      </c>
      <c r="N9" s="15"/>
      <c r="O9" s="45">
        <f t="shared" ref="O9" si="28">IFERROR(N9/N$54,0%)</f>
        <v>0</v>
      </c>
      <c r="P9" s="15"/>
      <c r="Q9" s="45">
        <f t="shared" si="6"/>
        <v>0</v>
      </c>
      <c r="R9" s="15"/>
      <c r="S9" s="45">
        <f t="shared" si="7"/>
        <v>0</v>
      </c>
      <c r="T9" s="15"/>
      <c r="U9" s="45">
        <f t="shared" si="8"/>
        <v>0</v>
      </c>
    </row>
    <row r="10" spans="1:21" x14ac:dyDescent="0.25">
      <c r="A10" s="29" t="s">
        <v>87</v>
      </c>
      <c r="B10" s="15"/>
      <c r="C10" s="45">
        <f t="shared" si="0"/>
        <v>0</v>
      </c>
      <c r="D10" s="15"/>
      <c r="E10" s="45">
        <f t="shared" si="0"/>
        <v>0</v>
      </c>
      <c r="F10" s="15"/>
      <c r="G10" s="45">
        <f t="shared" ref="G10" si="29">IFERROR(F10/F$54,0%)</f>
        <v>0</v>
      </c>
      <c r="H10" s="15"/>
      <c r="I10" s="45">
        <f t="shared" ref="I10" si="30">IFERROR(H10/H$54,0%)</f>
        <v>0</v>
      </c>
      <c r="J10" s="15"/>
      <c r="K10" s="45">
        <f t="shared" ref="K10" si="31">IFERROR(J10/J$54,0%)</f>
        <v>0</v>
      </c>
      <c r="L10" s="15"/>
      <c r="M10" s="45">
        <f t="shared" ref="M10" si="32">IFERROR(L10/L$54,0%)</f>
        <v>0</v>
      </c>
      <c r="N10" s="15"/>
      <c r="O10" s="45">
        <f t="shared" ref="O10" si="33">IFERROR(N10/N$54,0%)</f>
        <v>0</v>
      </c>
      <c r="P10" s="15"/>
      <c r="Q10" s="45">
        <f t="shared" si="6"/>
        <v>0</v>
      </c>
      <c r="R10" s="15"/>
      <c r="S10" s="45">
        <f t="shared" si="7"/>
        <v>0</v>
      </c>
      <c r="T10" s="15"/>
      <c r="U10" s="45">
        <f t="shared" si="8"/>
        <v>0</v>
      </c>
    </row>
    <row r="11" spans="1:21" x14ac:dyDescent="0.25">
      <c r="A11" s="29" t="s">
        <v>88</v>
      </c>
      <c r="B11" s="15"/>
      <c r="C11" s="45">
        <f t="shared" si="0"/>
        <v>0</v>
      </c>
      <c r="D11" s="15"/>
      <c r="E11" s="45">
        <f t="shared" si="0"/>
        <v>0</v>
      </c>
      <c r="F11" s="15"/>
      <c r="G11" s="45">
        <f t="shared" ref="G11" si="34">IFERROR(F11/F$54,0%)</f>
        <v>0</v>
      </c>
      <c r="H11" s="15"/>
      <c r="I11" s="45">
        <f t="shared" ref="I11" si="35">IFERROR(H11/H$54,0%)</f>
        <v>0</v>
      </c>
      <c r="J11" s="15"/>
      <c r="K11" s="45">
        <f t="shared" ref="K11" si="36">IFERROR(J11/J$54,0%)</f>
        <v>0</v>
      </c>
      <c r="L11" s="15"/>
      <c r="M11" s="45">
        <f t="shared" ref="M11" si="37">IFERROR(L11/L$54,0%)</f>
        <v>0</v>
      </c>
      <c r="N11" s="15"/>
      <c r="O11" s="45">
        <f t="shared" ref="O11" si="38">IFERROR(N11/N$54,0%)</f>
        <v>0</v>
      </c>
      <c r="P11" s="15"/>
      <c r="Q11" s="45">
        <f t="shared" si="6"/>
        <v>0</v>
      </c>
      <c r="R11" s="15"/>
      <c r="S11" s="45">
        <f t="shared" si="7"/>
        <v>0</v>
      </c>
      <c r="T11" s="15"/>
      <c r="U11" s="45">
        <f t="shared" si="8"/>
        <v>0</v>
      </c>
    </row>
    <row r="12" spans="1:21" x14ac:dyDescent="0.25">
      <c r="A12" s="29" t="s">
        <v>89</v>
      </c>
      <c r="B12" s="15"/>
      <c r="C12" s="45">
        <f t="shared" si="0"/>
        <v>0</v>
      </c>
      <c r="D12" s="15"/>
      <c r="E12" s="45">
        <f t="shared" si="0"/>
        <v>0</v>
      </c>
      <c r="F12" s="15"/>
      <c r="G12" s="45">
        <f t="shared" ref="G12" si="39">IFERROR(F12/F$54,0%)</f>
        <v>0</v>
      </c>
      <c r="H12" s="15"/>
      <c r="I12" s="45">
        <f t="shared" ref="I12" si="40">IFERROR(H12/H$54,0%)</f>
        <v>0</v>
      </c>
      <c r="J12" s="15"/>
      <c r="K12" s="45">
        <f t="shared" ref="K12" si="41">IFERROR(J12/J$54,0%)</f>
        <v>0</v>
      </c>
      <c r="L12" s="15"/>
      <c r="M12" s="45">
        <f t="shared" ref="M12" si="42">IFERROR(L12/L$54,0%)</f>
        <v>0</v>
      </c>
      <c r="N12" s="15"/>
      <c r="O12" s="45">
        <f t="shared" ref="O12" si="43">IFERROR(N12/N$54,0%)</f>
        <v>0</v>
      </c>
      <c r="P12" s="15"/>
      <c r="Q12" s="45">
        <f t="shared" si="6"/>
        <v>0</v>
      </c>
      <c r="R12" s="15"/>
      <c r="S12" s="45">
        <f t="shared" si="7"/>
        <v>0</v>
      </c>
      <c r="T12" s="15"/>
      <c r="U12" s="45">
        <f t="shared" si="8"/>
        <v>0</v>
      </c>
    </row>
    <row r="13" spans="1:21" x14ac:dyDescent="0.25">
      <c r="A13" s="29" t="s">
        <v>90</v>
      </c>
      <c r="B13" s="15"/>
      <c r="C13" s="45">
        <f t="shared" si="0"/>
        <v>0</v>
      </c>
      <c r="D13" s="15"/>
      <c r="E13" s="45">
        <f t="shared" si="0"/>
        <v>0</v>
      </c>
      <c r="F13" s="15"/>
      <c r="G13" s="45">
        <f t="shared" ref="G13" si="44">IFERROR(F13/F$54,0%)</f>
        <v>0</v>
      </c>
      <c r="H13" s="15"/>
      <c r="I13" s="45">
        <f t="shared" ref="I13" si="45">IFERROR(H13/H$54,0%)</f>
        <v>0</v>
      </c>
      <c r="J13" s="15"/>
      <c r="K13" s="45">
        <f t="shared" ref="K13" si="46">IFERROR(J13/J$54,0%)</f>
        <v>0</v>
      </c>
      <c r="L13" s="15"/>
      <c r="M13" s="45">
        <f t="shared" ref="M13" si="47">IFERROR(L13/L$54,0%)</f>
        <v>0</v>
      </c>
      <c r="N13" s="15"/>
      <c r="O13" s="45">
        <f t="shared" ref="O13" si="48">IFERROR(N13/N$54,0%)</f>
        <v>0</v>
      </c>
      <c r="P13" s="15"/>
      <c r="Q13" s="45">
        <f t="shared" si="6"/>
        <v>0</v>
      </c>
      <c r="R13" s="15"/>
      <c r="S13" s="45">
        <f t="shared" si="7"/>
        <v>0</v>
      </c>
      <c r="T13" s="15"/>
      <c r="U13" s="45">
        <f t="shared" si="8"/>
        <v>0</v>
      </c>
    </row>
    <row r="14" spans="1:21" x14ac:dyDescent="0.25">
      <c r="A14" s="29" t="s">
        <v>91</v>
      </c>
      <c r="B14" s="15"/>
      <c r="C14" s="45">
        <f t="shared" si="0"/>
        <v>0</v>
      </c>
      <c r="D14" s="15"/>
      <c r="E14" s="45">
        <f t="shared" si="0"/>
        <v>0</v>
      </c>
      <c r="F14" s="15"/>
      <c r="G14" s="45">
        <f t="shared" ref="G14" si="49">IFERROR(F14/F$54,0%)</f>
        <v>0</v>
      </c>
      <c r="H14" s="15"/>
      <c r="I14" s="45">
        <f t="shared" ref="I14" si="50">IFERROR(H14/H$54,0%)</f>
        <v>0</v>
      </c>
      <c r="J14" s="15"/>
      <c r="K14" s="45">
        <f t="shared" ref="K14" si="51">IFERROR(J14/J$54,0%)</f>
        <v>0</v>
      </c>
      <c r="L14" s="15"/>
      <c r="M14" s="45">
        <f t="shared" ref="M14" si="52">IFERROR(L14/L$54,0%)</f>
        <v>0</v>
      </c>
      <c r="N14" s="15"/>
      <c r="O14" s="45">
        <f t="shared" ref="O14" si="53">IFERROR(N14/N$54,0%)</f>
        <v>0</v>
      </c>
      <c r="P14" s="15"/>
      <c r="Q14" s="45">
        <f t="shared" si="6"/>
        <v>0</v>
      </c>
      <c r="R14" s="15"/>
      <c r="S14" s="45">
        <f t="shared" si="7"/>
        <v>0</v>
      </c>
      <c r="T14" s="15"/>
      <c r="U14" s="45">
        <f t="shared" si="8"/>
        <v>0</v>
      </c>
    </row>
    <row r="15" spans="1:21" x14ac:dyDescent="0.25">
      <c r="A15" s="29" t="s">
        <v>92</v>
      </c>
      <c r="B15" s="15"/>
      <c r="C15" s="45">
        <f t="shared" si="0"/>
        <v>0</v>
      </c>
      <c r="D15" s="15"/>
      <c r="E15" s="45">
        <f t="shared" si="0"/>
        <v>0</v>
      </c>
      <c r="F15" s="15"/>
      <c r="G15" s="45">
        <f t="shared" ref="G15" si="54">IFERROR(F15/F$54,0%)</f>
        <v>0</v>
      </c>
      <c r="H15" s="15"/>
      <c r="I15" s="45">
        <f t="shared" ref="I15" si="55">IFERROR(H15/H$54,0%)</f>
        <v>0</v>
      </c>
      <c r="J15" s="15"/>
      <c r="K15" s="45">
        <f t="shared" ref="K15" si="56">IFERROR(J15/J$54,0%)</f>
        <v>0</v>
      </c>
      <c r="L15" s="15"/>
      <c r="M15" s="45">
        <f t="shared" ref="M15" si="57">IFERROR(L15/L$54,0%)</f>
        <v>0</v>
      </c>
      <c r="N15" s="15"/>
      <c r="O15" s="45">
        <f t="shared" ref="O15" si="58">IFERROR(N15/N$54,0%)</f>
        <v>0</v>
      </c>
      <c r="P15" s="15"/>
      <c r="Q15" s="45">
        <f t="shared" si="6"/>
        <v>0</v>
      </c>
      <c r="R15" s="15"/>
      <c r="S15" s="45">
        <f t="shared" si="7"/>
        <v>0</v>
      </c>
      <c r="T15" s="15"/>
      <c r="U15" s="45">
        <f t="shared" si="8"/>
        <v>0</v>
      </c>
    </row>
    <row r="16" spans="1:21" x14ac:dyDescent="0.25">
      <c r="A16" s="29" t="s">
        <v>93</v>
      </c>
      <c r="B16" s="15"/>
      <c r="C16" s="45">
        <f t="shared" si="0"/>
        <v>0</v>
      </c>
      <c r="D16" s="15"/>
      <c r="E16" s="45">
        <f t="shared" si="0"/>
        <v>0</v>
      </c>
      <c r="F16" s="15"/>
      <c r="G16" s="45">
        <f t="shared" ref="G16" si="59">IFERROR(F16/F$54,0%)</f>
        <v>0</v>
      </c>
      <c r="H16" s="15"/>
      <c r="I16" s="45">
        <f t="shared" ref="I16" si="60">IFERROR(H16/H$54,0%)</f>
        <v>0</v>
      </c>
      <c r="J16" s="15"/>
      <c r="K16" s="45">
        <f t="shared" ref="K16" si="61">IFERROR(J16/J$54,0%)</f>
        <v>0</v>
      </c>
      <c r="L16" s="15"/>
      <c r="M16" s="45">
        <f t="shared" ref="M16" si="62">IFERROR(L16/L$54,0%)</f>
        <v>0</v>
      </c>
      <c r="N16" s="15"/>
      <c r="O16" s="45">
        <f t="shared" ref="O16" si="63">IFERROR(N16/N$54,0%)</f>
        <v>0</v>
      </c>
      <c r="P16" s="15"/>
      <c r="Q16" s="45">
        <f t="shared" si="6"/>
        <v>0</v>
      </c>
      <c r="R16" s="15"/>
      <c r="S16" s="45">
        <f t="shared" si="7"/>
        <v>0</v>
      </c>
      <c r="T16" s="15"/>
      <c r="U16" s="45">
        <f t="shared" si="8"/>
        <v>0</v>
      </c>
    </row>
    <row r="17" spans="1:21" x14ac:dyDescent="0.25">
      <c r="A17" s="29" t="s">
        <v>94</v>
      </c>
      <c r="B17" s="15"/>
      <c r="C17" s="45">
        <f t="shared" si="0"/>
        <v>0</v>
      </c>
      <c r="D17" s="15"/>
      <c r="E17" s="45">
        <f t="shared" si="0"/>
        <v>0</v>
      </c>
      <c r="F17" s="15"/>
      <c r="G17" s="45">
        <f t="shared" ref="G17" si="64">IFERROR(F17/F$54,0%)</f>
        <v>0</v>
      </c>
      <c r="H17" s="15"/>
      <c r="I17" s="45">
        <f t="shared" ref="I17" si="65">IFERROR(H17/H$54,0%)</f>
        <v>0</v>
      </c>
      <c r="J17" s="15"/>
      <c r="K17" s="45">
        <f t="shared" ref="K17" si="66">IFERROR(J17/J$54,0%)</f>
        <v>0</v>
      </c>
      <c r="L17" s="15"/>
      <c r="M17" s="45">
        <f t="shared" ref="M17" si="67">IFERROR(L17/L$54,0%)</f>
        <v>0</v>
      </c>
      <c r="N17" s="15"/>
      <c r="O17" s="45">
        <f t="shared" ref="O17" si="68">IFERROR(N17/N$54,0%)</f>
        <v>0</v>
      </c>
      <c r="P17" s="15"/>
      <c r="Q17" s="45">
        <f t="shared" si="6"/>
        <v>0</v>
      </c>
      <c r="R17" s="15"/>
      <c r="S17" s="45">
        <f t="shared" si="7"/>
        <v>0</v>
      </c>
      <c r="T17" s="15"/>
      <c r="U17" s="45">
        <f t="shared" si="8"/>
        <v>0</v>
      </c>
    </row>
    <row r="18" spans="1:21" x14ac:dyDescent="0.25">
      <c r="A18" s="29" t="s">
        <v>95</v>
      </c>
      <c r="B18" s="15"/>
      <c r="C18" s="45">
        <f t="shared" si="0"/>
        <v>0</v>
      </c>
      <c r="D18" s="15"/>
      <c r="E18" s="45">
        <f t="shared" si="0"/>
        <v>0</v>
      </c>
      <c r="F18" s="15"/>
      <c r="G18" s="45">
        <f t="shared" ref="G18" si="69">IFERROR(F18/F$54,0%)</f>
        <v>0</v>
      </c>
      <c r="H18" s="15"/>
      <c r="I18" s="45">
        <f t="shared" ref="I18" si="70">IFERROR(H18/H$54,0%)</f>
        <v>0</v>
      </c>
      <c r="J18" s="15"/>
      <c r="K18" s="45">
        <f t="shared" ref="K18" si="71">IFERROR(J18/J$54,0%)</f>
        <v>0</v>
      </c>
      <c r="L18" s="15"/>
      <c r="M18" s="45">
        <f t="shared" ref="M18" si="72">IFERROR(L18/L$54,0%)</f>
        <v>0</v>
      </c>
      <c r="N18" s="15"/>
      <c r="O18" s="45">
        <f t="shared" ref="O18" si="73">IFERROR(N18/N$54,0%)</f>
        <v>0</v>
      </c>
      <c r="P18" s="15"/>
      <c r="Q18" s="45">
        <f t="shared" si="6"/>
        <v>0</v>
      </c>
      <c r="R18" s="15"/>
      <c r="S18" s="45">
        <f t="shared" si="7"/>
        <v>0</v>
      </c>
      <c r="T18" s="15"/>
      <c r="U18" s="45">
        <f t="shared" si="8"/>
        <v>0</v>
      </c>
    </row>
    <row r="19" spans="1:21" x14ac:dyDescent="0.25">
      <c r="A19" s="29" t="s">
        <v>96</v>
      </c>
      <c r="B19" s="15"/>
      <c r="C19" s="45">
        <f t="shared" si="0"/>
        <v>0</v>
      </c>
      <c r="D19" s="15"/>
      <c r="E19" s="45">
        <f t="shared" si="0"/>
        <v>0</v>
      </c>
      <c r="F19" s="15"/>
      <c r="G19" s="45">
        <f t="shared" ref="G19" si="74">IFERROR(F19/F$54,0%)</f>
        <v>0</v>
      </c>
      <c r="H19" s="15"/>
      <c r="I19" s="45">
        <f t="shared" ref="I19" si="75">IFERROR(H19/H$54,0%)</f>
        <v>0</v>
      </c>
      <c r="J19" s="15"/>
      <c r="K19" s="45">
        <f t="shared" ref="K19" si="76">IFERROR(J19/J$54,0%)</f>
        <v>0</v>
      </c>
      <c r="L19" s="15"/>
      <c r="M19" s="45">
        <f t="shared" ref="M19" si="77">IFERROR(L19/L$54,0%)</f>
        <v>0</v>
      </c>
      <c r="N19" s="15"/>
      <c r="O19" s="45">
        <f t="shared" ref="O19" si="78">IFERROR(N19/N$54,0%)</f>
        <v>0</v>
      </c>
      <c r="P19" s="15"/>
      <c r="Q19" s="45">
        <f t="shared" si="6"/>
        <v>0</v>
      </c>
      <c r="R19" s="15"/>
      <c r="S19" s="45">
        <f t="shared" si="7"/>
        <v>0</v>
      </c>
      <c r="T19" s="15"/>
      <c r="U19" s="45">
        <f t="shared" si="8"/>
        <v>0</v>
      </c>
    </row>
    <row r="20" spans="1:21" x14ac:dyDescent="0.25">
      <c r="A20" s="29" t="s">
        <v>97</v>
      </c>
      <c r="B20" s="15"/>
      <c r="C20" s="45">
        <f t="shared" si="0"/>
        <v>0</v>
      </c>
      <c r="D20" s="15"/>
      <c r="E20" s="45">
        <f t="shared" si="0"/>
        <v>0</v>
      </c>
      <c r="F20" s="15"/>
      <c r="G20" s="45">
        <f t="shared" ref="G20" si="79">IFERROR(F20/F$54,0%)</f>
        <v>0</v>
      </c>
      <c r="H20" s="15"/>
      <c r="I20" s="45">
        <f t="shared" ref="I20" si="80">IFERROR(H20/H$54,0%)</f>
        <v>0</v>
      </c>
      <c r="J20" s="15"/>
      <c r="K20" s="45">
        <f t="shared" ref="K20" si="81">IFERROR(J20/J$54,0%)</f>
        <v>0</v>
      </c>
      <c r="L20" s="15"/>
      <c r="M20" s="45">
        <f t="shared" ref="M20" si="82">IFERROR(L20/L$54,0%)</f>
        <v>0</v>
      </c>
      <c r="N20" s="15"/>
      <c r="O20" s="45">
        <f t="shared" ref="O20" si="83">IFERROR(N20/N$54,0%)</f>
        <v>0</v>
      </c>
      <c r="P20" s="15"/>
      <c r="Q20" s="45">
        <f t="shared" si="6"/>
        <v>0</v>
      </c>
      <c r="R20" s="15"/>
      <c r="S20" s="45">
        <f t="shared" si="7"/>
        <v>0</v>
      </c>
      <c r="T20" s="15"/>
      <c r="U20" s="45">
        <f t="shared" si="8"/>
        <v>0</v>
      </c>
    </row>
    <row r="21" spans="1:21" x14ac:dyDescent="0.25">
      <c r="A21" s="30" t="s">
        <v>148</v>
      </c>
      <c r="B21" s="15"/>
      <c r="C21" s="45">
        <f t="shared" si="0"/>
        <v>0</v>
      </c>
      <c r="D21" s="15"/>
      <c r="E21" s="45">
        <f t="shared" si="0"/>
        <v>0</v>
      </c>
      <c r="F21" s="15"/>
      <c r="G21" s="45">
        <f t="shared" ref="G21" si="84">IFERROR(F21/F$54,0%)</f>
        <v>0</v>
      </c>
      <c r="H21" s="15"/>
      <c r="I21" s="45">
        <f t="shared" ref="I21" si="85">IFERROR(H21/H$54,0%)</f>
        <v>0</v>
      </c>
      <c r="J21" s="15"/>
      <c r="K21" s="45">
        <f t="shared" ref="K21" si="86">IFERROR(J21/J$54,0%)</f>
        <v>0</v>
      </c>
      <c r="L21" s="15"/>
      <c r="M21" s="45">
        <f t="shared" ref="M21" si="87">IFERROR(L21/L$54,0%)</f>
        <v>0</v>
      </c>
      <c r="N21" s="15"/>
      <c r="O21" s="45">
        <f t="shared" ref="O21" si="88">IFERROR(N21/N$54,0%)</f>
        <v>0</v>
      </c>
      <c r="P21" s="15"/>
      <c r="Q21" s="45">
        <f t="shared" si="6"/>
        <v>0</v>
      </c>
      <c r="R21" s="15"/>
      <c r="S21" s="45">
        <f t="shared" si="7"/>
        <v>0</v>
      </c>
      <c r="T21" s="15"/>
      <c r="U21" s="45">
        <f t="shared" si="8"/>
        <v>0</v>
      </c>
    </row>
    <row r="22" spans="1:21" x14ac:dyDescent="0.25">
      <c r="A22" s="30" t="s">
        <v>149</v>
      </c>
      <c r="B22" s="15"/>
      <c r="C22" s="45">
        <f t="shared" si="0"/>
        <v>0</v>
      </c>
      <c r="D22" s="15"/>
      <c r="E22" s="45">
        <f t="shared" si="0"/>
        <v>0</v>
      </c>
      <c r="F22" s="15"/>
      <c r="G22" s="45">
        <f t="shared" ref="G22" si="89">IFERROR(F22/F$54,0%)</f>
        <v>0</v>
      </c>
      <c r="H22" s="15"/>
      <c r="I22" s="45">
        <f t="shared" ref="I22" si="90">IFERROR(H22/H$54,0%)</f>
        <v>0</v>
      </c>
      <c r="J22" s="15"/>
      <c r="K22" s="45">
        <f t="shared" ref="K22" si="91">IFERROR(J22/J$54,0%)</f>
        <v>0</v>
      </c>
      <c r="L22" s="15"/>
      <c r="M22" s="45">
        <f t="shared" ref="M22" si="92">IFERROR(L22/L$54,0%)</f>
        <v>0</v>
      </c>
      <c r="N22" s="15"/>
      <c r="O22" s="45">
        <f t="shared" ref="O22" si="93">IFERROR(N22/N$54,0%)</f>
        <v>0</v>
      </c>
      <c r="P22" s="15"/>
      <c r="Q22" s="45">
        <f t="shared" si="6"/>
        <v>0</v>
      </c>
      <c r="R22" s="15"/>
      <c r="S22" s="45">
        <f t="shared" si="7"/>
        <v>0</v>
      </c>
      <c r="T22" s="15"/>
      <c r="U22" s="45">
        <f t="shared" si="8"/>
        <v>0</v>
      </c>
    </row>
    <row r="23" spans="1:21" x14ac:dyDescent="0.25">
      <c r="A23" s="30" t="s">
        <v>150</v>
      </c>
      <c r="B23" s="15"/>
      <c r="C23" s="45">
        <f t="shared" si="0"/>
        <v>0</v>
      </c>
      <c r="D23" s="15"/>
      <c r="E23" s="45">
        <f t="shared" si="0"/>
        <v>0</v>
      </c>
      <c r="F23" s="15"/>
      <c r="G23" s="45">
        <f t="shared" ref="G23" si="94">IFERROR(F23/F$54,0%)</f>
        <v>0</v>
      </c>
      <c r="H23" s="15"/>
      <c r="I23" s="45">
        <f t="shared" ref="I23" si="95">IFERROR(H23/H$54,0%)</f>
        <v>0</v>
      </c>
      <c r="J23" s="15"/>
      <c r="K23" s="45">
        <f t="shared" ref="K23" si="96">IFERROR(J23/J$54,0%)</f>
        <v>0</v>
      </c>
      <c r="L23" s="15"/>
      <c r="M23" s="45">
        <f t="shared" ref="M23" si="97">IFERROR(L23/L$54,0%)</f>
        <v>0</v>
      </c>
      <c r="N23" s="15"/>
      <c r="O23" s="45">
        <f t="shared" ref="O23" si="98">IFERROR(N23/N$54,0%)</f>
        <v>0</v>
      </c>
      <c r="P23" s="15"/>
      <c r="Q23" s="45">
        <f t="shared" si="6"/>
        <v>0</v>
      </c>
      <c r="R23" s="15"/>
      <c r="S23" s="45">
        <f t="shared" si="7"/>
        <v>0</v>
      </c>
      <c r="T23" s="15"/>
      <c r="U23" s="45">
        <f t="shared" si="8"/>
        <v>0</v>
      </c>
    </row>
    <row r="24" spans="1:21" x14ac:dyDescent="0.25">
      <c r="A24" s="30" t="s">
        <v>151</v>
      </c>
      <c r="B24" s="15"/>
      <c r="C24" s="45">
        <f t="shared" si="0"/>
        <v>0</v>
      </c>
      <c r="D24" s="15"/>
      <c r="E24" s="45">
        <f t="shared" si="0"/>
        <v>0</v>
      </c>
      <c r="F24" s="15"/>
      <c r="G24" s="45">
        <f t="shared" ref="G24" si="99">IFERROR(F24/F$54,0%)</f>
        <v>0</v>
      </c>
      <c r="H24" s="15"/>
      <c r="I24" s="45">
        <f t="shared" ref="I24" si="100">IFERROR(H24/H$54,0%)</f>
        <v>0</v>
      </c>
      <c r="J24" s="15"/>
      <c r="K24" s="45">
        <f t="shared" ref="K24" si="101">IFERROR(J24/J$54,0%)</f>
        <v>0</v>
      </c>
      <c r="L24" s="15"/>
      <c r="M24" s="45">
        <f t="shared" ref="M24" si="102">IFERROR(L24/L$54,0%)</f>
        <v>0</v>
      </c>
      <c r="N24" s="15"/>
      <c r="O24" s="45">
        <f t="shared" ref="O24" si="103">IFERROR(N24/N$54,0%)</f>
        <v>0</v>
      </c>
      <c r="P24" s="15"/>
      <c r="Q24" s="45">
        <f t="shared" si="6"/>
        <v>0</v>
      </c>
      <c r="R24" s="15"/>
      <c r="S24" s="45">
        <f t="shared" si="7"/>
        <v>0</v>
      </c>
      <c r="T24" s="15"/>
      <c r="U24" s="45">
        <f t="shared" si="8"/>
        <v>0</v>
      </c>
    </row>
    <row r="25" spans="1:21" x14ac:dyDescent="0.25">
      <c r="A25" s="30" t="s">
        <v>152</v>
      </c>
      <c r="B25" s="15"/>
      <c r="C25" s="45">
        <f t="shared" si="0"/>
        <v>0</v>
      </c>
      <c r="D25" s="15"/>
      <c r="E25" s="45">
        <f t="shared" si="0"/>
        <v>0</v>
      </c>
      <c r="F25" s="15"/>
      <c r="G25" s="45">
        <f t="shared" ref="G25" si="104">IFERROR(F25/F$54,0%)</f>
        <v>0</v>
      </c>
      <c r="H25" s="15"/>
      <c r="I25" s="45">
        <f t="shared" ref="I25" si="105">IFERROR(H25/H$54,0%)</f>
        <v>0</v>
      </c>
      <c r="J25" s="15"/>
      <c r="K25" s="45">
        <f t="shared" ref="K25" si="106">IFERROR(J25/J$54,0%)</f>
        <v>0</v>
      </c>
      <c r="L25" s="15"/>
      <c r="M25" s="45">
        <f t="shared" ref="M25" si="107">IFERROR(L25/L$54,0%)</f>
        <v>0</v>
      </c>
      <c r="N25" s="15"/>
      <c r="O25" s="45">
        <f t="shared" ref="O25" si="108">IFERROR(N25/N$54,0%)</f>
        <v>0</v>
      </c>
      <c r="P25" s="15"/>
      <c r="Q25" s="45">
        <f t="shared" si="6"/>
        <v>0</v>
      </c>
      <c r="R25" s="15"/>
      <c r="S25" s="45">
        <f t="shared" si="7"/>
        <v>0</v>
      </c>
      <c r="T25" s="15"/>
      <c r="U25" s="45">
        <f t="shared" si="8"/>
        <v>0</v>
      </c>
    </row>
    <row r="26" spans="1:21" x14ac:dyDescent="0.25">
      <c r="A26" s="31" t="s">
        <v>153</v>
      </c>
      <c r="B26" s="15"/>
      <c r="C26" s="45">
        <f t="shared" si="0"/>
        <v>0</v>
      </c>
      <c r="D26" s="15"/>
      <c r="E26" s="45">
        <f t="shared" si="0"/>
        <v>0</v>
      </c>
      <c r="F26" s="15"/>
      <c r="G26" s="45">
        <f t="shared" ref="G26" si="109">IFERROR(F26/F$54,0%)</f>
        <v>0</v>
      </c>
      <c r="H26" s="15"/>
      <c r="I26" s="45">
        <f t="shared" ref="I26" si="110">IFERROR(H26/H$54,0%)</f>
        <v>0</v>
      </c>
      <c r="J26" s="15"/>
      <c r="K26" s="45">
        <f t="shared" ref="K26" si="111">IFERROR(J26/J$54,0%)</f>
        <v>0</v>
      </c>
      <c r="L26" s="15"/>
      <c r="M26" s="45">
        <f t="shared" ref="M26" si="112">IFERROR(L26/L$54,0%)</f>
        <v>0</v>
      </c>
      <c r="N26" s="15"/>
      <c r="O26" s="45">
        <f t="shared" ref="O26" si="113">IFERROR(N26/N$54,0%)</f>
        <v>0</v>
      </c>
      <c r="P26" s="15"/>
      <c r="Q26" s="45">
        <f t="shared" si="6"/>
        <v>0</v>
      </c>
      <c r="R26" s="15"/>
      <c r="S26" s="45">
        <f t="shared" si="7"/>
        <v>0</v>
      </c>
      <c r="T26" s="15"/>
      <c r="U26" s="45">
        <f t="shared" si="8"/>
        <v>0</v>
      </c>
    </row>
    <row r="27" spans="1:21" x14ac:dyDescent="0.25">
      <c r="A27" s="29" t="s">
        <v>98</v>
      </c>
      <c r="B27" s="15"/>
      <c r="C27" s="45">
        <f t="shared" si="0"/>
        <v>0</v>
      </c>
      <c r="D27" s="15"/>
      <c r="E27" s="45">
        <f t="shared" si="0"/>
        <v>0</v>
      </c>
      <c r="F27" s="15"/>
      <c r="G27" s="45">
        <f t="shared" ref="G27" si="114">IFERROR(F27/F$54,0%)</f>
        <v>0</v>
      </c>
      <c r="H27" s="15"/>
      <c r="I27" s="45">
        <f t="shared" ref="I27" si="115">IFERROR(H27/H$54,0%)</f>
        <v>0</v>
      </c>
      <c r="J27" s="15"/>
      <c r="K27" s="45">
        <f t="shared" ref="K27" si="116">IFERROR(J27/J$54,0%)</f>
        <v>0</v>
      </c>
      <c r="L27" s="15"/>
      <c r="M27" s="45">
        <f t="shared" ref="M27" si="117">IFERROR(L27/L$54,0%)</f>
        <v>0</v>
      </c>
      <c r="N27" s="15"/>
      <c r="O27" s="45">
        <f t="shared" ref="O27" si="118">IFERROR(N27/N$54,0%)</f>
        <v>0</v>
      </c>
      <c r="P27" s="15"/>
      <c r="Q27" s="45">
        <f t="shared" si="6"/>
        <v>0</v>
      </c>
      <c r="R27" s="15"/>
      <c r="S27" s="45">
        <f t="shared" si="7"/>
        <v>0</v>
      </c>
      <c r="T27" s="15"/>
      <c r="U27" s="45">
        <f t="shared" si="8"/>
        <v>0</v>
      </c>
    </row>
    <row r="28" spans="1:21" x14ac:dyDescent="0.25">
      <c r="A28" s="29" t="s">
        <v>99</v>
      </c>
      <c r="B28" s="15"/>
      <c r="C28" s="45">
        <f t="shared" si="0"/>
        <v>0</v>
      </c>
      <c r="D28" s="15"/>
      <c r="E28" s="45">
        <f t="shared" si="0"/>
        <v>0</v>
      </c>
      <c r="F28" s="15"/>
      <c r="G28" s="45">
        <f t="shared" ref="G28" si="119">IFERROR(F28/F$54,0%)</f>
        <v>0</v>
      </c>
      <c r="H28" s="15"/>
      <c r="I28" s="45">
        <f t="shared" ref="I28" si="120">IFERROR(H28/H$54,0%)</f>
        <v>0</v>
      </c>
      <c r="J28" s="15"/>
      <c r="K28" s="45">
        <f t="shared" ref="K28" si="121">IFERROR(J28/J$54,0%)</f>
        <v>0</v>
      </c>
      <c r="L28" s="15"/>
      <c r="M28" s="45">
        <f t="shared" ref="M28" si="122">IFERROR(L28/L$54,0%)</f>
        <v>0</v>
      </c>
      <c r="N28" s="15"/>
      <c r="O28" s="45">
        <f t="shared" ref="O28" si="123">IFERROR(N28/N$54,0%)</f>
        <v>0</v>
      </c>
      <c r="P28" s="15"/>
      <c r="Q28" s="45">
        <f t="shared" si="6"/>
        <v>0</v>
      </c>
      <c r="R28" s="15"/>
      <c r="S28" s="45">
        <f t="shared" si="7"/>
        <v>0</v>
      </c>
      <c r="T28" s="15"/>
      <c r="U28" s="45">
        <f t="shared" si="8"/>
        <v>0</v>
      </c>
    </row>
    <row r="29" spans="1:21" x14ac:dyDescent="0.25">
      <c r="A29" s="30" t="s">
        <v>154</v>
      </c>
      <c r="B29" s="15"/>
      <c r="C29" s="45">
        <f t="shared" si="0"/>
        <v>0</v>
      </c>
      <c r="D29" s="15"/>
      <c r="E29" s="45">
        <f t="shared" si="0"/>
        <v>0</v>
      </c>
      <c r="F29" s="15"/>
      <c r="G29" s="45">
        <f t="shared" ref="G29" si="124">IFERROR(F29/F$54,0%)</f>
        <v>0</v>
      </c>
      <c r="H29" s="15"/>
      <c r="I29" s="45">
        <f t="shared" ref="I29" si="125">IFERROR(H29/H$54,0%)</f>
        <v>0</v>
      </c>
      <c r="J29" s="15"/>
      <c r="K29" s="45">
        <f t="shared" ref="K29" si="126">IFERROR(J29/J$54,0%)</f>
        <v>0</v>
      </c>
      <c r="L29" s="15"/>
      <c r="M29" s="45">
        <f t="shared" ref="M29" si="127">IFERROR(L29/L$54,0%)</f>
        <v>0</v>
      </c>
      <c r="N29" s="15"/>
      <c r="O29" s="45">
        <f t="shared" ref="O29" si="128">IFERROR(N29/N$54,0%)</f>
        <v>0</v>
      </c>
      <c r="P29" s="15"/>
      <c r="Q29" s="45">
        <f t="shared" si="6"/>
        <v>0</v>
      </c>
      <c r="R29" s="15"/>
      <c r="S29" s="45">
        <f t="shared" si="7"/>
        <v>0</v>
      </c>
      <c r="T29" s="15"/>
      <c r="U29" s="45">
        <f t="shared" si="8"/>
        <v>0</v>
      </c>
    </row>
    <row r="30" spans="1:21" x14ac:dyDescent="0.25">
      <c r="A30" s="30" t="s">
        <v>155</v>
      </c>
      <c r="B30" s="15"/>
      <c r="C30" s="45">
        <f t="shared" si="0"/>
        <v>0</v>
      </c>
      <c r="D30" s="15"/>
      <c r="E30" s="45">
        <f t="shared" si="0"/>
        <v>0</v>
      </c>
      <c r="F30" s="15"/>
      <c r="G30" s="45">
        <f t="shared" ref="G30" si="129">IFERROR(F30/F$54,0%)</f>
        <v>0</v>
      </c>
      <c r="H30" s="15"/>
      <c r="I30" s="45">
        <f t="shared" ref="I30" si="130">IFERROR(H30/H$54,0%)</f>
        <v>0</v>
      </c>
      <c r="J30" s="15"/>
      <c r="K30" s="45">
        <f t="shared" ref="K30" si="131">IFERROR(J30/J$54,0%)</f>
        <v>0</v>
      </c>
      <c r="L30" s="15"/>
      <c r="M30" s="45">
        <f t="shared" ref="M30" si="132">IFERROR(L30/L$54,0%)</f>
        <v>0</v>
      </c>
      <c r="N30" s="15"/>
      <c r="O30" s="45">
        <f t="shared" ref="O30" si="133">IFERROR(N30/N$54,0%)</f>
        <v>0</v>
      </c>
      <c r="P30" s="15"/>
      <c r="Q30" s="45">
        <f t="shared" si="6"/>
        <v>0</v>
      </c>
      <c r="R30" s="15"/>
      <c r="S30" s="45">
        <f t="shared" si="7"/>
        <v>0</v>
      </c>
      <c r="T30" s="15"/>
      <c r="U30" s="45">
        <f t="shared" si="8"/>
        <v>0</v>
      </c>
    </row>
    <row r="31" spans="1:21" x14ac:dyDescent="0.25">
      <c r="A31" s="30" t="s">
        <v>156</v>
      </c>
      <c r="B31" s="15"/>
      <c r="C31" s="45">
        <f t="shared" si="0"/>
        <v>0</v>
      </c>
      <c r="D31" s="15"/>
      <c r="E31" s="45">
        <f t="shared" si="0"/>
        <v>0</v>
      </c>
      <c r="F31" s="15"/>
      <c r="G31" s="45">
        <f t="shared" ref="G31" si="134">IFERROR(F31/F$54,0%)</f>
        <v>0</v>
      </c>
      <c r="H31" s="15"/>
      <c r="I31" s="45">
        <f t="shared" ref="I31" si="135">IFERROR(H31/H$54,0%)</f>
        <v>0</v>
      </c>
      <c r="J31" s="15"/>
      <c r="K31" s="45">
        <f t="shared" ref="K31" si="136">IFERROR(J31/J$54,0%)</f>
        <v>0</v>
      </c>
      <c r="L31" s="15"/>
      <c r="M31" s="45">
        <f t="shared" ref="M31" si="137">IFERROR(L31/L$54,0%)</f>
        <v>0</v>
      </c>
      <c r="N31" s="15"/>
      <c r="O31" s="45">
        <f t="shared" ref="O31" si="138">IFERROR(N31/N$54,0%)</f>
        <v>0</v>
      </c>
      <c r="P31" s="15"/>
      <c r="Q31" s="45">
        <f t="shared" si="6"/>
        <v>0</v>
      </c>
      <c r="R31" s="15"/>
      <c r="S31" s="45">
        <f t="shared" si="7"/>
        <v>0</v>
      </c>
      <c r="T31" s="15"/>
      <c r="U31" s="45">
        <f t="shared" si="8"/>
        <v>0</v>
      </c>
    </row>
    <row r="32" spans="1:21" x14ac:dyDescent="0.25">
      <c r="A32" s="30" t="s">
        <v>157</v>
      </c>
      <c r="B32" s="15"/>
      <c r="C32" s="45">
        <f t="shared" si="0"/>
        <v>0</v>
      </c>
      <c r="D32" s="15"/>
      <c r="E32" s="45">
        <f t="shared" si="0"/>
        <v>0</v>
      </c>
      <c r="F32" s="15"/>
      <c r="G32" s="45">
        <f t="shared" ref="G32" si="139">IFERROR(F32/F$54,0%)</f>
        <v>0</v>
      </c>
      <c r="H32" s="15"/>
      <c r="I32" s="45">
        <f t="shared" ref="I32" si="140">IFERROR(H32/H$54,0%)</f>
        <v>0</v>
      </c>
      <c r="J32" s="15"/>
      <c r="K32" s="45">
        <f t="shared" ref="K32" si="141">IFERROR(J32/J$54,0%)</f>
        <v>0</v>
      </c>
      <c r="L32" s="15"/>
      <c r="M32" s="45">
        <f t="shared" ref="M32" si="142">IFERROR(L32/L$54,0%)</f>
        <v>0</v>
      </c>
      <c r="N32" s="15"/>
      <c r="O32" s="45">
        <f t="shared" ref="O32" si="143">IFERROR(N32/N$54,0%)</f>
        <v>0</v>
      </c>
      <c r="P32" s="15"/>
      <c r="Q32" s="45">
        <f t="shared" si="6"/>
        <v>0</v>
      </c>
      <c r="R32" s="15"/>
      <c r="S32" s="45">
        <f t="shared" si="7"/>
        <v>0</v>
      </c>
      <c r="T32" s="15"/>
      <c r="U32" s="45">
        <f t="shared" si="8"/>
        <v>0</v>
      </c>
    </row>
    <row r="33" spans="1:21" x14ac:dyDescent="0.25">
      <c r="A33" s="30" t="s">
        <v>158</v>
      </c>
      <c r="B33" s="15"/>
      <c r="C33" s="45">
        <f t="shared" si="0"/>
        <v>0</v>
      </c>
      <c r="D33" s="15"/>
      <c r="E33" s="45">
        <f t="shared" si="0"/>
        <v>0</v>
      </c>
      <c r="F33" s="15"/>
      <c r="G33" s="45">
        <f t="shared" ref="G33" si="144">IFERROR(F33/F$54,0%)</f>
        <v>0</v>
      </c>
      <c r="H33" s="15"/>
      <c r="I33" s="45">
        <f t="shared" ref="I33" si="145">IFERROR(H33/H$54,0%)</f>
        <v>0</v>
      </c>
      <c r="J33" s="15"/>
      <c r="K33" s="45">
        <f t="shared" ref="K33" si="146">IFERROR(J33/J$54,0%)</f>
        <v>0</v>
      </c>
      <c r="L33" s="15"/>
      <c r="M33" s="45">
        <f t="shared" ref="M33" si="147">IFERROR(L33/L$54,0%)</f>
        <v>0</v>
      </c>
      <c r="N33" s="15"/>
      <c r="O33" s="45">
        <f t="shared" ref="O33" si="148">IFERROR(N33/N$54,0%)</f>
        <v>0</v>
      </c>
      <c r="P33" s="15"/>
      <c r="Q33" s="45">
        <f t="shared" si="6"/>
        <v>0</v>
      </c>
      <c r="R33" s="15"/>
      <c r="S33" s="45">
        <f t="shared" si="7"/>
        <v>0</v>
      </c>
      <c r="T33" s="15"/>
      <c r="U33" s="45">
        <f t="shared" si="8"/>
        <v>0</v>
      </c>
    </row>
    <row r="34" spans="1:21" x14ac:dyDescent="0.25">
      <c r="A34" s="29" t="s">
        <v>100</v>
      </c>
      <c r="B34" s="15"/>
      <c r="C34" s="45">
        <f t="shared" si="0"/>
        <v>0</v>
      </c>
      <c r="D34" s="15"/>
      <c r="E34" s="45">
        <f t="shared" si="0"/>
        <v>0</v>
      </c>
      <c r="F34" s="15"/>
      <c r="G34" s="45">
        <f t="shared" ref="G34" si="149">IFERROR(F34/F$54,0%)</f>
        <v>0</v>
      </c>
      <c r="H34" s="15"/>
      <c r="I34" s="45">
        <f t="shared" ref="I34" si="150">IFERROR(H34/H$54,0%)</f>
        <v>0</v>
      </c>
      <c r="J34" s="15"/>
      <c r="K34" s="45">
        <f t="shared" ref="K34" si="151">IFERROR(J34/J$54,0%)</f>
        <v>0</v>
      </c>
      <c r="L34" s="15"/>
      <c r="M34" s="45">
        <f t="shared" ref="M34" si="152">IFERROR(L34/L$54,0%)</f>
        <v>0</v>
      </c>
      <c r="N34" s="15"/>
      <c r="O34" s="45">
        <f t="shared" ref="O34" si="153">IFERROR(N34/N$54,0%)</f>
        <v>0</v>
      </c>
      <c r="P34" s="15"/>
      <c r="Q34" s="45">
        <f t="shared" si="6"/>
        <v>0</v>
      </c>
      <c r="R34" s="15"/>
      <c r="S34" s="45">
        <f t="shared" si="7"/>
        <v>0</v>
      </c>
      <c r="T34" s="15"/>
      <c r="U34" s="45">
        <f t="shared" si="8"/>
        <v>0</v>
      </c>
    </row>
    <row r="35" spans="1:21" x14ac:dyDescent="0.25">
      <c r="A35" s="29" t="s">
        <v>101</v>
      </c>
      <c r="B35" s="15"/>
      <c r="C35" s="45">
        <f t="shared" si="0"/>
        <v>0</v>
      </c>
      <c r="D35" s="15"/>
      <c r="E35" s="45">
        <f t="shared" si="0"/>
        <v>0</v>
      </c>
      <c r="F35" s="15"/>
      <c r="G35" s="45">
        <f t="shared" ref="G35" si="154">IFERROR(F35/F$54,0%)</f>
        <v>0</v>
      </c>
      <c r="H35" s="15"/>
      <c r="I35" s="45">
        <f t="shared" ref="I35" si="155">IFERROR(H35/H$54,0%)</f>
        <v>0</v>
      </c>
      <c r="J35" s="15"/>
      <c r="K35" s="45">
        <f t="shared" ref="K35" si="156">IFERROR(J35/J$54,0%)</f>
        <v>0</v>
      </c>
      <c r="L35" s="15"/>
      <c r="M35" s="45">
        <f t="shared" ref="M35" si="157">IFERROR(L35/L$54,0%)</f>
        <v>0</v>
      </c>
      <c r="N35" s="15"/>
      <c r="O35" s="45">
        <f t="shared" ref="O35" si="158">IFERROR(N35/N$54,0%)</f>
        <v>0</v>
      </c>
      <c r="P35" s="15"/>
      <c r="Q35" s="45">
        <f t="shared" si="6"/>
        <v>0</v>
      </c>
      <c r="R35" s="15"/>
      <c r="S35" s="45">
        <f t="shared" si="7"/>
        <v>0</v>
      </c>
      <c r="T35" s="15"/>
      <c r="U35" s="45">
        <f t="shared" si="8"/>
        <v>0</v>
      </c>
    </row>
    <row r="36" spans="1:21" x14ac:dyDescent="0.25">
      <c r="A36" s="29" t="s">
        <v>102</v>
      </c>
      <c r="B36" s="15"/>
      <c r="C36" s="45">
        <f t="shared" si="0"/>
        <v>0</v>
      </c>
      <c r="D36" s="15"/>
      <c r="E36" s="45">
        <f t="shared" si="0"/>
        <v>0</v>
      </c>
      <c r="F36" s="15"/>
      <c r="G36" s="45">
        <f t="shared" ref="G36" si="159">IFERROR(F36/F$54,0%)</f>
        <v>0</v>
      </c>
      <c r="H36" s="15"/>
      <c r="I36" s="45">
        <f t="shared" ref="I36" si="160">IFERROR(H36/H$54,0%)</f>
        <v>0</v>
      </c>
      <c r="J36" s="15"/>
      <c r="K36" s="45">
        <f t="shared" ref="K36" si="161">IFERROR(J36/J$54,0%)</f>
        <v>0</v>
      </c>
      <c r="L36" s="15"/>
      <c r="M36" s="45">
        <f t="shared" ref="M36" si="162">IFERROR(L36/L$54,0%)</f>
        <v>0</v>
      </c>
      <c r="N36" s="15"/>
      <c r="O36" s="45">
        <f t="shared" ref="O36" si="163">IFERROR(N36/N$54,0%)</f>
        <v>0</v>
      </c>
      <c r="P36" s="15"/>
      <c r="Q36" s="45">
        <f t="shared" si="6"/>
        <v>0</v>
      </c>
      <c r="R36" s="15"/>
      <c r="S36" s="45">
        <f t="shared" si="7"/>
        <v>0</v>
      </c>
      <c r="T36" s="15"/>
      <c r="U36" s="45">
        <f t="shared" si="8"/>
        <v>0</v>
      </c>
    </row>
    <row r="37" spans="1:21" x14ac:dyDescent="0.25">
      <c r="A37" s="29" t="s">
        <v>103</v>
      </c>
      <c r="B37" s="15"/>
      <c r="C37" s="45">
        <f t="shared" si="0"/>
        <v>0</v>
      </c>
      <c r="D37" s="15"/>
      <c r="E37" s="45">
        <f t="shared" si="0"/>
        <v>0</v>
      </c>
      <c r="F37" s="15"/>
      <c r="G37" s="45">
        <f t="shared" ref="G37" si="164">IFERROR(F37/F$54,0%)</f>
        <v>0</v>
      </c>
      <c r="H37" s="15"/>
      <c r="I37" s="45">
        <f t="shared" ref="I37" si="165">IFERROR(H37/H$54,0%)</f>
        <v>0</v>
      </c>
      <c r="J37" s="15"/>
      <c r="K37" s="45">
        <f t="shared" ref="K37" si="166">IFERROR(J37/J$54,0%)</f>
        <v>0</v>
      </c>
      <c r="L37" s="15"/>
      <c r="M37" s="45">
        <f t="shared" ref="M37" si="167">IFERROR(L37/L$54,0%)</f>
        <v>0</v>
      </c>
      <c r="N37" s="15"/>
      <c r="O37" s="45">
        <f t="shared" ref="O37" si="168">IFERROR(N37/N$54,0%)</f>
        <v>0</v>
      </c>
      <c r="P37" s="15"/>
      <c r="Q37" s="45">
        <f t="shared" si="6"/>
        <v>0</v>
      </c>
      <c r="R37" s="15"/>
      <c r="S37" s="45">
        <f t="shared" si="7"/>
        <v>0</v>
      </c>
      <c r="T37" s="15"/>
      <c r="U37" s="45">
        <f t="shared" si="8"/>
        <v>0</v>
      </c>
    </row>
    <row r="38" spans="1:21" x14ac:dyDescent="0.25">
      <c r="A38" s="29" t="s">
        <v>104</v>
      </c>
      <c r="B38" s="15"/>
      <c r="C38" s="45">
        <f t="shared" si="0"/>
        <v>0</v>
      </c>
      <c r="D38" s="15"/>
      <c r="E38" s="45">
        <f t="shared" si="0"/>
        <v>0</v>
      </c>
      <c r="F38" s="15"/>
      <c r="G38" s="45">
        <f t="shared" ref="G38" si="169">IFERROR(F38/F$54,0%)</f>
        <v>0</v>
      </c>
      <c r="H38" s="15"/>
      <c r="I38" s="45">
        <f t="shared" ref="I38" si="170">IFERROR(H38/H$54,0%)</f>
        <v>0</v>
      </c>
      <c r="J38" s="15"/>
      <c r="K38" s="45">
        <f t="shared" ref="K38" si="171">IFERROR(J38/J$54,0%)</f>
        <v>0</v>
      </c>
      <c r="L38" s="15"/>
      <c r="M38" s="45">
        <f t="shared" ref="M38" si="172">IFERROR(L38/L$54,0%)</f>
        <v>0</v>
      </c>
      <c r="N38" s="15"/>
      <c r="O38" s="45">
        <f t="shared" ref="O38" si="173">IFERROR(N38/N$54,0%)</f>
        <v>0</v>
      </c>
      <c r="P38" s="15"/>
      <c r="Q38" s="45">
        <f t="shared" si="6"/>
        <v>0</v>
      </c>
      <c r="R38" s="15"/>
      <c r="S38" s="45">
        <f t="shared" si="7"/>
        <v>0</v>
      </c>
      <c r="T38" s="15"/>
      <c r="U38" s="45">
        <f t="shared" si="8"/>
        <v>0</v>
      </c>
    </row>
    <row r="39" spans="1:21" x14ac:dyDescent="0.25">
      <c r="A39" s="32" t="s">
        <v>105</v>
      </c>
      <c r="B39" s="15"/>
      <c r="C39" s="45">
        <f t="shared" si="0"/>
        <v>0</v>
      </c>
      <c r="D39" s="15"/>
      <c r="E39" s="45">
        <f t="shared" si="0"/>
        <v>0</v>
      </c>
      <c r="F39" s="15"/>
      <c r="G39" s="45">
        <f t="shared" ref="G39" si="174">IFERROR(F39/F$54,0%)</f>
        <v>0</v>
      </c>
      <c r="H39" s="15"/>
      <c r="I39" s="45">
        <f t="shared" ref="I39" si="175">IFERROR(H39/H$54,0%)</f>
        <v>0</v>
      </c>
      <c r="J39" s="15"/>
      <c r="K39" s="45">
        <f t="shared" ref="K39" si="176">IFERROR(J39/J$54,0%)</f>
        <v>0</v>
      </c>
      <c r="L39" s="15"/>
      <c r="M39" s="45">
        <f t="shared" ref="M39" si="177">IFERROR(L39/L$54,0%)</f>
        <v>0</v>
      </c>
      <c r="N39" s="15"/>
      <c r="O39" s="45">
        <f t="shared" ref="O39" si="178">IFERROR(N39/N$54,0%)</f>
        <v>0</v>
      </c>
      <c r="P39" s="15"/>
      <c r="Q39" s="45">
        <f t="shared" si="6"/>
        <v>0</v>
      </c>
      <c r="R39" s="15"/>
      <c r="S39" s="45">
        <f t="shared" si="7"/>
        <v>0</v>
      </c>
      <c r="T39" s="15"/>
      <c r="U39" s="45">
        <f t="shared" si="8"/>
        <v>0</v>
      </c>
    </row>
    <row r="40" spans="1:21" x14ac:dyDescent="0.25">
      <c r="A40" s="32" t="s">
        <v>106</v>
      </c>
      <c r="B40" s="15"/>
      <c r="C40" s="45">
        <f t="shared" si="0"/>
        <v>0</v>
      </c>
      <c r="D40" s="15"/>
      <c r="E40" s="45">
        <f t="shared" si="0"/>
        <v>0</v>
      </c>
      <c r="F40" s="15"/>
      <c r="G40" s="45">
        <f t="shared" ref="G40" si="179">IFERROR(F40/F$54,0%)</f>
        <v>0</v>
      </c>
      <c r="H40" s="15"/>
      <c r="I40" s="45">
        <f t="shared" ref="I40" si="180">IFERROR(H40/H$54,0%)</f>
        <v>0</v>
      </c>
      <c r="J40" s="15"/>
      <c r="K40" s="45">
        <f t="shared" ref="K40" si="181">IFERROR(J40/J$54,0%)</f>
        <v>0</v>
      </c>
      <c r="L40" s="15"/>
      <c r="M40" s="45">
        <f t="shared" ref="M40" si="182">IFERROR(L40/L$54,0%)</f>
        <v>0</v>
      </c>
      <c r="N40" s="15"/>
      <c r="O40" s="45">
        <f t="shared" ref="O40" si="183">IFERROR(N40/N$54,0%)</f>
        <v>0</v>
      </c>
      <c r="P40" s="15"/>
      <c r="Q40" s="45">
        <f t="shared" si="6"/>
        <v>0</v>
      </c>
      <c r="R40" s="15"/>
      <c r="S40" s="45">
        <f t="shared" si="7"/>
        <v>0</v>
      </c>
      <c r="T40" s="15"/>
      <c r="U40" s="45">
        <f t="shared" si="8"/>
        <v>0</v>
      </c>
    </row>
    <row r="41" spans="1:21" x14ac:dyDescent="0.25">
      <c r="A41" s="32" t="s">
        <v>107</v>
      </c>
      <c r="B41" s="15"/>
      <c r="C41" s="45">
        <f t="shared" si="0"/>
        <v>0</v>
      </c>
      <c r="D41" s="15"/>
      <c r="E41" s="45">
        <f t="shared" si="0"/>
        <v>0</v>
      </c>
      <c r="F41" s="15"/>
      <c r="G41" s="45">
        <f t="shared" ref="G41" si="184">IFERROR(F41/F$54,0%)</f>
        <v>0</v>
      </c>
      <c r="H41" s="15"/>
      <c r="I41" s="45">
        <f t="shared" ref="I41" si="185">IFERROR(H41/H$54,0%)</f>
        <v>0</v>
      </c>
      <c r="J41" s="15"/>
      <c r="K41" s="45">
        <f t="shared" ref="K41" si="186">IFERROR(J41/J$54,0%)</f>
        <v>0</v>
      </c>
      <c r="L41" s="15"/>
      <c r="M41" s="45">
        <f t="shared" ref="M41" si="187">IFERROR(L41/L$54,0%)</f>
        <v>0</v>
      </c>
      <c r="N41" s="15"/>
      <c r="O41" s="45">
        <f t="shared" ref="O41" si="188">IFERROR(N41/N$54,0%)</f>
        <v>0</v>
      </c>
      <c r="P41" s="15"/>
      <c r="Q41" s="45">
        <f t="shared" si="6"/>
        <v>0</v>
      </c>
      <c r="R41" s="15"/>
      <c r="S41" s="45">
        <f t="shared" si="7"/>
        <v>0</v>
      </c>
      <c r="T41" s="15"/>
      <c r="U41" s="45">
        <f t="shared" si="8"/>
        <v>0</v>
      </c>
    </row>
    <row r="42" spans="1:21" x14ac:dyDescent="0.25">
      <c r="A42" s="32" t="s">
        <v>108</v>
      </c>
      <c r="B42" s="15"/>
      <c r="C42" s="45">
        <f t="shared" si="0"/>
        <v>0</v>
      </c>
      <c r="D42" s="15"/>
      <c r="E42" s="45">
        <f t="shared" si="0"/>
        <v>0</v>
      </c>
      <c r="F42" s="15"/>
      <c r="G42" s="45">
        <f t="shared" ref="G42" si="189">IFERROR(F42/F$54,0%)</f>
        <v>0</v>
      </c>
      <c r="H42" s="15"/>
      <c r="I42" s="45">
        <f t="shared" ref="I42" si="190">IFERROR(H42/H$54,0%)</f>
        <v>0</v>
      </c>
      <c r="J42" s="15"/>
      <c r="K42" s="45">
        <f t="shared" ref="K42" si="191">IFERROR(J42/J$54,0%)</f>
        <v>0</v>
      </c>
      <c r="L42" s="15"/>
      <c r="M42" s="45">
        <f t="shared" ref="M42" si="192">IFERROR(L42/L$54,0%)</f>
        <v>0</v>
      </c>
      <c r="N42" s="15"/>
      <c r="O42" s="45">
        <f t="shared" ref="O42" si="193">IFERROR(N42/N$54,0%)</f>
        <v>0</v>
      </c>
      <c r="P42" s="15"/>
      <c r="Q42" s="45">
        <f t="shared" si="6"/>
        <v>0</v>
      </c>
      <c r="R42" s="15"/>
      <c r="S42" s="45">
        <f t="shared" si="7"/>
        <v>0</v>
      </c>
      <c r="T42" s="15"/>
      <c r="U42" s="45">
        <f t="shared" si="8"/>
        <v>0</v>
      </c>
    </row>
    <row r="43" spans="1:21" x14ac:dyDescent="0.25">
      <c r="A43" s="32" t="s">
        <v>109</v>
      </c>
      <c r="B43" s="15"/>
      <c r="C43" s="45">
        <f t="shared" si="0"/>
        <v>0</v>
      </c>
      <c r="D43" s="15"/>
      <c r="E43" s="45">
        <f t="shared" si="0"/>
        <v>0</v>
      </c>
      <c r="F43" s="15"/>
      <c r="G43" s="45">
        <f t="shared" ref="G43" si="194">IFERROR(F43/F$54,0%)</f>
        <v>0</v>
      </c>
      <c r="H43" s="15"/>
      <c r="I43" s="45">
        <f t="shared" ref="I43" si="195">IFERROR(H43/H$54,0%)</f>
        <v>0</v>
      </c>
      <c r="J43" s="15"/>
      <c r="K43" s="45">
        <f t="shared" ref="K43" si="196">IFERROR(J43/J$54,0%)</f>
        <v>0</v>
      </c>
      <c r="L43" s="15"/>
      <c r="M43" s="45">
        <f t="shared" ref="M43" si="197">IFERROR(L43/L$54,0%)</f>
        <v>0</v>
      </c>
      <c r="N43" s="15"/>
      <c r="O43" s="45">
        <f t="shared" ref="O43" si="198">IFERROR(N43/N$54,0%)</f>
        <v>0</v>
      </c>
      <c r="P43" s="15"/>
      <c r="Q43" s="45">
        <f t="shared" si="6"/>
        <v>0</v>
      </c>
      <c r="R43" s="15"/>
      <c r="S43" s="45">
        <f t="shared" si="7"/>
        <v>0</v>
      </c>
      <c r="T43" s="15"/>
      <c r="U43" s="45">
        <f t="shared" si="8"/>
        <v>0</v>
      </c>
    </row>
    <row r="44" spans="1:21" x14ac:dyDescent="0.25">
      <c r="A44" s="32" t="s">
        <v>110</v>
      </c>
      <c r="B44" s="15"/>
      <c r="C44" s="45">
        <f t="shared" si="0"/>
        <v>0</v>
      </c>
      <c r="D44" s="15"/>
      <c r="E44" s="45">
        <f t="shared" si="0"/>
        <v>0</v>
      </c>
      <c r="F44" s="15"/>
      <c r="G44" s="45">
        <f t="shared" ref="G44" si="199">IFERROR(F44/F$54,0%)</f>
        <v>0</v>
      </c>
      <c r="H44" s="15"/>
      <c r="I44" s="45">
        <f t="shared" ref="I44" si="200">IFERROR(H44/H$54,0%)</f>
        <v>0</v>
      </c>
      <c r="J44" s="15"/>
      <c r="K44" s="45">
        <f t="shared" ref="K44" si="201">IFERROR(J44/J$54,0%)</f>
        <v>0</v>
      </c>
      <c r="L44" s="15"/>
      <c r="M44" s="45">
        <f t="shared" ref="M44" si="202">IFERROR(L44/L$54,0%)</f>
        <v>0</v>
      </c>
      <c r="N44" s="15"/>
      <c r="O44" s="45">
        <f t="shared" ref="O44" si="203">IFERROR(N44/N$54,0%)</f>
        <v>0</v>
      </c>
      <c r="P44" s="15"/>
      <c r="Q44" s="45">
        <f t="shared" si="6"/>
        <v>0</v>
      </c>
      <c r="R44" s="15"/>
      <c r="S44" s="45">
        <f t="shared" si="7"/>
        <v>0</v>
      </c>
      <c r="T44" s="15"/>
      <c r="U44" s="45">
        <f t="shared" si="8"/>
        <v>0</v>
      </c>
    </row>
    <row r="45" spans="1:21" x14ac:dyDescent="0.25">
      <c r="A45" s="32" t="s">
        <v>111</v>
      </c>
      <c r="B45" s="15"/>
      <c r="C45" s="45">
        <f t="shared" si="0"/>
        <v>0</v>
      </c>
      <c r="D45" s="15"/>
      <c r="E45" s="45">
        <f t="shared" si="0"/>
        <v>0</v>
      </c>
      <c r="F45" s="15"/>
      <c r="G45" s="45">
        <f t="shared" ref="G45" si="204">IFERROR(F45/F$54,0%)</f>
        <v>0</v>
      </c>
      <c r="H45" s="15"/>
      <c r="I45" s="45">
        <f t="shared" ref="I45" si="205">IFERROR(H45/H$54,0%)</f>
        <v>0</v>
      </c>
      <c r="J45" s="15"/>
      <c r="K45" s="45">
        <f t="shared" ref="K45" si="206">IFERROR(J45/J$54,0%)</f>
        <v>0</v>
      </c>
      <c r="L45" s="15"/>
      <c r="M45" s="45">
        <f t="shared" ref="M45" si="207">IFERROR(L45/L$54,0%)</f>
        <v>0</v>
      </c>
      <c r="N45" s="15"/>
      <c r="O45" s="45">
        <f t="shared" ref="O45" si="208">IFERROR(N45/N$54,0%)</f>
        <v>0</v>
      </c>
      <c r="P45" s="15"/>
      <c r="Q45" s="45">
        <f t="shared" si="6"/>
        <v>0</v>
      </c>
      <c r="R45" s="15"/>
      <c r="S45" s="45">
        <f t="shared" si="7"/>
        <v>0</v>
      </c>
      <c r="T45" s="15"/>
      <c r="U45" s="45">
        <f t="shared" si="8"/>
        <v>0</v>
      </c>
    </row>
    <row r="46" spans="1:21" x14ac:dyDescent="0.25">
      <c r="A46" s="32" t="s">
        <v>112</v>
      </c>
      <c r="B46" s="15"/>
      <c r="C46" s="45">
        <f t="shared" si="0"/>
        <v>0</v>
      </c>
      <c r="D46" s="15"/>
      <c r="E46" s="45">
        <f t="shared" si="0"/>
        <v>0</v>
      </c>
      <c r="F46" s="15"/>
      <c r="G46" s="45">
        <f t="shared" ref="G46" si="209">IFERROR(F46/F$54,0%)</f>
        <v>0</v>
      </c>
      <c r="H46" s="15"/>
      <c r="I46" s="45">
        <f t="shared" ref="I46" si="210">IFERROR(H46/H$54,0%)</f>
        <v>0</v>
      </c>
      <c r="J46" s="15"/>
      <c r="K46" s="45">
        <f t="shared" ref="K46" si="211">IFERROR(J46/J$54,0%)</f>
        <v>0</v>
      </c>
      <c r="L46" s="15"/>
      <c r="M46" s="45">
        <f t="shared" ref="M46" si="212">IFERROR(L46/L$54,0%)</f>
        <v>0</v>
      </c>
      <c r="N46" s="15"/>
      <c r="O46" s="45">
        <f t="shared" ref="O46" si="213">IFERROR(N46/N$54,0%)</f>
        <v>0</v>
      </c>
      <c r="P46" s="15"/>
      <c r="Q46" s="45">
        <f t="shared" si="6"/>
        <v>0</v>
      </c>
      <c r="R46" s="15"/>
      <c r="S46" s="45">
        <f t="shared" si="7"/>
        <v>0</v>
      </c>
      <c r="T46" s="15"/>
      <c r="U46" s="45">
        <f t="shared" si="8"/>
        <v>0</v>
      </c>
    </row>
    <row r="47" spans="1:21" x14ac:dyDescent="0.25">
      <c r="A47" s="29" t="s">
        <v>71</v>
      </c>
      <c r="B47" s="15"/>
      <c r="C47" s="45">
        <f t="shared" si="0"/>
        <v>0</v>
      </c>
      <c r="D47" s="15"/>
      <c r="E47" s="45">
        <f t="shared" si="0"/>
        <v>0</v>
      </c>
      <c r="F47" s="15"/>
      <c r="G47" s="45">
        <f t="shared" ref="G47" si="214">IFERROR(F47/F$54,0%)</f>
        <v>0</v>
      </c>
      <c r="H47" s="15"/>
      <c r="I47" s="45">
        <f t="shared" ref="I47" si="215">IFERROR(H47/H$54,0%)</f>
        <v>0</v>
      </c>
      <c r="J47" s="15"/>
      <c r="K47" s="45">
        <f t="shared" ref="K47" si="216">IFERROR(J47/J$54,0%)</f>
        <v>0</v>
      </c>
      <c r="L47" s="15"/>
      <c r="M47" s="45">
        <f t="shared" ref="M47" si="217">IFERROR(L47/L$54,0%)</f>
        <v>0</v>
      </c>
      <c r="N47" s="15"/>
      <c r="O47" s="45">
        <f t="shared" ref="O47" si="218">IFERROR(N47/N$54,0%)</f>
        <v>0</v>
      </c>
      <c r="P47" s="15"/>
      <c r="Q47" s="45">
        <f t="shared" si="6"/>
        <v>0</v>
      </c>
      <c r="R47" s="15"/>
      <c r="S47" s="45">
        <f t="shared" si="7"/>
        <v>0</v>
      </c>
      <c r="T47" s="15"/>
      <c r="U47" s="45">
        <f t="shared" si="8"/>
        <v>0</v>
      </c>
    </row>
    <row r="48" spans="1:21" x14ac:dyDescent="0.25">
      <c r="A48" s="29" t="s">
        <v>159</v>
      </c>
      <c r="B48" s="15"/>
      <c r="C48" s="45">
        <f t="shared" si="0"/>
        <v>0</v>
      </c>
      <c r="D48" s="15"/>
      <c r="E48" s="45">
        <f t="shared" si="0"/>
        <v>0</v>
      </c>
      <c r="F48" s="15"/>
      <c r="G48" s="45">
        <f t="shared" ref="G48" si="219">IFERROR(F48/F$54,0%)</f>
        <v>0</v>
      </c>
      <c r="H48" s="15"/>
      <c r="I48" s="45">
        <f t="shared" ref="I48" si="220">IFERROR(H48/H$54,0%)</f>
        <v>0</v>
      </c>
      <c r="J48" s="15"/>
      <c r="K48" s="45">
        <f t="shared" ref="K48" si="221">IFERROR(J48/J$54,0%)</f>
        <v>0</v>
      </c>
      <c r="L48" s="15"/>
      <c r="M48" s="45">
        <f t="shared" ref="M48" si="222">IFERROR(L48/L$54,0%)</f>
        <v>0</v>
      </c>
      <c r="N48" s="15"/>
      <c r="O48" s="45">
        <f t="shared" ref="O48" si="223">IFERROR(N48/N$54,0%)</f>
        <v>0</v>
      </c>
      <c r="P48" s="15"/>
      <c r="Q48" s="45">
        <f t="shared" si="6"/>
        <v>0</v>
      </c>
      <c r="R48" s="15"/>
      <c r="S48" s="45">
        <f t="shared" si="7"/>
        <v>0</v>
      </c>
      <c r="T48" s="15"/>
      <c r="U48" s="45">
        <f t="shared" si="8"/>
        <v>0</v>
      </c>
    </row>
    <row r="49" spans="1:21" x14ac:dyDescent="0.25">
      <c r="A49" s="44" t="s">
        <v>160</v>
      </c>
      <c r="B49" s="15"/>
      <c r="C49" s="45">
        <f t="shared" si="0"/>
        <v>0</v>
      </c>
      <c r="D49" s="15"/>
      <c r="E49" s="45">
        <f t="shared" si="0"/>
        <v>0</v>
      </c>
      <c r="F49" s="15"/>
      <c r="G49" s="45">
        <f t="shared" ref="G49" si="224">IFERROR(F49/F$54,0%)</f>
        <v>0</v>
      </c>
      <c r="H49" s="15"/>
      <c r="I49" s="45">
        <f t="shared" ref="I49" si="225">IFERROR(H49/H$54,0%)</f>
        <v>0</v>
      </c>
      <c r="J49" s="15"/>
      <c r="K49" s="45">
        <f t="shared" ref="K49" si="226">IFERROR(J49/J$54,0%)</f>
        <v>0</v>
      </c>
      <c r="L49" s="15"/>
      <c r="M49" s="45">
        <f t="shared" ref="M49" si="227">IFERROR(L49/L$54,0%)</f>
        <v>0</v>
      </c>
      <c r="N49" s="15"/>
      <c r="O49" s="45">
        <f t="shared" ref="O49" si="228">IFERROR(N49/N$54,0%)</f>
        <v>0</v>
      </c>
      <c r="P49" s="15"/>
      <c r="Q49" s="45">
        <f t="shared" si="6"/>
        <v>0</v>
      </c>
      <c r="R49" s="15"/>
      <c r="S49" s="45">
        <f t="shared" si="7"/>
        <v>0</v>
      </c>
      <c r="T49" s="15"/>
      <c r="U49" s="45">
        <f t="shared" si="8"/>
        <v>0</v>
      </c>
    </row>
    <row r="50" spans="1:21" x14ac:dyDescent="0.25">
      <c r="A50" s="44" t="s">
        <v>161</v>
      </c>
      <c r="B50" s="15"/>
      <c r="C50" s="45">
        <f t="shared" si="0"/>
        <v>0</v>
      </c>
      <c r="D50" s="15"/>
      <c r="E50" s="45">
        <f t="shared" si="0"/>
        <v>0</v>
      </c>
      <c r="F50" s="15"/>
      <c r="G50" s="45">
        <f t="shared" ref="G50" si="229">IFERROR(F50/F$54,0%)</f>
        <v>0</v>
      </c>
      <c r="H50" s="15"/>
      <c r="I50" s="45">
        <f t="shared" ref="I50" si="230">IFERROR(H50/H$54,0%)</f>
        <v>0</v>
      </c>
      <c r="J50" s="15"/>
      <c r="K50" s="45">
        <f t="shared" ref="K50" si="231">IFERROR(J50/J$54,0%)</f>
        <v>0</v>
      </c>
      <c r="L50" s="15"/>
      <c r="M50" s="45">
        <f t="shared" ref="M50" si="232">IFERROR(L50/L$54,0%)</f>
        <v>0</v>
      </c>
      <c r="N50" s="15"/>
      <c r="O50" s="45">
        <f t="shared" ref="O50" si="233">IFERROR(N50/N$54,0%)</f>
        <v>0</v>
      </c>
      <c r="P50" s="15"/>
      <c r="Q50" s="45">
        <f t="shared" si="6"/>
        <v>0</v>
      </c>
      <c r="R50" s="15"/>
      <c r="S50" s="45">
        <f t="shared" si="7"/>
        <v>0</v>
      </c>
      <c r="T50" s="15"/>
      <c r="U50" s="45">
        <f t="shared" si="8"/>
        <v>0</v>
      </c>
    </row>
    <row r="51" spans="1:21" x14ac:dyDescent="0.25">
      <c r="A51" s="44" t="s">
        <v>162</v>
      </c>
      <c r="B51" s="15"/>
      <c r="C51" s="45">
        <f t="shared" si="0"/>
        <v>0</v>
      </c>
      <c r="D51" s="15"/>
      <c r="E51" s="45">
        <f t="shared" si="0"/>
        <v>0</v>
      </c>
      <c r="F51" s="15"/>
      <c r="G51" s="45">
        <f t="shared" ref="G51" si="234">IFERROR(F51/F$54,0%)</f>
        <v>0</v>
      </c>
      <c r="H51" s="15"/>
      <c r="I51" s="45">
        <f t="shared" ref="I51" si="235">IFERROR(H51/H$54,0%)</f>
        <v>0</v>
      </c>
      <c r="J51" s="15"/>
      <c r="K51" s="45">
        <f t="shared" ref="K51" si="236">IFERROR(J51/J$54,0%)</f>
        <v>0</v>
      </c>
      <c r="L51" s="15"/>
      <c r="M51" s="45">
        <f t="shared" ref="M51" si="237">IFERROR(L51/L$54,0%)</f>
        <v>0</v>
      </c>
      <c r="N51" s="15"/>
      <c r="O51" s="45">
        <f t="shared" ref="O51" si="238">IFERROR(N51/N$54,0%)</f>
        <v>0</v>
      </c>
      <c r="P51" s="15"/>
      <c r="Q51" s="45">
        <f t="shared" si="6"/>
        <v>0</v>
      </c>
      <c r="R51" s="15"/>
      <c r="S51" s="45">
        <f t="shared" si="7"/>
        <v>0</v>
      </c>
      <c r="T51" s="15"/>
      <c r="U51" s="45">
        <f t="shared" si="8"/>
        <v>0</v>
      </c>
    </row>
    <row r="52" spans="1:21" x14ac:dyDescent="0.25">
      <c r="A52" s="36" t="s">
        <v>163</v>
      </c>
      <c r="B52" s="15"/>
      <c r="C52" s="45">
        <f t="shared" si="0"/>
        <v>0</v>
      </c>
      <c r="D52" s="15"/>
      <c r="E52" s="45">
        <f t="shared" si="0"/>
        <v>0</v>
      </c>
      <c r="F52" s="15"/>
      <c r="G52" s="45">
        <f t="shared" ref="G52" si="239">IFERROR(F52/F$54,0%)</f>
        <v>0</v>
      </c>
      <c r="H52" s="15"/>
      <c r="I52" s="45">
        <f t="shared" ref="I52" si="240">IFERROR(H52/H$54,0%)</f>
        <v>0</v>
      </c>
      <c r="J52" s="15"/>
      <c r="K52" s="45">
        <f t="shared" ref="K52" si="241">IFERROR(J52/J$54,0%)</f>
        <v>0</v>
      </c>
      <c r="L52" s="15"/>
      <c r="M52" s="45">
        <f t="shared" ref="M52" si="242">IFERROR(L52/L$54,0%)</f>
        <v>0</v>
      </c>
      <c r="N52" s="15"/>
      <c r="O52" s="45">
        <f t="shared" ref="O52" si="243">IFERROR(N52/N$54,0%)</f>
        <v>0</v>
      </c>
      <c r="P52" s="15"/>
      <c r="Q52" s="45">
        <f t="shared" si="6"/>
        <v>0</v>
      </c>
      <c r="R52" s="15"/>
      <c r="S52" s="45">
        <f t="shared" si="7"/>
        <v>0</v>
      </c>
      <c r="T52" s="15"/>
      <c r="U52" s="45">
        <f t="shared" si="8"/>
        <v>0</v>
      </c>
    </row>
    <row r="53" spans="1:21" x14ac:dyDescent="0.25">
      <c r="A53" s="29" t="s">
        <v>164</v>
      </c>
      <c r="B53" s="15"/>
      <c r="C53" s="45">
        <f t="shared" si="0"/>
        <v>0</v>
      </c>
      <c r="D53" s="15"/>
      <c r="E53" s="45">
        <f t="shared" si="0"/>
        <v>0</v>
      </c>
      <c r="F53" s="15"/>
      <c r="G53" s="45">
        <f t="shared" ref="G53" si="244">IFERROR(F53/F$54,0%)</f>
        <v>0</v>
      </c>
      <c r="H53" s="15"/>
      <c r="I53" s="45">
        <f t="shared" ref="I53" si="245">IFERROR(H53/H$54,0%)</f>
        <v>0</v>
      </c>
      <c r="J53" s="15"/>
      <c r="K53" s="45">
        <f t="shared" ref="K53" si="246">IFERROR(J53/J$54,0%)</f>
        <v>0</v>
      </c>
      <c r="L53" s="15"/>
      <c r="M53" s="45">
        <f t="shared" ref="M53" si="247">IFERROR(L53/L$54,0%)</f>
        <v>0</v>
      </c>
      <c r="N53" s="15"/>
      <c r="O53" s="45">
        <f t="shared" ref="O53" si="248">IFERROR(N53/N$54,0%)</f>
        <v>0</v>
      </c>
      <c r="P53" s="15"/>
      <c r="Q53" s="45">
        <f t="shared" si="6"/>
        <v>0</v>
      </c>
      <c r="R53" s="15"/>
      <c r="S53" s="45">
        <f t="shared" si="7"/>
        <v>0</v>
      </c>
      <c r="T53" s="15"/>
      <c r="U53" s="45">
        <f t="shared" si="8"/>
        <v>0</v>
      </c>
    </row>
    <row r="54" spans="1:21" x14ac:dyDescent="0.25">
      <c r="B54" s="43">
        <f>SUM(B4:B53)</f>
        <v>0</v>
      </c>
      <c r="D54" s="43">
        <f>SUM(D4:D53)</f>
        <v>0</v>
      </c>
      <c r="F54" s="43">
        <f>SUM(F4:F53)</f>
        <v>0</v>
      </c>
      <c r="H54" s="43">
        <f>SUM(H4:H53)</f>
        <v>0</v>
      </c>
      <c r="J54" s="43">
        <f>SUM(J4:J53)</f>
        <v>0</v>
      </c>
      <c r="L54" s="43">
        <f>SUM(L4:L53)</f>
        <v>0</v>
      </c>
      <c r="N54" s="43">
        <f>SUM(N4:N53)</f>
        <v>0</v>
      </c>
      <c r="P54" s="43">
        <f>SUM(P4:P53)</f>
        <v>0</v>
      </c>
      <c r="R54" s="43">
        <f>SUM(R4:R53)</f>
        <v>0</v>
      </c>
      <c r="T54" s="43">
        <f>SUM(T4:T53)</f>
        <v>0</v>
      </c>
    </row>
  </sheetData>
  <mergeCells count="12">
    <mergeCell ref="H2:I2"/>
    <mergeCell ref="J2:K2"/>
    <mergeCell ref="L1:U1"/>
    <mergeCell ref="L2:M2"/>
    <mergeCell ref="N2:O2"/>
    <mergeCell ref="P2:Q2"/>
    <mergeCell ref="R2:S2"/>
    <mergeCell ref="T2:U2"/>
    <mergeCell ref="B1:K1"/>
    <mergeCell ref="B2:C2"/>
    <mergeCell ref="D2:E2"/>
    <mergeCell ref="F2:G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H58"/>
  <sheetViews>
    <sheetView zoomScale="55" zoomScaleNormal="55" workbookViewId="0">
      <selection activeCell="B2" sqref="B2:DB2"/>
    </sheetView>
  </sheetViews>
  <sheetFormatPr defaultRowHeight="15" x14ac:dyDescent="0.25"/>
  <cols>
    <col min="1" max="1" width="36.140625" style="37" customWidth="1"/>
    <col min="2" max="16384" width="9.140625" style="37"/>
  </cols>
  <sheetData>
    <row r="1" spans="1:138" ht="15.75" thickBot="1" x14ac:dyDescent="0.3">
      <c r="B1" s="67" t="s">
        <v>30</v>
      </c>
      <c r="C1" s="68"/>
      <c r="D1" s="68"/>
      <c r="E1" s="68"/>
      <c r="F1" s="68"/>
      <c r="G1" s="68"/>
      <c r="H1" s="68"/>
      <c r="I1" s="68"/>
      <c r="J1" s="68"/>
      <c r="K1" s="69"/>
      <c r="L1" s="67" t="s">
        <v>49</v>
      </c>
      <c r="M1" s="68"/>
      <c r="N1" s="68"/>
      <c r="O1" s="68"/>
      <c r="P1" s="68"/>
      <c r="Q1" s="68"/>
      <c r="R1" s="68"/>
      <c r="S1" s="68"/>
      <c r="T1" s="68"/>
      <c r="U1" s="69"/>
    </row>
    <row r="2" spans="1:138" x14ac:dyDescent="0.25">
      <c r="B2" s="65">
        <f ca="1">SunDates!$H1</f>
        <v>43134</v>
      </c>
      <c r="C2" s="66"/>
      <c r="D2" s="65">
        <f ca="1">SunDates!$H2</f>
        <v>43141</v>
      </c>
      <c r="E2" s="66"/>
      <c r="F2" s="65">
        <f ca="1">SunDates!$H3</f>
        <v>43148</v>
      </c>
      <c r="G2" s="66"/>
      <c r="H2" s="65">
        <f ca="1">SunDates!$H4</f>
        <v>43155</v>
      </c>
      <c r="I2" s="66"/>
      <c r="J2" s="65">
        <f ca="1">SunDates!$H5</f>
        <v>43159</v>
      </c>
      <c r="K2" s="66"/>
      <c r="L2" s="65">
        <f ca="1">SunDates!$H1</f>
        <v>43134</v>
      </c>
      <c r="M2" s="66"/>
      <c r="N2" s="65">
        <f ca="1">SunDates!$H2</f>
        <v>43141</v>
      </c>
      <c r="O2" s="66"/>
      <c r="P2" s="65">
        <f ca="1">SunDates!$H3</f>
        <v>43148</v>
      </c>
      <c r="Q2" s="66"/>
      <c r="R2" s="65">
        <f ca="1">SunDates!$H4</f>
        <v>43155</v>
      </c>
      <c r="S2" s="66"/>
      <c r="T2" s="65">
        <f ca="1">SunDates!$H5</f>
        <v>43159</v>
      </c>
      <c r="U2" s="66"/>
      <c r="AH2" s="65">
        <f ca="1">SunDates!$H1</f>
        <v>43134</v>
      </c>
      <c r="AI2" s="66"/>
      <c r="AJ2" s="65">
        <f ca="1">SunDates!$H2</f>
        <v>43141</v>
      </c>
      <c r="AK2" s="66"/>
      <c r="AL2" s="65">
        <f ca="1">SunDates!$H3</f>
        <v>43148</v>
      </c>
      <c r="AM2" s="66"/>
      <c r="AN2" s="65">
        <f ca="1">SunDates!$H4</f>
        <v>43155</v>
      </c>
      <c r="AO2" s="66"/>
      <c r="AP2" s="65">
        <f ca="1">SunDates!$H5</f>
        <v>43159</v>
      </c>
      <c r="AQ2" s="66"/>
      <c r="AR2" s="65">
        <f ca="1">SunDates!$H1</f>
        <v>43134</v>
      </c>
      <c r="AS2" s="66"/>
      <c r="AT2" s="65">
        <f ca="1">SunDates!$H2</f>
        <v>43141</v>
      </c>
      <c r="AU2" s="66"/>
      <c r="AV2" s="65">
        <f ca="1">SunDates!$H3</f>
        <v>43148</v>
      </c>
      <c r="AW2" s="66"/>
      <c r="AX2" s="65">
        <f ca="1">SunDates!$H4</f>
        <v>43155</v>
      </c>
      <c r="AY2" s="66"/>
      <c r="AZ2" s="65">
        <f ca="1">SunDates!$H5</f>
        <v>43159</v>
      </c>
      <c r="BA2" s="66"/>
      <c r="BB2" s="65">
        <f ca="1">SunDates!$H1</f>
        <v>43134</v>
      </c>
      <c r="BC2" s="66"/>
      <c r="BD2" s="65">
        <f ca="1">SunDates!$H2</f>
        <v>43141</v>
      </c>
      <c r="BE2" s="66"/>
      <c r="BF2" s="65">
        <f ca="1">SunDates!$H3</f>
        <v>43148</v>
      </c>
      <c r="BG2" s="66"/>
      <c r="BH2" s="65">
        <f ca="1">SunDates!$H4</f>
        <v>43155</v>
      </c>
      <c r="BI2" s="66"/>
      <c r="BJ2" s="65">
        <f ca="1">SunDates!$H5</f>
        <v>43159</v>
      </c>
      <c r="BK2" s="66"/>
      <c r="BL2" s="65">
        <f ca="1">SunDates!$H1</f>
        <v>43134</v>
      </c>
      <c r="BM2" s="66"/>
      <c r="BN2" s="65">
        <f ca="1">SunDates!$H2</f>
        <v>43141</v>
      </c>
      <c r="BO2" s="66"/>
      <c r="BP2" s="65">
        <f ca="1">SunDates!$H3</f>
        <v>43148</v>
      </c>
      <c r="BQ2" s="66"/>
      <c r="BR2" s="65">
        <f ca="1">SunDates!$H4</f>
        <v>43155</v>
      </c>
      <c r="BS2" s="66"/>
      <c r="BT2" s="65">
        <f ca="1">SunDates!$H5</f>
        <v>43159</v>
      </c>
      <c r="BU2" s="66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  <c r="DI2" s="38"/>
      <c r="DJ2" s="38"/>
      <c r="DK2" s="38"/>
      <c r="DL2" s="38"/>
      <c r="DM2" s="38"/>
      <c r="DN2" s="38"/>
      <c r="DO2" s="38"/>
      <c r="DP2" s="38"/>
      <c r="DQ2" s="38"/>
      <c r="DR2" s="38"/>
      <c r="DS2" s="38"/>
      <c r="DT2" s="38"/>
      <c r="DU2" s="38"/>
      <c r="DV2" s="38"/>
      <c r="DW2" s="38"/>
      <c r="DX2" s="38"/>
      <c r="DY2" s="38"/>
      <c r="DZ2" s="38"/>
      <c r="EA2" s="38"/>
      <c r="EB2" s="38"/>
      <c r="EC2" s="38"/>
      <c r="ED2" s="38"/>
      <c r="EE2" s="38"/>
      <c r="EF2" s="38"/>
      <c r="EG2" s="38"/>
      <c r="EH2" s="38"/>
    </row>
    <row r="3" spans="1:138" ht="15.75" thickBot="1" x14ac:dyDescent="0.3">
      <c r="B3" s="85" t="s">
        <v>169</v>
      </c>
      <c r="C3" s="86" t="s">
        <v>170</v>
      </c>
      <c r="D3" s="86" t="s">
        <v>169</v>
      </c>
      <c r="E3" s="86" t="s">
        <v>170</v>
      </c>
      <c r="F3" s="86" t="s">
        <v>169</v>
      </c>
      <c r="G3" s="86" t="s">
        <v>170</v>
      </c>
      <c r="H3" s="86" t="s">
        <v>169</v>
      </c>
      <c r="I3" s="86" t="s">
        <v>170</v>
      </c>
      <c r="J3" s="86" t="s">
        <v>169</v>
      </c>
      <c r="K3" s="87" t="s">
        <v>170</v>
      </c>
      <c r="L3" s="40" t="s">
        <v>169</v>
      </c>
      <c r="M3" s="41" t="s">
        <v>170</v>
      </c>
      <c r="N3" s="41" t="s">
        <v>169</v>
      </c>
      <c r="O3" s="41" t="s">
        <v>170</v>
      </c>
      <c r="P3" s="41" t="s">
        <v>169</v>
      </c>
      <c r="Q3" s="41" t="s">
        <v>170</v>
      </c>
      <c r="R3" s="41" t="s">
        <v>169</v>
      </c>
      <c r="S3" s="41" t="s">
        <v>170</v>
      </c>
      <c r="T3" s="41" t="s">
        <v>169</v>
      </c>
      <c r="U3" s="42" t="s">
        <v>170</v>
      </c>
    </row>
    <row r="4" spans="1:138" x14ac:dyDescent="0.25">
      <c r="A4" s="92" t="s">
        <v>81</v>
      </c>
      <c r="B4" s="46">
        <v>1.0416666666666741E-2</v>
      </c>
      <c r="C4" s="78">
        <f t="shared" ref="C4:C35" si="0">IFERROR(B4/$B$55,0)</f>
        <v>1.5321756894790716E-2</v>
      </c>
      <c r="D4" s="48"/>
      <c r="E4" s="78">
        <f t="shared" ref="E4:E35" si="1">IFERROR(D4/$B$55,0)</f>
        <v>0</v>
      </c>
      <c r="F4" s="48"/>
      <c r="G4" s="78">
        <f t="shared" ref="G4:G35" si="2">IFERROR(F4/$B$55,0)</f>
        <v>0</v>
      </c>
      <c r="H4" s="48"/>
      <c r="I4" s="78">
        <f t="shared" ref="I4:I35" si="3">IFERROR(H4/$B$55,0)</f>
        <v>0</v>
      </c>
      <c r="J4" s="48"/>
      <c r="K4" s="89">
        <f t="shared" ref="K4:K35" si="4">IFERROR(J4/$B$55,0)</f>
        <v>0</v>
      </c>
      <c r="L4" s="15"/>
      <c r="M4" s="45">
        <f>IFERROR(L4/L$54,0%)</f>
        <v>0</v>
      </c>
      <c r="N4" s="15"/>
      <c r="O4" s="45">
        <f>IFERROR(N4/N$54,0%)</f>
        <v>0</v>
      </c>
      <c r="P4" s="15"/>
      <c r="Q4" s="45">
        <f>IFERROR(P4/P$54,0%)</f>
        <v>0</v>
      </c>
      <c r="R4" s="15"/>
      <c r="S4" s="45">
        <f>IFERROR(R4/R$54,0%)</f>
        <v>0</v>
      </c>
      <c r="T4" s="15"/>
      <c r="U4" s="45">
        <f>IFERROR(T4/T$54,0%)</f>
        <v>0</v>
      </c>
    </row>
    <row r="5" spans="1:138" x14ac:dyDescent="0.25">
      <c r="A5" s="92" t="s">
        <v>82</v>
      </c>
      <c r="B5" s="50">
        <v>0.22083333333333321</v>
      </c>
      <c r="C5" s="79">
        <f t="shared" si="0"/>
        <v>0.32482124616956071</v>
      </c>
      <c r="D5" s="52"/>
      <c r="E5" s="79">
        <f t="shared" si="1"/>
        <v>0</v>
      </c>
      <c r="F5" s="52"/>
      <c r="G5" s="79">
        <f t="shared" si="2"/>
        <v>0</v>
      </c>
      <c r="H5" s="52"/>
      <c r="I5" s="79">
        <f t="shared" si="3"/>
        <v>0</v>
      </c>
      <c r="J5" s="52"/>
      <c r="K5" s="90">
        <f t="shared" si="4"/>
        <v>0</v>
      </c>
      <c r="L5" s="15"/>
      <c r="M5" s="45">
        <f t="shared" ref="M5" si="5">IFERROR(L5/L$54,0%)</f>
        <v>0</v>
      </c>
      <c r="N5" s="15"/>
      <c r="O5" s="45">
        <f t="shared" ref="O5" si="6">IFERROR(N5/N$54,0%)</f>
        <v>0</v>
      </c>
      <c r="P5" s="15"/>
      <c r="Q5" s="45">
        <f t="shared" ref="Q5:Q53" si="7">IFERROR(P5/P$54,0%)</f>
        <v>0</v>
      </c>
      <c r="R5" s="15"/>
      <c r="S5" s="45">
        <f t="shared" ref="S5:S53" si="8">IFERROR(R5/R$54,0%)</f>
        <v>0</v>
      </c>
      <c r="T5" s="15"/>
      <c r="U5" s="45">
        <f t="shared" ref="U5:U53" si="9">IFERROR(T5/T$54,0%)</f>
        <v>0</v>
      </c>
    </row>
    <row r="6" spans="1:138" x14ac:dyDescent="0.25">
      <c r="A6" s="92" t="s">
        <v>83</v>
      </c>
      <c r="B6" s="50">
        <v>0</v>
      </c>
      <c r="C6" s="79">
        <f t="shared" si="0"/>
        <v>0</v>
      </c>
      <c r="D6" s="52"/>
      <c r="E6" s="79">
        <f t="shared" si="1"/>
        <v>0</v>
      </c>
      <c r="F6" s="52"/>
      <c r="G6" s="79">
        <f t="shared" si="2"/>
        <v>0</v>
      </c>
      <c r="H6" s="52"/>
      <c r="I6" s="79">
        <f t="shared" si="3"/>
        <v>0</v>
      </c>
      <c r="J6" s="52"/>
      <c r="K6" s="90">
        <f t="shared" si="4"/>
        <v>0</v>
      </c>
      <c r="L6" s="15"/>
      <c r="M6" s="45">
        <f t="shared" ref="M6" si="10">IFERROR(L6/L$54,0%)</f>
        <v>0</v>
      </c>
      <c r="N6" s="15"/>
      <c r="O6" s="45">
        <f t="shared" ref="O6" si="11">IFERROR(N6/N$54,0%)</f>
        <v>0</v>
      </c>
      <c r="P6" s="15"/>
      <c r="Q6" s="45">
        <f t="shared" si="7"/>
        <v>0</v>
      </c>
      <c r="R6" s="15"/>
      <c r="S6" s="45">
        <f t="shared" si="8"/>
        <v>0</v>
      </c>
      <c r="T6" s="15"/>
      <c r="U6" s="45">
        <f t="shared" si="9"/>
        <v>0</v>
      </c>
    </row>
    <row r="7" spans="1:138" x14ac:dyDescent="0.25">
      <c r="A7" s="92" t="s">
        <v>84</v>
      </c>
      <c r="B7" s="50">
        <v>0</v>
      </c>
      <c r="C7" s="79">
        <f t="shared" si="0"/>
        <v>0</v>
      </c>
      <c r="D7" s="52"/>
      <c r="E7" s="79">
        <f t="shared" si="1"/>
        <v>0</v>
      </c>
      <c r="F7" s="52"/>
      <c r="G7" s="79">
        <f t="shared" si="2"/>
        <v>0</v>
      </c>
      <c r="H7" s="52"/>
      <c r="I7" s="79">
        <f t="shared" si="3"/>
        <v>0</v>
      </c>
      <c r="J7" s="52"/>
      <c r="K7" s="90">
        <f t="shared" si="4"/>
        <v>0</v>
      </c>
      <c r="L7" s="15"/>
      <c r="M7" s="45">
        <f t="shared" ref="M7" si="12">IFERROR(L7/L$54,0%)</f>
        <v>0</v>
      </c>
      <c r="N7" s="15"/>
      <c r="O7" s="45">
        <f t="shared" ref="O7" si="13">IFERROR(N7/N$54,0%)</f>
        <v>0</v>
      </c>
      <c r="P7" s="15"/>
      <c r="Q7" s="45">
        <f t="shared" si="7"/>
        <v>0</v>
      </c>
      <c r="R7" s="15"/>
      <c r="S7" s="45">
        <f t="shared" si="8"/>
        <v>0</v>
      </c>
      <c r="T7" s="15"/>
      <c r="U7" s="45">
        <f t="shared" si="9"/>
        <v>0</v>
      </c>
    </row>
    <row r="8" spans="1:138" x14ac:dyDescent="0.25">
      <c r="A8" s="92" t="s">
        <v>85</v>
      </c>
      <c r="B8" s="50">
        <v>5.0694444444444375E-2</v>
      </c>
      <c r="C8" s="79">
        <f t="shared" si="0"/>
        <v>7.4565883554647522E-2</v>
      </c>
      <c r="D8" s="52"/>
      <c r="E8" s="79">
        <f t="shared" si="1"/>
        <v>0</v>
      </c>
      <c r="F8" s="52"/>
      <c r="G8" s="79">
        <f t="shared" si="2"/>
        <v>0</v>
      </c>
      <c r="H8" s="52"/>
      <c r="I8" s="79">
        <f t="shared" si="3"/>
        <v>0</v>
      </c>
      <c r="J8" s="52"/>
      <c r="K8" s="90">
        <f t="shared" si="4"/>
        <v>0</v>
      </c>
      <c r="L8" s="15"/>
      <c r="M8" s="45">
        <f t="shared" ref="M8" si="14">IFERROR(L8/L$54,0%)</f>
        <v>0</v>
      </c>
      <c r="N8" s="15"/>
      <c r="O8" s="45">
        <f t="shared" ref="O8" si="15">IFERROR(N8/N$54,0%)</f>
        <v>0</v>
      </c>
      <c r="P8" s="15"/>
      <c r="Q8" s="45">
        <f t="shared" si="7"/>
        <v>0</v>
      </c>
      <c r="R8" s="15"/>
      <c r="S8" s="45">
        <f t="shared" si="8"/>
        <v>0</v>
      </c>
      <c r="T8" s="15"/>
      <c r="U8" s="45">
        <f t="shared" si="9"/>
        <v>0</v>
      </c>
    </row>
    <row r="9" spans="1:138" x14ac:dyDescent="0.25">
      <c r="A9" s="92" t="s">
        <v>86</v>
      </c>
      <c r="B9" s="50">
        <v>0</v>
      </c>
      <c r="C9" s="79">
        <f t="shared" si="0"/>
        <v>0</v>
      </c>
      <c r="D9" s="52"/>
      <c r="E9" s="79">
        <f t="shared" si="1"/>
        <v>0</v>
      </c>
      <c r="F9" s="52"/>
      <c r="G9" s="79">
        <f t="shared" si="2"/>
        <v>0</v>
      </c>
      <c r="H9" s="52"/>
      <c r="I9" s="79">
        <f t="shared" si="3"/>
        <v>0</v>
      </c>
      <c r="J9" s="52"/>
      <c r="K9" s="90">
        <f t="shared" si="4"/>
        <v>0</v>
      </c>
      <c r="L9" s="15"/>
      <c r="M9" s="45">
        <f t="shared" ref="M9" si="16">IFERROR(L9/L$54,0%)</f>
        <v>0</v>
      </c>
      <c r="N9" s="15"/>
      <c r="O9" s="45">
        <f t="shared" ref="O9" si="17">IFERROR(N9/N$54,0%)</f>
        <v>0</v>
      </c>
      <c r="P9" s="15"/>
      <c r="Q9" s="45">
        <f t="shared" si="7"/>
        <v>0</v>
      </c>
      <c r="R9" s="15"/>
      <c r="S9" s="45">
        <f t="shared" si="8"/>
        <v>0</v>
      </c>
      <c r="T9" s="15"/>
      <c r="U9" s="45">
        <f t="shared" si="9"/>
        <v>0</v>
      </c>
    </row>
    <row r="10" spans="1:138" x14ac:dyDescent="0.25">
      <c r="A10" s="92" t="s">
        <v>87</v>
      </c>
      <c r="B10" s="50">
        <v>6.2500000000000111E-2</v>
      </c>
      <c r="C10" s="79">
        <f t="shared" si="0"/>
        <v>9.1930541368743804E-2</v>
      </c>
      <c r="D10" s="52"/>
      <c r="E10" s="79">
        <f t="shared" si="1"/>
        <v>0</v>
      </c>
      <c r="F10" s="52"/>
      <c r="G10" s="79">
        <f t="shared" si="2"/>
        <v>0</v>
      </c>
      <c r="H10" s="52"/>
      <c r="I10" s="79">
        <f t="shared" si="3"/>
        <v>0</v>
      </c>
      <c r="J10" s="52"/>
      <c r="K10" s="90">
        <f t="shared" si="4"/>
        <v>0</v>
      </c>
      <c r="L10" s="15"/>
      <c r="M10" s="45">
        <f t="shared" ref="M10" si="18">IFERROR(L10/L$54,0%)</f>
        <v>0</v>
      </c>
      <c r="N10" s="15"/>
      <c r="O10" s="45">
        <f t="shared" ref="O10" si="19">IFERROR(N10/N$54,0%)</f>
        <v>0</v>
      </c>
      <c r="P10" s="15"/>
      <c r="Q10" s="45">
        <f t="shared" si="7"/>
        <v>0</v>
      </c>
      <c r="R10" s="15"/>
      <c r="S10" s="45">
        <f t="shared" si="8"/>
        <v>0</v>
      </c>
      <c r="T10" s="15"/>
      <c r="U10" s="45">
        <f t="shared" si="9"/>
        <v>0</v>
      </c>
    </row>
    <row r="11" spans="1:138" x14ac:dyDescent="0.25">
      <c r="A11" s="92" t="s">
        <v>88</v>
      </c>
      <c r="B11" s="50">
        <v>0</v>
      </c>
      <c r="C11" s="79">
        <f t="shared" si="0"/>
        <v>0</v>
      </c>
      <c r="D11" s="52"/>
      <c r="E11" s="79">
        <f t="shared" si="1"/>
        <v>0</v>
      </c>
      <c r="F11" s="52"/>
      <c r="G11" s="79">
        <f t="shared" si="2"/>
        <v>0</v>
      </c>
      <c r="H11" s="52"/>
      <c r="I11" s="79">
        <f t="shared" si="3"/>
        <v>0</v>
      </c>
      <c r="J11" s="52"/>
      <c r="K11" s="90">
        <f t="shared" si="4"/>
        <v>0</v>
      </c>
      <c r="L11" s="15"/>
      <c r="M11" s="45">
        <f t="shared" ref="M11" si="20">IFERROR(L11/L$54,0%)</f>
        <v>0</v>
      </c>
      <c r="N11" s="15"/>
      <c r="O11" s="45">
        <f t="shared" ref="O11" si="21">IFERROR(N11/N$54,0%)</f>
        <v>0</v>
      </c>
      <c r="P11" s="15"/>
      <c r="Q11" s="45">
        <f t="shared" si="7"/>
        <v>0</v>
      </c>
      <c r="R11" s="15"/>
      <c r="S11" s="45">
        <f t="shared" si="8"/>
        <v>0</v>
      </c>
      <c r="T11" s="15"/>
      <c r="U11" s="45">
        <f t="shared" si="9"/>
        <v>0</v>
      </c>
    </row>
    <row r="12" spans="1:138" x14ac:dyDescent="0.25">
      <c r="A12" s="92" t="s">
        <v>89</v>
      </c>
      <c r="B12" s="50">
        <v>0</v>
      </c>
      <c r="C12" s="79">
        <f t="shared" si="0"/>
        <v>0</v>
      </c>
      <c r="D12" s="52"/>
      <c r="E12" s="79">
        <f t="shared" si="1"/>
        <v>0</v>
      </c>
      <c r="F12" s="52"/>
      <c r="G12" s="79">
        <f t="shared" si="2"/>
        <v>0</v>
      </c>
      <c r="H12" s="52"/>
      <c r="I12" s="79">
        <f t="shared" si="3"/>
        <v>0</v>
      </c>
      <c r="J12" s="52"/>
      <c r="K12" s="90">
        <f t="shared" si="4"/>
        <v>0</v>
      </c>
      <c r="L12" s="15"/>
      <c r="M12" s="45">
        <f t="shared" ref="M12" si="22">IFERROR(L12/L$54,0%)</f>
        <v>0</v>
      </c>
      <c r="N12" s="15"/>
      <c r="O12" s="45">
        <f t="shared" ref="O12" si="23">IFERROR(N12/N$54,0%)</f>
        <v>0</v>
      </c>
      <c r="P12" s="15"/>
      <c r="Q12" s="45">
        <f t="shared" si="7"/>
        <v>0</v>
      </c>
      <c r="R12" s="15"/>
      <c r="S12" s="45">
        <f t="shared" si="8"/>
        <v>0</v>
      </c>
      <c r="T12" s="15"/>
      <c r="U12" s="45">
        <f t="shared" si="9"/>
        <v>0</v>
      </c>
    </row>
    <row r="13" spans="1:138" x14ac:dyDescent="0.25">
      <c r="A13" s="92" t="s">
        <v>90</v>
      </c>
      <c r="B13" s="50">
        <v>0</v>
      </c>
      <c r="C13" s="79">
        <f t="shared" si="0"/>
        <v>0</v>
      </c>
      <c r="D13" s="52"/>
      <c r="E13" s="79">
        <f t="shared" si="1"/>
        <v>0</v>
      </c>
      <c r="F13" s="52"/>
      <c r="G13" s="79">
        <f t="shared" si="2"/>
        <v>0</v>
      </c>
      <c r="H13" s="52"/>
      <c r="I13" s="79">
        <f t="shared" si="3"/>
        <v>0</v>
      </c>
      <c r="J13" s="52"/>
      <c r="K13" s="90">
        <f t="shared" si="4"/>
        <v>0</v>
      </c>
      <c r="L13" s="15"/>
      <c r="M13" s="45">
        <f t="shared" ref="M13" si="24">IFERROR(L13/L$54,0%)</f>
        <v>0</v>
      </c>
      <c r="N13" s="15"/>
      <c r="O13" s="45">
        <f t="shared" ref="O13" si="25">IFERROR(N13/N$54,0%)</f>
        <v>0</v>
      </c>
      <c r="P13" s="15"/>
      <c r="Q13" s="45">
        <f t="shared" si="7"/>
        <v>0</v>
      </c>
      <c r="R13" s="15"/>
      <c r="S13" s="45">
        <f t="shared" si="8"/>
        <v>0</v>
      </c>
      <c r="T13" s="15"/>
      <c r="U13" s="45">
        <f t="shared" si="9"/>
        <v>0</v>
      </c>
    </row>
    <row r="14" spans="1:138" x14ac:dyDescent="0.25">
      <c r="A14" s="92" t="s">
        <v>91</v>
      </c>
      <c r="B14" s="50">
        <v>0</v>
      </c>
      <c r="C14" s="79">
        <f t="shared" si="0"/>
        <v>0</v>
      </c>
      <c r="D14" s="52"/>
      <c r="E14" s="79">
        <f t="shared" si="1"/>
        <v>0</v>
      </c>
      <c r="F14" s="52"/>
      <c r="G14" s="79">
        <f t="shared" si="2"/>
        <v>0</v>
      </c>
      <c r="H14" s="52"/>
      <c r="I14" s="79">
        <f t="shared" si="3"/>
        <v>0</v>
      </c>
      <c r="J14" s="52"/>
      <c r="K14" s="90">
        <f t="shared" si="4"/>
        <v>0</v>
      </c>
      <c r="L14" s="15"/>
      <c r="M14" s="45">
        <f t="shared" ref="M14" si="26">IFERROR(L14/L$54,0%)</f>
        <v>0</v>
      </c>
      <c r="N14" s="15"/>
      <c r="O14" s="45">
        <f t="shared" ref="O14" si="27">IFERROR(N14/N$54,0%)</f>
        <v>0</v>
      </c>
      <c r="P14" s="15"/>
      <c r="Q14" s="45">
        <f t="shared" si="7"/>
        <v>0</v>
      </c>
      <c r="R14" s="15"/>
      <c r="S14" s="45">
        <f t="shared" si="8"/>
        <v>0</v>
      </c>
      <c r="T14" s="15"/>
      <c r="U14" s="45">
        <f t="shared" si="9"/>
        <v>0</v>
      </c>
    </row>
    <row r="15" spans="1:138" x14ac:dyDescent="0.25">
      <c r="A15" s="92" t="s">
        <v>92</v>
      </c>
      <c r="B15" s="50">
        <v>0</v>
      </c>
      <c r="C15" s="79">
        <f t="shared" si="0"/>
        <v>0</v>
      </c>
      <c r="D15" s="52"/>
      <c r="E15" s="79">
        <f t="shared" si="1"/>
        <v>0</v>
      </c>
      <c r="F15" s="52"/>
      <c r="G15" s="79">
        <f t="shared" si="2"/>
        <v>0</v>
      </c>
      <c r="H15" s="52"/>
      <c r="I15" s="79">
        <f t="shared" si="3"/>
        <v>0</v>
      </c>
      <c r="J15" s="52"/>
      <c r="K15" s="90">
        <f t="shared" si="4"/>
        <v>0</v>
      </c>
      <c r="L15" s="15"/>
      <c r="M15" s="45">
        <f t="shared" ref="M15" si="28">IFERROR(L15/L$54,0%)</f>
        <v>0</v>
      </c>
      <c r="N15" s="15"/>
      <c r="O15" s="45">
        <f t="shared" ref="O15" si="29">IFERROR(N15/N$54,0%)</f>
        <v>0</v>
      </c>
      <c r="P15" s="15"/>
      <c r="Q15" s="45">
        <f t="shared" si="7"/>
        <v>0</v>
      </c>
      <c r="R15" s="15"/>
      <c r="S15" s="45">
        <f t="shared" si="8"/>
        <v>0</v>
      </c>
      <c r="T15" s="15"/>
      <c r="U15" s="45">
        <f t="shared" si="9"/>
        <v>0</v>
      </c>
    </row>
    <row r="16" spans="1:138" x14ac:dyDescent="0.25">
      <c r="A16" s="92" t="s">
        <v>93</v>
      </c>
      <c r="B16" s="50">
        <v>0</v>
      </c>
      <c r="C16" s="79">
        <f t="shared" si="0"/>
        <v>0</v>
      </c>
      <c r="D16" s="52"/>
      <c r="E16" s="79">
        <f t="shared" si="1"/>
        <v>0</v>
      </c>
      <c r="F16" s="52"/>
      <c r="G16" s="79">
        <f t="shared" si="2"/>
        <v>0</v>
      </c>
      <c r="H16" s="52"/>
      <c r="I16" s="79">
        <f t="shared" si="3"/>
        <v>0</v>
      </c>
      <c r="J16" s="52"/>
      <c r="K16" s="90">
        <f t="shared" si="4"/>
        <v>0</v>
      </c>
      <c r="L16" s="15"/>
      <c r="M16" s="45">
        <f t="shared" ref="M16" si="30">IFERROR(L16/L$54,0%)</f>
        <v>0</v>
      </c>
      <c r="N16" s="15"/>
      <c r="O16" s="45">
        <f t="shared" ref="O16" si="31">IFERROR(N16/N$54,0%)</f>
        <v>0</v>
      </c>
      <c r="P16" s="15"/>
      <c r="Q16" s="45">
        <f t="shared" si="7"/>
        <v>0</v>
      </c>
      <c r="R16" s="15"/>
      <c r="S16" s="45">
        <f t="shared" si="8"/>
        <v>0</v>
      </c>
      <c r="T16" s="15"/>
      <c r="U16" s="45">
        <f t="shared" si="9"/>
        <v>0</v>
      </c>
    </row>
    <row r="17" spans="1:21" x14ac:dyDescent="0.25">
      <c r="A17" s="92" t="s">
        <v>94</v>
      </c>
      <c r="B17" s="50">
        <v>0</v>
      </c>
      <c r="C17" s="79">
        <f t="shared" si="0"/>
        <v>0</v>
      </c>
      <c r="D17" s="52"/>
      <c r="E17" s="79">
        <f t="shared" si="1"/>
        <v>0</v>
      </c>
      <c r="F17" s="52"/>
      <c r="G17" s="79">
        <f t="shared" si="2"/>
        <v>0</v>
      </c>
      <c r="H17" s="52"/>
      <c r="I17" s="79">
        <f t="shared" si="3"/>
        <v>0</v>
      </c>
      <c r="J17" s="52"/>
      <c r="K17" s="90">
        <f t="shared" si="4"/>
        <v>0</v>
      </c>
      <c r="L17" s="15"/>
      <c r="M17" s="45">
        <f t="shared" ref="M17" si="32">IFERROR(L17/L$54,0%)</f>
        <v>0</v>
      </c>
      <c r="N17" s="15"/>
      <c r="O17" s="45">
        <f t="shared" ref="O17" si="33">IFERROR(N17/N$54,0%)</f>
        <v>0</v>
      </c>
      <c r="P17" s="15"/>
      <c r="Q17" s="45">
        <f t="shared" si="7"/>
        <v>0</v>
      </c>
      <c r="R17" s="15"/>
      <c r="S17" s="45">
        <f t="shared" si="8"/>
        <v>0</v>
      </c>
      <c r="T17" s="15"/>
      <c r="U17" s="45">
        <f t="shared" si="9"/>
        <v>0</v>
      </c>
    </row>
    <row r="18" spans="1:21" x14ac:dyDescent="0.25">
      <c r="A18" s="92" t="s">
        <v>95</v>
      </c>
      <c r="B18" s="50">
        <v>0</v>
      </c>
      <c r="C18" s="79">
        <f t="shared" si="0"/>
        <v>0</v>
      </c>
      <c r="D18" s="52"/>
      <c r="E18" s="79">
        <f t="shared" si="1"/>
        <v>0</v>
      </c>
      <c r="F18" s="52"/>
      <c r="G18" s="79">
        <f t="shared" si="2"/>
        <v>0</v>
      </c>
      <c r="H18" s="52"/>
      <c r="I18" s="79">
        <f t="shared" si="3"/>
        <v>0</v>
      </c>
      <c r="J18" s="52"/>
      <c r="K18" s="90">
        <f t="shared" si="4"/>
        <v>0</v>
      </c>
      <c r="L18" s="15"/>
      <c r="M18" s="45">
        <f t="shared" ref="M18" si="34">IFERROR(L18/L$54,0%)</f>
        <v>0</v>
      </c>
      <c r="N18" s="15"/>
      <c r="O18" s="45">
        <f t="shared" ref="O18" si="35">IFERROR(N18/N$54,0%)</f>
        <v>0</v>
      </c>
      <c r="P18" s="15"/>
      <c r="Q18" s="45">
        <f t="shared" si="7"/>
        <v>0</v>
      </c>
      <c r="R18" s="15"/>
      <c r="S18" s="45">
        <f t="shared" si="8"/>
        <v>0</v>
      </c>
      <c r="T18" s="15"/>
      <c r="U18" s="45">
        <f t="shared" si="9"/>
        <v>0</v>
      </c>
    </row>
    <row r="19" spans="1:21" x14ac:dyDescent="0.25">
      <c r="A19" s="92" t="s">
        <v>96</v>
      </c>
      <c r="B19" s="50">
        <v>0</v>
      </c>
      <c r="C19" s="79">
        <f t="shared" si="0"/>
        <v>0</v>
      </c>
      <c r="D19" s="52"/>
      <c r="E19" s="79">
        <f t="shared" si="1"/>
        <v>0</v>
      </c>
      <c r="F19" s="52"/>
      <c r="G19" s="79">
        <f t="shared" si="2"/>
        <v>0</v>
      </c>
      <c r="H19" s="52"/>
      <c r="I19" s="79">
        <f t="shared" si="3"/>
        <v>0</v>
      </c>
      <c r="J19" s="52"/>
      <c r="K19" s="90">
        <f t="shared" si="4"/>
        <v>0</v>
      </c>
      <c r="L19" s="15"/>
      <c r="M19" s="45">
        <f t="shared" ref="M19" si="36">IFERROR(L19/L$54,0%)</f>
        <v>0</v>
      </c>
      <c r="N19" s="15"/>
      <c r="O19" s="45">
        <f t="shared" ref="O19" si="37">IFERROR(N19/N$54,0%)</f>
        <v>0</v>
      </c>
      <c r="P19" s="15"/>
      <c r="Q19" s="45">
        <f t="shared" si="7"/>
        <v>0</v>
      </c>
      <c r="R19" s="15"/>
      <c r="S19" s="45">
        <f t="shared" si="8"/>
        <v>0</v>
      </c>
      <c r="T19" s="15"/>
      <c r="U19" s="45">
        <f t="shared" si="9"/>
        <v>0</v>
      </c>
    </row>
    <row r="20" spans="1:21" x14ac:dyDescent="0.25">
      <c r="A20" s="92" t="s">
        <v>97</v>
      </c>
      <c r="B20" s="50">
        <v>0</v>
      </c>
      <c r="C20" s="79">
        <f t="shared" si="0"/>
        <v>0</v>
      </c>
      <c r="D20" s="52"/>
      <c r="E20" s="79">
        <f t="shared" si="1"/>
        <v>0</v>
      </c>
      <c r="F20" s="52"/>
      <c r="G20" s="79">
        <f t="shared" si="2"/>
        <v>0</v>
      </c>
      <c r="H20" s="52"/>
      <c r="I20" s="79">
        <f t="shared" si="3"/>
        <v>0</v>
      </c>
      <c r="J20" s="52"/>
      <c r="K20" s="90">
        <f t="shared" si="4"/>
        <v>0</v>
      </c>
      <c r="L20" s="15"/>
      <c r="M20" s="45">
        <f t="shared" ref="M20" si="38">IFERROR(L20/L$54,0%)</f>
        <v>0</v>
      </c>
      <c r="N20" s="15"/>
      <c r="O20" s="45">
        <f t="shared" ref="O20" si="39">IFERROR(N20/N$54,0%)</f>
        <v>0</v>
      </c>
      <c r="P20" s="15"/>
      <c r="Q20" s="45">
        <f t="shared" si="7"/>
        <v>0</v>
      </c>
      <c r="R20" s="15"/>
      <c r="S20" s="45">
        <f t="shared" si="8"/>
        <v>0</v>
      </c>
      <c r="T20" s="15"/>
      <c r="U20" s="45">
        <f t="shared" si="9"/>
        <v>0</v>
      </c>
    </row>
    <row r="21" spans="1:21" x14ac:dyDescent="0.25">
      <c r="A21" s="93" t="s">
        <v>148</v>
      </c>
      <c r="B21" s="50">
        <v>0</v>
      </c>
      <c r="C21" s="79">
        <f t="shared" si="0"/>
        <v>0</v>
      </c>
      <c r="D21" s="52"/>
      <c r="E21" s="79">
        <f t="shared" si="1"/>
        <v>0</v>
      </c>
      <c r="F21" s="52"/>
      <c r="G21" s="79">
        <f t="shared" si="2"/>
        <v>0</v>
      </c>
      <c r="H21" s="52"/>
      <c r="I21" s="79">
        <f t="shared" si="3"/>
        <v>0</v>
      </c>
      <c r="J21" s="52"/>
      <c r="K21" s="90">
        <f t="shared" si="4"/>
        <v>0</v>
      </c>
      <c r="L21" s="15"/>
      <c r="M21" s="45">
        <f t="shared" ref="M21" si="40">IFERROR(L21/L$54,0%)</f>
        <v>0</v>
      </c>
      <c r="N21" s="15"/>
      <c r="O21" s="45">
        <f t="shared" ref="O21" si="41">IFERROR(N21/N$54,0%)</f>
        <v>0</v>
      </c>
      <c r="P21" s="15"/>
      <c r="Q21" s="45">
        <f t="shared" si="7"/>
        <v>0</v>
      </c>
      <c r="R21" s="15"/>
      <c r="S21" s="45">
        <f t="shared" si="8"/>
        <v>0</v>
      </c>
      <c r="T21" s="15"/>
      <c r="U21" s="45">
        <f t="shared" si="9"/>
        <v>0</v>
      </c>
    </row>
    <row r="22" spans="1:21" x14ac:dyDescent="0.25">
      <c r="A22" s="93" t="s">
        <v>149</v>
      </c>
      <c r="B22" s="50">
        <v>0</v>
      </c>
      <c r="C22" s="79">
        <f t="shared" si="0"/>
        <v>0</v>
      </c>
      <c r="D22" s="52"/>
      <c r="E22" s="79">
        <f t="shared" si="1"/>
        <v>0</v>
      </c>
      <c r="F22" s="52"/>
      <c r="G22" s="79">
        <f t="shared" si="2"/>
        <v>0</v>
      </c>
      <c r="H22" s="52"/>
      <c r="I22" s="79">
        <f t="shared" si="3"/>
        <v>0</v>
      </c>
      <c r="J22" s="52"/>
      <c r="K22" s="90">
        <f t="shared" si="4"/>
        <v>0</v>
      </c>
      <c r="L22" s="15"/>
      <c r="M22" s="45">
        <f t="shared" ref="M22" si="42">IFERROR(L22/L$54,0%)</f>
        <v>0</v>
      </c>
      <c r="N22" s="15"/>
      <c r="O22" s="45">
        <f t="shared" ref="O22" si="43">IFERROR(N22/N$54,0%)</f>
        <v>0</v>
      </c>
      <c r="P22" s="15"/>
      <c r="Q22" s="45">
        <f t="shared" si="7"/>
        <v>0</v>
      </c>
      <c r="R22" s="15"/>
      <c r="S22" s="45">
        <f t="shared" si="8"/>
        <v>0</v>
      </c>
      <c r="T22" s="15"/>
      <c r="U22" s="45">
        <f t="shared" si="9"/>
        <v>0</v>
      </c>
    </row>
    <row r="23" spans="1:21" ht="25.5" x14ac:dyDescent="0.25">
      <c r="A23" s="93" t="s">
        <v>150</v>
      </c>
      <c r="B23" s="50">
        <v>0</v>
      </c>
      <c r="C23" s="79">
        <f t="shared" si="0"/>
        <v>0</v>
      </c>
      <c r="D23" s="52"/>
      <c r="E23" s="79">
        <f t="shared" si="1"/>
        <v>0</v>
      </c>
      <c r="F23" s="52"/>
      <c r="G23" s="79">
        <f t="shared" si="2"/>
        <v>0</v>
      </c>
      <c r="H23" s="52"/>
      <c r="I23" s="79">
        <f t="shared" si="3"/>
        <v>0</v>
      </c>
      <c r="J23" s="52"/>
      <c r="K23" s="90">
        <f t="shared" si="4"/>
        <v>0</v>
      </c>
      <c r="L23" s="15"/>
      <c r="M23" s="45">
        <f t="shared" ref="M23" si="44">IFERROR(L23/L$54,0%)</f>
        <v>0</v>
      </c>
      <c r="N23" s="15"/>
      <c r="O23" s="45">
        <f t="shared" ref="O23" si="45">IFERROR(N23/N$54,0%)</f>
        <v>0</v>
      </c>
      <c r="P23" s="15"/>
      <c r="Q23" s="45">
        <f t="shared" si="7"/>
        <v>0</v>
      </c>
      <c r="R23" s="15"/>
      <c r="S23" s="45">
        <f t="shared" si="8"/>
        <v>0</v>
      </c>
      <c r="T23" s="15"/>
      <c r="U23" s="45">
        <f t="shared" si="9"/>
        <v>0</v>
      </c>
    </row>
    <row r="24" spans="1:21" x14ac:dyDescent="0.25">
      <c r="A24" s="93" t="s">
        <v>151</v>
      </c>
      <c r="B24" s="50">
        <v>0</v>
      </c>
      <c r="C24" s="79">
        <f t="shared" si="0"/>
        <v>0</v>
      </c>
      <c r="D24" s="52"/>
      <c r="E24" s="79">
        <f t="shared" si="1"/>
        <v>0</v>
      </c>
      <c r="F24" s="52"/>
      <c r="G24" s="79">
        <f t="shared" si="2"/>
        <v>0</v>
      </c>
      <c r="H24" s="52"/>
      <c r="I24" s="79">
        <f t="shared" si="3"/>
        <v>0</v>
      </c>
      <c r="J24" s="52"/>
      <c r="K24" s="90">
        <f t="shared" si="4"/>
        <v>0</v>
      </c>
      <c r="L24" s="15"/>
      <c r="M24" s="45">
        <f t="shared" ref="M24" si="46">IFERROR(L24/L$54,0%)</f>
        <v>0</v>
      </c>
      <c r="N24" s="15"/>
      <c r="O24" s="45">
        <f t="shared" ref="O24" si="47">IFERROR(N24/N$54,0%)</f>
        <v>0</v>
      </c>
      <c r="P24" s="15"/>
      <c r="Q24" s="45">
        <f t="shared" si="7"/>
        <v>0</v>
      </c>
      <c r="R24" s="15"/>
      <c r="S24" s="45">
        <f t="shared" si="8"/>
        <v>0</v>
      </c>
      <c r="T24" s="15"/>
      <c r="U24" s="45">
        <f t="shared" si="9"/>
        <v>0</v>
      </c>
    </row>
    <row r="25" spans="1:21" x14ac:dyDescent="0.25">
      <c r="A25" s="93" t="s">
        <v>152</v>
      </c>
      <c r="B25" s="50">
        <v>0</v>
      </c>
      <c r="C25" s="79">
        <f t="shared" si="0"/>
        <v>0</v>
      </c>
      <c r="D25" s="52"/>
      <c r="E25" s="79">
        <f t="shared" si="1"/>
        <v>0</v>
      </c>
      <c r="F25" s="52"/>
      <c r="G25" s="79">
        <f t="shared" si="2"/>
        <v>0</v>
      </c>
      <c r="H25" s="52"/>
      <c r="I25" s="79">
        <f t="shared" si="3"/>
        <v>0</v>
      </c>
      <c r="J25" s="52"/>
      <c r="K25" s="90">
        <f t="shared" si="4"/>
        <v>0</v>
      </c>
      <c r="L25" s="15"/>
      <c r="M25" s="45">
        <f t="shared" ref="M25" si="48">IFERROR(L25/L$54,0%)</f>
        <v>0</v>
      </c>
      <c r="N25" s="15"/>
      <c r="O25" s="45">
        <f t="shared" ref="O25" si="49">IFERROR(N25/N$54,0%)</f>
        <v>0</v>
      </c>
      <c r="P25" s="15"/>
      <c r="Q25" s="45">
        <f t="shared" si="7"/>
        <v>0</v>
      </c>
      <c r="R25" s="15"/>
      <c r="S25" s="45">
        <f t="shared" si="8"/>
        <v>0</v>
      </c>
      <c r="T25" s="15"/>
      <c r="U25" s="45">
        <f t="shared" si="9"/>
        <v>0</v>
      </c>
    </row>
    <row r="26" spans="1:21" x14ac:dyDescent="0.25">
      <c r="A26" s="94" t="s">
        <v>153</v>
      </c>
      <c r="B26" s="50">
        <v>0</v>
      </c>
      <c r="C26" s="79">
        <f t="shared" si="0"/>
        <v>0</v>
      </c>
      <c r="D26" s="52"/>
      <c r="E26" s="79">
        <f t="shared" si="1"/>
        <v>0</v>
      </c>
      <c r="F26" s="52"/>
      <c r="G26" s="79">
        <f t="shared" si="2"/>
        <v>0</v>
      </c>
      <c r="H26" s="52"/>
      <c r="I26" s="79">
        <f t="shared" si="3"/>
        <v>0</v>
      </c>
      <c r="J26" s="52"/>
      <c r="K26" s="90">
        <f t="shared" si="4"/>
        <v>0</v>
      </c>
      <c r="L26" s="15"/>
      <c r="M26" s="45">
        <f t="shared" ref="M26" si="50">IFERROR(L26/L$54,0%)</f>
        <v>0</v>
      </c>
      <c r="N26" s="15"/>
      <c r="O26" s="45">
        <f t="shared" ref="O26" si="51">IFERROR(N26/N$54,0%)</f>
        <v>0</v>
      </c>
      <c r="P26" s="15"/>
      <c r="Q26" s="45">
        <f t="shared" si="7"/>
        <v>0</v>
      </c>
      <c r="R26" s="15"/>
      <c r="S26" s="45">
        <f t="shared" si="8"/>
        <v>0</v>
      </c>
      <c r="T26" s="15"/>
      <c r="U26" s="45">
        <f t="shared" si="9"/>
        <v>0</v>
      </c>
    </row>
    <row r="27" spans="1:21" x14ac:dyDescent="0.25">
      <c r="A27" s="92" t="s">
        <v>98</v>
      </c>
      <c r="B27" s="50">
        <v>0</v>
      </c>
      <c r="C27" s="79">
        <f t="shared" si="0"/>
        <v>0</v>
      </c>
      <c r="D27" s="52"/>
      <c r="E27" s="79">
        <f t="shared" si="1"/>
        <v>0</v>
      </c>
      <c r="F27" s="52"/>
      <c r="G27" s="79">
        <f t="shared" si="2"/>
        <v>0</v>
      </c>
      <c r="H27" s="52"/>
      <c r="I27" s="79">
        <f t="shared" si="3"/>
        <v>0</v>
      </c>
      <c r="J27" s="52"/>
      <c r="K27" s="90">
        <f t="shared" si="4"/>
        <v>0</v>
      </c>
      <c r="L27" s="15"/>
      <c r="M27" s="45">
        <f t="shared" ref="M27" si="52">IFERROR(L27/L$54,0%)</f>
        <v>0</v>
      </c>
      <c r="N27" s="15"/>
      <c r="O27" s="45">
        <f t="shared" ref="O27" si="53">IFERROR(N27/N$54,0%)</f>
        <v>0</v>
      </c>
      <c r="P27" s="15"/>
      <c r="Q27" s="45">
        <f t="shared" si="7"/>
        <v>0</v>
      </c>
      <c r="R27" s="15"/>
      <c r="S27" s="45">
        <f t="shared" si="8"/>
        <v>0</v>
      </c>
      <c r="T27" s="15"/>
      <c r="U27" s="45">
        <f t="shared" si="9"/>
        <v>0</v>
      </c>
    </row>
    <row r="28" spans="1:21" x14ac:dyDescent="0.25">
      <c r="A28" s="92" t="s">
        <v>99</v>
      </c>
      <c r="B28" s="50">
        <v>0</v>
      </c>
      <c r="C28" s="79">
        <f t="shared" si="0"/>
        <v>0</v>
      </c>
      <c r="D28" s="52"/>
      <c r="E28" s="79">
        <f t="shared" si="1"/>
        <v>0</v>
      </c>
      <c r="F28" s="52"/>
      <c r="G28" s="79">
        <f t="shared" si="2"/>
        <v>0</v>
      </c>
      <c r="H28" s="52"/>
      <c r="I28" s="79">
        <f t="shared" si="3"/>
        <v>0</v>
      </c>
      <c r="J28" s="52"/>
      <c r="K28" s="90">
        <f t="shared" si="4"/>
        <v>0</v>
      </c>
      <c r="L28" s="15"/>
      <c r="M28" s="45">
        <f t="shared" ref="M28" si="54">IFERROR(L28/L$54,0%)</f>
        <v>0</v>
      </c>
      <c r="N28" s="15"/>
      <c r="O28" s="45">
        <f t="shared" ref="O28" si="55">IFERROR(N28/N$54,0%)</f>
        <v>0</v>
      </c>
      <c r="P28" s="15"/>
      <c r="Q28" s="45">
        <f t="shared" si="7"/>
        <v>0</v>
      </c>
      <c r="R28" s="15"/>
      <c r="S28" s="45">
        <f t="shared" si="8"/>
        <v>0</v>
      </c>
      <c r="T28" s="15"/>
      <c r="U28" s="45">
        <f t="shared" si="9"/>
        <v>0</v>
      </c>
    </row>
    <row r="29" spans="1:21" x14ac:dyDescent="0.25">
      <c r="A29" s="93" t="s">
        <v>154</v>
      </c>
      <c r="B29" s="50">
        <v>0</v>
      </c>
      <c r="C29" s="79">
        <f t="shared" si="0"/>
        <v>0</v>
      </c>
      <c r="D29" s="52"/>
      <c r="E29" s="79">
        <f t="shared" si="1"/>
        <v>0</v>
      </c>
      <c r="F29" s="52"/>
      <c r="G29" s="79">
        <f t="shared" si="2"/>
        <v>0</v>
      </c>
      <c r="H29" s="52"/>
      <c r="I29" s="79">
        <f t="shared" si="3"/>
        <v>0</v>
      </c>
      <c r="J29" s="52"/>
      <c r="K29" s="90">
        <f t="shared" si="4"/>
        <v>0</v>
      </c>
      <c r="L29" s="15"/>
      <c r="M29" s="45">
        <f t="shared" ref="M29" si="56">IFERROR(L29/L$54,0%)</f>
        <v>0</v>
      </c>
      <c r="N29" s="15"/>
      <c r="O29" s="45">
        <f t="shared" ref="O29" si="57">IFERROR(N29/N$54,0%)</f>
        <v>0</v>
      </c>
      <c r="P29" s="15"/>
      <c r="Q29" s="45">
        <f t="shared" si="7"/>
        <v>0</v>
      </c>
      <c r="R29" s="15"/>
      <c r="S29" s="45">
        <f t="shared" si="8"/>
        <v>0</v>
      </c>
      <c r="T29" s="15"/>
      <c r="U29" s="45">
        <f t="shared" si="9"/>
        <v>0</v>
      </c>
    </row>
    <row r="30" spans="1:21" x14ac:dyDescent="0.25">
      <c r="A30" s="93" t="s">
        <v>155</v>
      </c>
      <c r="B30" s="50">
        <v>0</v>
      </c>
      <c r="C30" s="79">
        <f t="shared" si="0"/>
        <v>0</v>
      </c>
      <c r="D30" s="52"/>
      <c r="E30" s="79">
        <f t="shared" si="1"/>
        <v>0</v>
      </c>
      <c r="F30" s="52"/>
      <c r="G30" s="79">
        <f t="shared" si="2"/>
        <v>0</v>
      </c>
      <c r="H30" s="52"/>
      <c r="I30" s="79">
        <f t="shared" si="3"/>
        <v>0</v>
      </c>
      <c r="J30" s="52"/>
      <c r="K30" s="90">
        <f t="shared" si="4"/>
        <v>0</v>
      </c>
      <c r="L30" s="15"/>
      <c r="M30" s="45">
        <f t="shared" ref="M30" si="58">IFERROR(L30/L$54,0%)</f>
        <v>0</v>
      </c>
      <c r="N30" s="15"/>
      <c r="O30" s="45">
        <f t="shared" ref="O30" si="59">IFERROR(N30/N$54,0%)</f>
        <v>0</v>
      </c>
      <c r="P30" s="15"/>
      <c r="Q30" s="45">
        <f t="shared" si="7"/>
        <v>0</v>
      </c>
      <c r="R30" s="15"/>
      <c r="S30" s="45">
        <f t="shared" si="8"/>
        <v>0</v>
      </c>
      <c r="T30" s="15"/>
      <c r="U30" s="45">
        <f t="shared" si="9"/>
        <v>0</v>
      </c>
    </row>
    <row r="31" spans="1:21" x14ac:dyDescent="0.25">
      <c r="A31" s="93" t="s">
        <v>156</v>
      </c>
      <c r="B31" s="50">
        <v>0</v>
      </c>
      <c r="C31" s="79">
        <f t="shared" si="0"/>
        <v>0</v>
      </c>
      <c r="D31" s="52"/>
      <c r="E31" s="79">
        <f t="shared" si="1"/>
        <v>0</v>
      </c>
      <c r="F31" s="52"/>
      <c r="G31" s="79">
        <f t="shared" si="2"/>
        <v>0</v>
      </c>
      <c r="H31" s="52"/>
      <c r="I31" s="79">
        <f t="shared" si="3"/>
        <v>0</v>
      </c>
      <c r="J31" s="52"/>
      <c r="K31" s="90">
        <f t="shared" si="4"/>
        <v>0</v>
      </c>
      <c r="L31" s="15"/>
      <c r="M31" s="45">
        <f t="shared" ref="M31" si="60">IFERROR(L31/L$54,0%)</f>
        <v>0</v>
      </c>
      <c r="N31" s="15"/>
      <c r="O31" s="45">
        <f t="shared" ref="O31" si="61">IFERROR(N31/N$54,0%)</f>
        <v>0</v>
      </c>
      <c r="P31" s="15"/>
      <c r="Q31" s="45">
        <f t="shared" si="7"/>
        <v>0</v>
      </c>
      <c r="R31" s="15"/>
      <c r="S31" s="45">
        <f t="shared" si="8"/>
        <v>0</v>
      </c>
      <c r="T31" s="15"/>
      <c r="U31" s="45">
        <f t="shared" si="9"/>
        <v>0</v>
      </c>
    </row>
    <row r="32" spans="1:21" x14ac:dyDescent="0.25">
      <c r="A32" s="93" t="s">
        <v>157</v>
      </c>
      <c r="B32" s="50">
        <v>0</v>
      </c>
      <c r="C32" s="79">
        <f t="shared" si="0"/>
        <v>0</v>
      </c>
      <c r="D32" s="52"/>
      <c r="E32" s="79">
        <f t="shared" si="1"/>
        <v>0</v>
      </c>
      <c r="F32" s="52"/>
      <c r="G32" s="79">
        <f t="shared" si="2"/>
        <v>0</v>
      </c>
      <c r="H32" s="52"/>
      <c r="I32" s="79">
        <f t="shared" si="3"/>
        <v>0</v>
      </c>
      <c r="J32" s="52"/>
      <c r="K32" s="90">
        <f t="shared" si="4"/>
        <v>0</v>
      </c>
      <c r="L32" s="15"/>
      <c r="M32" s="45">
        <f t="shared" ref="M32" si="62">IFERROR(L32/L$54,0%)</f>
        <v>0</v>
      </c>
      <c r="N32" s="15"/>
      <c r="O32" s="45">
        <f t="shared" ref="O32" si="63">IFERROR(N32/N$54,0%)</f>
        <v>0</v>
      </c>
      <c r="P32" s="15"/>
      <c r="Q32" s="45">
        <f t="shared" si="7"/>
        <v>0</v>
      </c>
      <c r="R32" s="15"/>
      <c r="S32" s="45">
        <f t="shared" si="8"/>
        <v>0</v>
      </c>
      <c r="T32" s="15"/>
      <c r="U32" s="45">
        <f t="shared" si="9"/>
        <v>0</v>
      </c>
    </row>
    <row r="33" spans="1:21" x14ac:dyDescent="0.25">
      <c r="A33" s="93" t="s">
        <v>158</v>
      </c>
      <c r="B33" s="50">
        <v>6.9444444444444198E-3</v>
      </c>
      <c r="C33" s="79">
        <f t="shared" si="0"/>
        <v>1.0214504596527035E-2</v>
      </c>
      <c r="D33" s="52"/>
      <c r="E33" s="79">
        <f t="shared" si="1"/>
        <v>0</v>
      </c>
      <c r="F33" s="52"/>
      <c r="G33" s="79">
        <f t="shared" si="2"/>
        <v>0</v>
      </c>
      <c r="H33" s="52"/>
      <c r="I33" s="79">
        <f t="shared" si="3"/>
        <v>0</v>
      </c>
      <c r="J33" s="52"/>
      <c r="K33" s="90">
        <f t="shared" si="4"/>
        <v>0</v>
      </c>
      <c r="L33" s="15"/>
      <c r="M33" s="45">
        <f t="shared" ref="M33" si="64">IFERROR(L33/L$54,0%)</f>
        <v>0</v>
      </c>
      <c r="N33" s="15"/>
      <c r="O33" s="45">
        <f t="shared" ref="O33" si="65">IFERROR(N33/N$54,0%)</f>
        <v>0</v>
      </c>
      <c r="P33" s="15"/>
      <c r="Q33" s="45">
        <f t="shared" si="7"/>
        <v>0</v>
      </c>
      <c r="R33" s="15"/>
      <c r="S33" s="45">
        <f t="shared" si="8"/>
        <v>0</v>
      </c>
      <c r="T33" s="15"/>
      <c r="U33" s="45">
        <f t="shared" si="9"/>
        <v>0</v>
      </c>
    </row>
    <row r="34" spans="1:21" x14ac:dyDescent="0.25">
      <c r="A34" s="92" t="s">
        <v>100</v>
      </c>
      <c r="B34" s="50">
        <v>0</v>
      </c>
      <c r="C34" s="79">
        <f t="shared" si="0"/>
        <v>0</v>
      </c>
      <c r="D34" s="52"/>
      <c r="E34" s="79">
        <f t="shared" si="1"/>
        <v>0</v>
      </c>
      <c r="F34" s="52"/>
      <c r="G34" s="79">
        <f t="shared" si="2"/>
        <v>0</v>
      </c>
      <c r="H34" s="52"/>
      <c r="I34" s="79">
        <f t="shared" si="3"/>
        <v>0</v>
      </c>
      <c r="J34" s="52"/>
      <c r="K34" s="90">
        <f t="shared" si="4"/>
        <v>0</v>
      </c>
      <c r="L34" s="15"/>
      <c r="M34" s="45">
        <f t="shared" ref="M34" si="66">IFERROR(L34/L$54,0%)</f>
        <v>0</v>
      </c>
      <c r="N34" s="15"/>
      <c r="O34" s="45">
        <f t="shared" ref="O34" si="67">IFERROR(N34/N$54,0%)</f>
        <v>0</v>
      </c>
      <c r="P34" s="15"/>
      <c r="Q34" s="45">
        <f t="shared" si="7"/>
        <v>0</v>
      </c>
      <c r="R34" s="15"/>
      <c r="S34" s="45">
        <f t="shared" si="8"/>
        <v>0</v>
      </c>
      <c r="T34" s="15"/>
      <c r="U34" s="45">
        <f t="shared" si="9"/>
        <v>0</v>
      </c>
    </row>
    <row r="35" spans="1:21" x14ac:dyDescent="0.25">
      <c r="A35" s="92" t="s">
        <v>101</v>
      </c>
      <c r="B35" s="50">
        <v>0</v>
      </c>
      <c r="C35" s="79">
        <f t="shared" si="0"/>
        <v>0</v>
      </c>
      <c r="D35" s="52"/>
      <c r="E35" s="79">
        <f t="shared" si="1"/>
        <v>0</v>
      </c>
      <c r="F35" s="52"/>
      <c r="G35" s="79">
        <f t="shared" si="2"/>
        <v>0</v>
      </c>
      <c r="H35" s="52"/>
      <c r="I35" s="79">
        <f t="shared" si="3"/>
        <v>0</v>
      </c>
      <c r="J35" s="52"/>
      <c r="K35" s="90">
        <f t="shared" si="4"/>
        <v>0</v>
      </c>
      <c r="L35" s="15"/>
      <c r="M35" s="45">
        <f t="shared" ref="M35" si="68">IFERROR(L35/L$54,0%)</f>
        <v>0</v>
      </c>
      <c r="N35" s="15"/>
      <c r="O35" s="45">
        <f t="shared" ref="O35" si="69">IFERROR(N35/N$54,0%)</f>
        <v>0</v>
      </c>
      <c r="P35" s="15"/>
      <c r="Q35" s="45">
        <f t="shared" si="7"/>
        <v>0</v>
      </c>
      <c r="R35" s="15"/>
      <c r="S35" s="45">
        <f t="shared" si="8"/>
        <v>0</v>
      </c>
      <c r="T35" s="15"/>
      <c r="U35" s="45">
        <f t="shared" si="9"/>
        <v>0</v>
      </c>
    </row>
    <row r="36" spans="1:21" x14ac:dyDescent="0.25">
      <c r="A36" s="92" t="s">
        <v>102</v>
      </c>
      <c r="B36" s="50">
        <v>0</v>
      </c>
      <c r="C36" s="79">
        <f t="shared" ref="C36:C67" si="70">IFERROR(B36/$B$55,0)</f>
        <v>0</v>
      </c>
      <c r="D36" s="52"/>
      <c r="E36" s="79">
        <f t="shared" ref="E36:E67" si="71">IFERROR(D36/$B$55,0)</f>
        <v>0</v>
      </c>
      <c r="F36" s="52"/>
      <c r="G36" s="79">
        <f t="shared" ref="G36:G67" si="72">IFERROR(F36/$B$55,0)</f>
        <v>0</v>
      </c>
      <c r="H36" s="52"/>
      <c r="I36" s="79">
        <f t="shared" ref="I36:I67" si="73">IFERROR(H36/$B$55,0)</f>
        <v>0</v>
      </c>
      <c r="J36" s="52"/>
      <c r="K36" s="90">
        <f t="shared" ref="K36:K67" si="74">IFERROR(J36/$B$55,0)</f>
        <v>0</v>
      </c>
      <c r="L36" s="15"/>
      <c r="M36" s="45">
        <f t="shared" ref="M36" si="75">IFERROR(L36/L$54,0%)</f>
        <v>0</v>
      </c>
      <c r="N36" s="15"/>
      <c r="O36" s="45">
        <f t="shared" ref="O36" si="76">IFERROR(N36/N$54,0%)</f>
        <v>0</v>
      </c>
      <c r="P36" s="15"/>
      <c r="Q36" s="45">
        <f t="shared" si="7"/>
        <v>0</v>
      </c>
      <c r="R36" s="15"/>
      <c r="S36" s="45">
        <f t="shared" si="8"/>
        <v>0</v>
      </c>
      <c r="T36" s="15"/>
      <c r="U36" s="45">
        <f t="shared" si="9"/>
        <v>0</v>
      </c>
    </row>
    <row r="37" spans="1:21" x14ac:dyDescent="0.25">
      <c r="A37" s="92" t="s">
        <v>103</v>
      </c>
      <c r="B37" s="50">
        <v>0</v>
      </c>
      <c r="C37" s="79">
        <f t="shared" si="70"/>
        <v>0</v>
      </c>
      <c r="D37" s="52"/>
      <c r="E37" s="79">
        <f t="shared" si="71"/>
        <v>0</v>
      </c>
      <c r="F37" s="52"/>
      <c r="G37" s="79">
        <f t="shared" si="72"/>
        <v>0</v>
      </c>
      <c r="H37" s="52"/>
      <c r="I37" s="79">
        <f t="shared" si="73"/>
        <v>0</v>
      </c>
      <c r="J37" s="52"/>
      <c r="K37" s="90">
        <f t="shared" si="74"/>
        <v>0</v>
      </c>
      <c r="L37" s="15"/>
      <c r="M37" s="45">
        <f t="shared" ref="M37" si="77">IFERROR(L37/L$54,0%)</f>
        <v>0</v>
      </c>
      <c r="N37" s="15"/>
      <c r="O37" s="45">
        <f t="shared" ref="O37" si="78">IFERROR(N37/N$54,0%)</f>
        <v>0</v>
      </c>
      <c r="P37" s="15"/>
      <c r="Q37" s="45">
        <f t="shared" si="7"/>
        <v>0</v>
      </c>
      <c r="R37" s="15"/>
      <c r="S37" s="45">
        <f t="shared" si="8"/>
        <v>0</v>
      </c>
      <c r="T37" s="15"/>
      <c r="U37" s="45">
        <f t="shared" si="9"/>
        <v>0</v>
      </c>
    </row>
    <row r="38" spans="1:21" x14ac:dyDescent="0.25">
      <c r="A38" s="92" t="s">
        <v>104</v>
      </c>
      <c r="B38" s="50">
        <v>5.2083333333333481E-2</v>
      </c>
      <c r="C38" s="79">
        <f t="shared" si="70"/>
        <v>7.6608784473953251E-2</v>
      </c>
      <c r="D38" s="52"/>
      <c r="E38" s="79">
        <f t="shared" si="71"/>
        <v>0</v>
      </c>
      <c r="F38" s="52"/>
      <c r="G38" s="79">
        <f t="shared" si="72"/>
        <v>0</v>
      </c>
      <c r="H38" s="52"/>
      <c r="I38" s="79">
        <f t="shared" si="73"/>
        <v>0</v>
      </c>
      <c r="J38" s="52"/>
      <c r="K38" s="90">
        <f t="shared" si="74"/>
        <v>0</v>
      </c>
      <c r="L38" s="15"/>
      <c r="M38" s="45">
        <f t="shared" ref="M38" si="79">IFERROR(L38/L$54,0%)</f>
        <v>0</v>
      </c>
      <c r="N38" s="15"/>
      <c r="O38" s="45">
        <f t="shared" ref="O38" si="80">IFERROR(N38/N$54,0%)</f>
        <v>0</v>
      </c>
      <c r="P38" s="15"/>
      <c r="Q38" s="45">
        <f t="shared" si="7"/>
        <v>0</v>
      </c>
      <c r="R38" s="15"/>
      <c r="S38" s="45">
        <f t="shared" si="8"/>
        <v>0</v>
      </c>
      <c r="T38" s="15"/>
      <c r="U38" s="45">
        <f t="shared" si="9"/>
        <v>0</v>
      </c>
    </row>
    <row r="39" spans="1:21" x14ac:dyDescent="0.25">
      <c r="A39" s="95" t="s">
        <v>105</v>
      </c>
      <c r="B39" s="50">
        <v>0</v>
      </c>
      <c r="C39" s="79">
        <f t="shared" si="70"/>
        <v>0</v>
      </c>
      <c r="D39" s="52"/>
      <c r="E39" s="79">
        <f t="shared" si="71"/>
        <v>0</v>
      </c>
      <c r="F39" s="52"/>
      <c r="G39" s="79">
        <f t="shared" si="72"/>
        <v>0</v>
      </c>
      <c r="H39" s="52"/>
      <c r="I39" s="79">
        <f t="shared" si="73"/>
        <v>0</v>
      </c>
      <c r="J39" s="52"/>
      <c r="K39" s="90">
        <f t="shared" si="74"/>
        <v>0</v>
      </c>
      <c r="L39" s="15"/>
      <c r="M39" s="45">
        <f t="shared" ref="M39" si="81">IFERROR(L39/L$54,0%)</f>
        <v>0</v>
      </c>
      <c r="N39" s="15"/>
      <c r="O39" s="45">
        <f t="shared" ref="O39" si="82">IFERROR(N39/N$54,0%)</f>
        <v>0</v>
      </c>
      <c r="P39" s="15"/>
      <c r="Q39" s="45">
        <f t="shared" si="7"/>
        <v>0</v>
      </c>
      <c r="R39" s="15"/>
      <c r="S39" s="45">
        <f t="shared" si="8"/>
        <v>0</v>
      </c>
      <c r="T39" s="15"/>
      <c r="U39" s="45">
        <f t="shared" si="9"/>
        <v>0</v>
      </c>
    </row>
    <row r="40" spans="1:21" x14ac:dyDescent="0.25">
      <c r="A40" s="95" t="s">
        <v>106</v>
      </c>
      <c r="B40" s="50">
        <v>0</v>
      </c>
      <c r="C40" s="79">
        <f t="shared" si="70"/>
        <v>0</v>
      </c>
      <c r="D40" s="52"/>
      <c r="E40" s="79">
        <f t="shared" si="71"/>
        <v>0</v>
      </c>
      <c r="F40" s="52"/>
      <c r="G40" s="79">
        <f t="shared" si="72"/>
        <v>0</v>
      </c>
      <c r="H40" s="52"/>
      <c r="I40" s="79">
        <f t="shared" si="73"/>
        <v>0</v>
      </c>
      <c r="J40" s="52"/>
      <c r="K40" s="90">
        <f t="shared" si="74"/>
        <v>0</v>
      </c>
      <c r="L40" s="15"/>
      <c r="M40" s="45">
        <f t="shared" ref="M40" si="83">IFERROR(L40/L$54,0%)</f>
        <v>0</v>
      </c>
      <c r="N40" s="15"/>
      <c r="O40" s="45">
        <f t="shared" ref="O40" si="84">IFERROR(N40/N$54,0%)</f>
        <v>0</v>
      </c>
      <c r="P40" s="15"/>
      <c r="Q40" s="45">
        <f t="shared" si="7"/>
        <v>0</v>
      </c>
      <c r="R40" s="15"/>
      <c r="S40" s="45">
        <f t="shared" si="8"/>
        <v>0</v>
      </c>
      <c r="T40" s="15"/>
      <c r="U40" s="45">
        <f t="shared" si="9"/>
        <v>0</v>
      </c>
    </row>
    <row r="41" spans="1:21" x14ac:dyDescent="0.25">
      <c r="A41" s="95" t="s">
        <v>107</v>
      </c>
      <c r="B41" s="50">
        <v>0</v>
      </c>
      <c r="C41" s="79">
        <f t="shared" si="70"/>
        <v>0</v>
      </c>
      <c r="D41" s="52"/>
      <c r="E41" s="79">
        <f t="shared" si="71"/>
        <v>0</v>
      </c>
      <c r="F41" s="52"/>
      <c r="G41" s="79">
        <f t="shared" si="72"/>
        <v>0</v>
      </c>
      <c r="H41" s="52"/>
      <c r="I41" s="79">
        <f t="shared" si="73"/>
        <v>0</v>
      </c>
      <c r="J41" s="52"/>
      <c r="K41" s="90">
        <f t="shared" si="74"/>
        <v>0</v>
      </c>
      <c r="L41" s="15"/>
      <c r="M41" s="45">
        <f t="shared" ref="M41" si="85">IFERROR(L41/L$54,0%)</f>
        <v>0</v>
      </c>
      <c r="N41" s="15"/>
      <c r="O41" s="45">
        <f t="shared" ref="O41" si="86">IFERROR(N41/N$54,0%)</f>
        <v>0</v>
      </c>
      <c r="P41" s="15"/>
      <c r="Q41" s="45">
        <f t="shared" si="7"/>
        <v>0</v>
      </c>
      <c r="R41" s="15"/>
      <c r="S41" s="45">
        <f t="shared" si="8"/>
        <v>0</v>
      </c>
      <c r="T41" s="15"/>
      <c r="U41" s="45">
        <f t="shared" si="9"/>
        <v>0</v>
      </c>
    </row>
    <row r="42" spans="1:21" x14ac:dyDescent="0.25">
      <c r="A42" s="95" t="s">
        <v>108</v>
      </c>
      <c r="B42" s="50">
        <v>0</v>
      </c>
      <c r="C42" s="79">
        <f t="shared" si="70"/>
        <v>0</v>
      </c>
      <c r="D42" s="52"/>
      <c r="E42" s="79">
        <f t="shared" si="71"/>
        <v>0</v>
      </c>
      <c r="F42" s="52"/>
      <c r="G42" s="79">
        <f t="shared" si="72"/>
        <v>0</v>
      </c>
      <c r="H42" s="52"/>
      <c r="I42" s="79">
        <f t="shared" si="73"/>
        <v>0</v>
      </c>
      <c r="J42" s="52"/>
      <c r="K42" s="90">
        <f t="shared" si="74"/>
        <v>0</v>
      </c>
      <c r="L42" s="15"/>
      <c r="M42" s="45">
        <f t="shared" ref="M42" si="87">IFERROR(L42/L$54,0%)</f>
        <v>0</v>
      </c>
      <c r="N42" s="15"/>
      <c r="O42" s="45">
        <f t="shared" ref="O42" si="88">IFERROR(N42/N$54,0%)</f>
        <v>0</v>
      </c>
      <c r="P42" s="15"/>
      <c r="Q42" s="45">
        <f t="shared" si="7"/>
        <v>0</v>
      </c>
      <c r="R42" s="15"/>
      <c r="S42" s="45">
        <f t="shared" si="8"/>
        <v>0</v>
      </c>
      <c r="T42" s="15"/>
      <c r="U42" s="45">
        <f t="shared" si="9"/>
        <v>0</v>
      </c>
    </row>
    <row r="43" spans="1:21" x14ac:dyDescent="0.25">
      <c r="A43" s="95" t="s">
        <v>109</v>
      </c>
      <c r="B43" s="50">
        <v>0</v>
      </c>
      <c r="C43" s="79">
        <f t="shared" si="70"/>
        <v>0</v>
      </c>
      <c r="D43" s="52"/>
      <c r="E43" s="79">
        <f t="shared" si="71"/>
        <v>0</v>
      </c>
      <c r="F43" s="52"/>
      <c r="G43" s="79">
        <f t="shared" si="72"/>
        <v>0</v>
      </c>
      <c r="H43" s="52"/>
      <c r="I43" s="79">
        <f t="shared" si="73"/>
        <v>0</v>
      </c>
      <c r="J43" s="52"/>
      <c r="K43" s="90">
        <f t="shared" si="74"/>
        <v>0</v>
      </c>
      <c r="L43" s="15"/>
      <c r="M43" s="45">
        <f t="shared" ref="M43" si="89">IFERROR(L43/L$54,0%)</f>
        <v>0</v>
      </c>
      <c r="N43" s="15"/>
      <c r="O43" s="45">
        <f t="shared" ref="O43" si="90">IFERROR(N43/N$54,0%)</f>
        <v>0</v>
      </c>
      <c r="P43" s="15"/>
      <c r="Q43" s="45">
        <f t="shared" si="7"/>
        <v>0</v>
      </c>
      <c r="R43" s="15"/>
      <c r="S43" s="45">
        <f t="shared" si="8"/>
        <v>0</v>
      </c>
      <c r="T43" s="15"/>
      <c r="U43" s="45">
        <f t="shared" si="9"/>
        <v>0</v>
      </c>
    </row>
    <row r="44" spans="1:21" x14ac:dyDescent="0.25">
      <c r="A44" s="95" t="s">
        <v>110</v>
      </c>
      <c r="B44" s="50">
        <v>0</v>
      </c>
      <c r="C44" s="79">
        <f t="shared" si="70"/>
        <v>0</v>
      </c>
      <c r="D44" s="52"/>
      <c r="E44" s="79">
        <f t="shared" si="71"/>
        <v>0</v>
      </c>
      <c r="F44" s="52"/>
      <c r="G44" s="79">
        <f t="shared" si="72"/>
        <v>0</v>
      </c>
      <c r="H44" s="52"/>
      <c r="I44" s="79">
        <f t="shared" si="73"/>
        <v>0</v>
      </c>
      <c r="J44" s="52"/>
      <c r="K44" s="90">
        <f t="shared" si="74"/>
        <v>0</v>
      </c>
      <c r="L44" s="15"/>
      <c r="M44" s="45">
        <f t="shared" ref="M44" si="91">IFERROR(L44/L$54,0%)</f>
        <v>0</v>
      </c>
      <c r="N44" s="15"/>
      <c r="O44" s="45">
        <f t="shared" ref="O44" si="92">IFERROR(N44/N$54,0%)</f>
        <v>0</v>
      </c>
      <c r="P44" s="15"/>
      <c r="Q44" s="45">
        <f t="shared" si="7"/>
        <v>0</v>
      </c>
      <c r="R44" s="15"/>
      <c r="S44" s="45">
        <f t="shared" si="8"/>
        <v>0</v>
      </c>
      <c r="T44" s="15"/>
      <c r="U44" s="45">
        <f t="shared" si="9"/>
        <v>0</v>
      </c>
    </row>
    <row r="45" spans="1:21" x14ac:dyDescent="0.25">
      <c r="A45" s="95" t="s">
        <v>111</v>
      </c>
      <c r="B45" s="50">
        <v>0</v>
      </c>
      <c r="C45" s="79">
        <f t="shared" si="70"/>
        <v>0</v>
      </c>
      <c r="D45" s="52"/>
      <c r="E45" s="79">
        <f t="shared" si="71"/>
        <v>0</v>
      </c>
      <c r="F45" s="52"/>
      <c r="G45" s="79">
        <f t="shared" si="72"/>
        <v>0</v>
      </c>
      <c r="H45" s="52"/>
      <c r="I45" s="79">
        <f t="shared" si="73"/>
        <v>0</v>
      </c>
      <c r="J45" s="52"/>
      <c r="K45" s="90">
        <f t="shared" si="74"/>
        <v>0</v>
      </c>
      <c r="L45" s="15"/>
      <c r="M45" s="45">
        <f t="shared" ref="M45" si="93">IFERROR(L45/L$54,0%)</f>
        <v>0</v>
      </c>
      <c r="N45" s="15"/>
      <c r="O45" s="45">
        <f t="shared" ref="O45" si="94">IFERROR(N45/N$54,0%)</f>
        <v>0</v>
      </c>
      <c r="P45" s="15"/>
      <c r="Q45" s="45">
        <f t="shared" si="7"/>
        <v>0</v>
      </c>
      <c r="R45" s="15"/>
      <c r="S45" s="45">
        <f t="shared" si="8"/>
        <v>0</v>
      </c>
      <c r="T45" s="15"/>
      <c r="U45" s="45">
        <f t="shared" si="9"/>
        <v>0</v>
      </c>
    </row>
    <row r="46" spans="1:21" x14ac:dyDescent="0.25">
      <c r="A46" s="95" t="s">
        <v>112</v>
      </c>
      <c r="B46" s="50">
        <v>0</v>
      </c>
      <c r="C46" s="79">
        <f t="shared" si="70"/>
        <v>0</v>
      </c>
      <c r="D46" s="52"/>
      <c r="E46" s="79">
        <f t="shared" si="71"/>
        <v>0</v>
      </c>
      <c r="F46" s="52"/>
      <c r="G46" s="79">
        <f t="shared" si="72"/>
        <v>0</v>
      </c>
      <c r="H46" s="52"/>
      <c r="I46" s="79">
        <f t="shared" si="73"/>
        <v>0</v>
      </c>
      <c r="J46" s="52"/>
      <c r="K46" s="90">
        <f t="shared" si="74"/>
        <v>0</v>
      </c>
      <c r="L46" s="15"/>
      <c r="M46" s="45">
        <f t="shared" ref="M46" si="95">IFERROR(L46/L$54,0%)</f>
        <v>0</v>
      </c>
      <c r="N46" s="15"/>
      <c r="O46" s="45">
        <f t="shared" ref="O46" si="96">IFERROR(N46/N$54,0%)</f>
        <v>0</v>
      </c>
      <c r="P46" s="15"/>
      <c r="Q46" s="45">
        <f t="shared" si="7"/>
        <v>0</v>
      </c>
      <c r="R46" s="15"/>
      <c r="S46" s="45">
        <f t="shared" si="8"/>
        <v>0</v>
      </c>
      <c r="T46" s="15"/>
      <c r="U46" s="45">
        <f t="shared" si="9"/>
        <v>0</v>
      </c>
    </row>
    <row r="47" spans="1:21" x14ac:dyDescent="0.25">
      <c r="A47" s="92" t="s">
        <v>71</v>
      </c>
      <c r="B47" s="50">
        <v>8.6805555555555358E-2</v>
      </c>
      <c r="C47" s="79">
        <f t="shared" si="70"/>
        <v>0.12768130745658809</v>
      </c>
      <c r="D47" s="52"/>
      <c r="E47" s="79">
        <f t="shared" si="71"/>
        <v>0</v>
      </c>
      <c r="F47" s="52"/>
      <c r="G47" s="79">
        <f t="shared" si="72"/>
        <v>0</v>
      </c>
      <c r="H47" s="52"/>
      <c r="I47" s="79">
        <f t="shared" si="73"/>
        <v>0</v>
      </c>
      <c r="J47" s="52"/>
      <c r="K47" s="90">
        <f t="shared" si="74"/>
        <v>0</v>
      </c>
      <c r="L47" s="15"/>
      <c r="M47" s="45">
        <f t="shared" ref="M47" si="97">IFERROR(L47/L$54,0%)</f>
        <v>0</v>
      </c>
      <c r="N47" s="15"/>
      <c r="O47" s="45">
        <f t="shared" ref="O47" si="98">IFERROR(N47/N$54,0%)</f>
        <v>0</v>
      </c>
      <c r="P47" s="15"/>
      <c r="Q47" s="45">
        <f t="shared" si="7"/>
        <v>0</v>
      </c>
      <c r="R47" s="15"/>
      <c r="S47" s="45">
        <f t="shared" si="8"/>
        <v>0</v>
      </c>
      <c r="T47" s="15"/>
      <c r="U47" s="45">
        <f t="shared" si="9"/>
        <v>0</v>
      </c>
    </row>
    <row r="48" spans="1:21" x14ac:dyDescent="0.25">
      <c r="A48" s="96" t="s">
        <v>159</v>
      </c>
      <c r="B48" s="50">
        <v>0.17847222222222225</v>
      </c>
      <c r="C48" s="79">
        <f t="shared" si="70"/>
        <v>0.26251276813074576</v>
      </c>
      <c r="D48" s="52"/>
      <c r="E48" s="79">
        <f t="shared" si="71"/>
        <v>0</v>
      </c>
      <c r="F48" s="52"/>
      <c r="G48" s="79">
        <f t="shared" si="72"/>
        <v>0</v>
      </c>
      <c r="H48" s="52"/>
      <c r="I48" s="79">
        <f t="shared" si="73"/>
        <v>0</v>
      </c>
      <c r="J48" s="52"/>
      <c r="K48" s="90">
        <f t="shared" si="74"/>
        <v>0</v>
      </c>
      <c r="L48" s="15"/>
      <c r="M48" s="45">
        <f t="shared" ref="M48" si="99">IFERROR(L48/L$54,0%)</f>
        <v>0</v>
      </c>
      <c r="N48" s="15"/>
      <c r="O48" s="45">
        <f t="shared" ref="O48" si="100">IFERROR(N48/N$54,0%)</f>
        <v>0</v>
      </c>
      <c r="P48" s="15"/>
      <c r="Q48" s="45">
        <f t="shared" si="7"/>
        <v>0</v>
      </c>
      <c r="R48" s="15"/>
      <c r="S48" s="45">
        <f t="shared" si="8"/>
        <v>0</v>
      </c>
      <c r="T48" s="15"/>
      <c r="U48" s="45">
        <f t="shared" si="9"/>
        <v>0</v>
      </c>
    </row>
    <row r="49" spans="1:21" x14ac:dyDescent="0.25">
      <c r="A49" s="76" t="s">
        <v>228</v>
      </c>
      <c r="B49" s="50">
        <v>0</v>
      </c>
      <c r="C49" s="79">
        <f t="shared" si="70"/>
        <v>0</v>
      </c>
      <c r="D49" s="52"/>
      <c r="E49" s="79">
        <f t="shared" si="71"/>
        <v>0</v>
      </c>
      <c r="F49" s="52"/>
      <c r="G49" s="79">
        <f t="shared" si="72"/>
        <v>0</v>
      </c>
      <c r="H49" s="52"/>
      <c r="I49" s="79">
        <f t="shared" si="73"/>
        <v>0</v>
      </c>
      <c r="J49" s="52"/>
      <c r="K49" s="90">
        <f t="shared" si="74"/>
        <v>0</v>
      </c>
      <c r="L49" s="15"/>
      <c r="M49" s="45">
        <f t="shared" ref="M49" si="101">IFERROR(L49/L$54,0%)</f>
        <v>0</v>
      </c>
      <c r="N49" s="15"/>
      <c r="O49" s="45">
        <f t="shared" ref="O49" si="102">IFERROR(N49/N$54,0%)</f>
        <v>0</v>
      </c>
      <c r="P49" s="15"/>
      <c r="Q49" s="45">
        <f t="shared" si="7"/>
        <v>0</v>
      </c>
      <c r="R49" s="15"/>
      <c r="S49" s="45">
        <f t="shared" si="8"/>
        <v>0</v>
      </c>
      <c r="T49" s="15"/>
      <c r="U49" s="45">
        <f t="shared" si="9"/>
        <v>0</v>
      </c>
    </row>
    <row r="50" spans="1:21" x14ac:dyDescent="0.25">
      <c r="A50" s="97" t="s">
        <v>229</v>
      </c>
      <c r="B50" s="50">
        <v>6.9444444444444198E-3</v>
      </c>
      <c r="C50" s="79">
        <f t="shared" si="70"/>
        <v>1.0214504596527035E-2</v>
      </c>
      <c r="D50" s="52"/>
      <c r="E50" s="79">
        <f t="shared" si="71"/>
        <v>0</v>
      </c>
      <c r="F50" s="52"/>
      <c r="G50" s="79">
        <f t="shared" si="72"/>
        <v>0</v>
      </c>
      <c r="H50" s="52"/>
      <c r="I50" s="79">
        <f t="shared" si="73"/>
        <v>0</v>
      </c>
      <c r="J50" s="52"/>
      <c r="K50" s="90">
        <f t="shared" si="74"/>
        <v>0</v>
      </c>
      <c r="L50" s="15"/>
      <c r="M50" s="45">
        <f t="shared" ref="M50" si="103">IFERROR(L50/L$54,0%)</f>
        <v>0</v>
      </c>
      <c r="N50" s="15"/>
      <c r="O50" s="45">
        <f t="shared" ref="O50" si="104">IFERROR(N50/N$54,0%)</f>
        <v>0</v>
      </c>
      <c r="P50" s="15"/>
      <c r="Q50" s="45">
        <f t="shared" si="7"/>
        <v>0</v>
      </c>
      <c r="R50" s="15"/>
      <c r="S50" s="45">
        <f t="shared" si="8"/>
        <v>0</v>
      </c>
      <c r="T50" s="15"/>
      <c r="U50" s="45">
        <f t="shared" si="9"/>
        <v>0</v>
      </c>
    </row>
    <row r="51" spans="1:21" x14ac:dyDescent="0.25">
      <c r="A51" s="97" t="s">
        <v>230</v>
      </c>
      <c r="B51" s="50">
        <v>0</v>
      </c>
      <c r="C51" s="79">
        <f t="shared" si="70"/>
        <v>0</v>
      </c>
      <c r="D51" s="52"/>
      <c r="E51" s="79">
        <f t="shared" si="71"/>
        <v>0</v>
      </c>
      <c r="F51" s="52"/>
      <c r="G51" s="79">
        <f t="shared" si="72"/>
        <v>0</v>
      </c>
      <c r="H51" s="52"/>
      <c r="I51" s="79">
        <f t="shared" si="73"/>
        <v>0</v>
      </c>
      <c r="J51" s="52"/>
      <c r="K51" s="90">
        <f t="shared" si="74"/>
        <v>0</v>
      </c>
      <c r="L51" s="15"/>
      <c r="M51" s="45">
        <f t="shared" ref="M51" si="105">IFERROR(L51/L$54,0%)</f>
        <v>0</v>
      </c>
      <c r="N51" s="15"/>
      <c r="O51" s="45">
        <f t="shared" ref="O51" si="106">IFERROR(N51/N$54,0%)</f>
        <v>0</v>
      </c>
      <c r="P51" s="15"/>
      <c r="Q51" s="45">
        <f t="shared" si="7"/>
        <v>0</v>
      </c>
      <c r="R51" s="15"/>
      <c r="S51" s="45">
        <f t="shared" si="8"/>
        <v>0</v>
      </c>
      <c r="T51" s="15"/>
      <c r="U51" s="45">
        <f t="shared" si="9"/>
        <v>0</v>
      </c>
    </row>
    <row r="52" spans="1:21" x14ac:dyDescent="0.25">
      <c r="A52" s="35" t="s">
        <v>231</v>
      </c>
      <c r="B52" s="50">
        <v>0</v>
      </c>
      <c r="C52" s="79">
        <f t="shared" si="70"/>
        <v>0</v>
      </c>
      <c r="D52" s="52"/>
      <c r="E52" s="79">
        <f t="shared" si="71"/>
        <v>0</v>
      </c>
      <c r="F52" s="52"/>
      <c r="G52" s="79">
        <f t="shared" si="72"/>
        <v>0</v>
      </c>
      <c r="H52" s="52"/>
      <c r="I52" s="79">
        <f t="shared" si="73"/>
        <v>0</v>
      </c>
      <c r="J52" s="52"/>
      <c r="K52" s="90">
        <f t="shared" si="74"/>
        <v>0</v>
      </c>
      <c r="L52" s="15"/>
      <c r="M52" s="45">
        <f t="shared" ref="M52" si="107">IFERROR(L52/L$54,0%)</f>
        <v>0</v>
      </c>
      <c r="N52" s="15"/>
      <c r="O52" s="45">
        <f t="shared" ref="O52" si="108">IFERROR(N52/N$54,0%)</f>
        <v>0</v>
      </c>
      <c r="P52" s="15"/>
      <c r="Q52" s="45">
        <f t="shared" si="7"/>
        <v>0</v>
      </c>
      <c r="R52" s="15"/>
      <c r="S52" s="45">
        <f t="shared" si="8"/>
        <v>0</v>
      </c>
      <c r="T52" s="15"/>
      <c r="U52" s="45">
        <f t="shared" si="9"/>
        <v>0</v>
      </c>
    </row>
    <row r="53" spans="1:21" x14ac:dyDescent="0.25">
      <c r="A53" s="98" t="s">
        <v>232</v>
      </c>
      <c r="B53" s="50">
        <v>0</v>
      </c>
      <c r="C53" s="79">
        <f t="shared" si="70"/>
        <v>0</v>
      </c>
      <c r="D53" s="52"/>
      <c r="E53" s="79">
        <f t="shared" si="71"/>
        <v>0</v>
      </c>
      <c r="F53" s="52"/>
      <c r="G53" s="79">
        <f t="shared" si="72"/>
        <v>0</v>
      </c>
      <c r="H53" s="52"/>
      <c r="I53" s="79">
        <f t="shared" si="73"/>
        <v>0</v>
      </c>
      <c r="J53" s="52"/>
      <c r="K53" s="90">
        <f t="shared" si="74"/>
        <v>0</v>
      </c>
      <c r="L53" s="15"/>
      <c r="M53" s="45">
        <f t="shared" ref="M53" si="109">IFERROR(L53/L$54,0%)</f>
        <v>0</v>
      </c>
      <c r="N53" s="15"/>
      <c r="O53" s="45">
        <f t="shared" ref="O53" si="110">IFERROR(N53/N$54,0%)</f>
        <v>0</v>
      </c>
      <c r="P53" s="15"/>
      <c r="Q53" s="45">
        <f t="shared" si="7"/>
        <v>0</v>
      </c>
      <c r="R53" s="15"/>
      <c r="S53" s="45">
        <f t="shared" si="8"/>
        <v>0</v>
      </c>
      <c r="T53" s="15"/>
      <c r="U53" s="45">
        <f t="shared" si="9"/>
        <v>0</v>
      </c>
    </row>
    <row r="54" spans="1:21" ht="15.75" thickBot="1" x14ac:dyDescent="0.3">
      <c r="A54" s="92" t="s">
        <v>233</v>
      </c>
      <c r="B54" s="54">
        <v>4.1666666666665408E-3</v>
      </c>
      <c r="C54" s="88">
        <f t="shared" si="70"/>
        <v>6.1287027579160578E-3</v>
      </c>
      <c r="D54" s="56"/>
      <c r="E54" s="88">
        <f t="shared" si="71"/>
        <v>0</v>
      </c>
      <c r="F54" s="56"/>
      <c r="G54" s="88">
        <f t="shared" si="72"/>
        <v>0</v>
      </c>
      <c r="H54" s="56"/>
      <c r="I54" s="88">
        <f t="shared" si="73"/>
        <v>0</v>
      </c>
      <c r="J54" s="56"/>
      <c r="K54" s="91">
        <f t="shared" si="74"/>
        <v>0</v>
      </c>
      <c r="L54" s="43">
        <f>SUM(L4:L53)</f>
        <v>0</v>
      </c>
      <c r="N54" s="43">
        <f>SUM(N4:N53)</f>
        <v>0</v>
      </c>
      <c r="P54" s="43">
        <f>SUM(P4:P53)</f>
        <v>0</v>
      </c>
      <c r="R54" s="43">
        <f>SUM(R4:R53)</f>
        <v>0</v>
      </c>
      <c r="T54" s="43">
        <f>SUM(T4:T53)</f>
        <v>0</v>
      </c>
    </row>
    <row r="55" spans="1:21" x14ac:dyDescent="0.25">
      <c r="B55" s="77">
        <f>SUM(B4:B54)</f>
        <v>0.67986111111111092</v>
      </c>
      <c r="C55"/>
      <c r="D55" s="77">
        <f>SUM(D4:D54)</f>
        <v>0</v>
      </c>
      <c r="E55"/>
      <c r="F55" s="77">
        <f>SUM(F4:F54)</f>
        <v>0</v>
      </c>
      <c r="G55"/>
      <c r="H55" s="77">
        <f>SUM(H4:H54)</f>
        <v>0</v>
      </c>
      <c r="I55"/>
      <c r="J55" s="77">
        <f>SUM(J4:J54)</f>
        <v>0</v>
      </c>
      <c r="K55"/>
    </row>
    <row r="56" spans="1:21" x14ac:dyDescent="0.25">
      <c r="B56" s="37">
        <v>16.316666666666698</v>
      </c>
    </row>
    <row r="57" spans="1:21" x14ac:dyDescent="0.25">
      <c r="B57" s="37">
        <v>0</v>
      </c>
    </row>
    <row r="58" spans="1:21" x14ac:dyDescent="0.25">
      <c r="B58" s="37">
        <v>0</v>
      </c>
    </row>
  </sheetData>
  <mergeCells count="32">
    <mergeCell ref="H2:I2"/>
    <mergeCell ref="J2:K2"/>
    <mergeCell ref="B1:K1"/>
    <mergeCell ref="B2:C2"/>
    <mergeCell ref="D2:E2"/>
    <mergeCell ref="F2:G2"/>
    <mergeCell ref="L1:U1"/>
    <mergeCell ref="L2:M2"/>
    <mergeCell ref="N2:O2"/>
    <mergeCell ref="P2:Q2"/>
    <mergeCell ref="R2:S2"/>
    <mergeCell ref="T2:U2"/>
    <mergeCell ref="BT2:BU2"/>
    <mergeCell ref="BR2:BS2"/>
    <mergeCell ref="BP2:BQ2"/>
    <mergeCell ref="BN2:BO2"/>
    <mergeCell ref="BL2:BM2"/>
    <mergeCell ref="BJ2:BK2"/>
    <mergeCell ref="BH2:BI2"/>
    <mergeCell ref="BF2:BG2"/>
    <mergeCell ref="BD2:BE2"/>
    <mergeCell ref="BB2:BC2"/>
    <mergeCell ref="AZ2:BA2"/>
    <mergeCell ref="AX2:AY2"/>
    <mergeCell ref="AV2:AW2"/>
    <mergeCell ref="AT2:AU2"/>
    <mergeCell ref="AR2:AS2"/>
    <mergeCell ref="AP2:AQ2"/>
    <mergeCell ref="AN2:AO2"/>
    <mergeCell ref="AL2:AM2"/>
    <mergeCell ref="AJ2:AK2"/>
    <mergeCell ref="AH2:AI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Y45"/>
  <sheetViews>
    <sheetView zoomScale="85" zoomScaleNormal="85" workbookViewId="0">
      <selection activeCell="B2" sqref="B2:DB2"/>
    </sheetView>
  </sheetViews>
  <sheetFormatPr defaultRowHeight="15" x14ac:dyDescent="0.25"/>
  <cols>
    <col min="1" max="1" width="34.28515625" style="37" bestFit="1" customWidth="1"/>
    <col min="2" max="41" width="9.140625" style="37"/>
    <col min="42" max="42" width="11.7109375" style="37" customWidth="1"/>
    <col min="43" max="16384" width="9.140625" style="37"/>
  </cols>
  <sheetData>
    <row r="1" spans="1:51" ht="15.75" thickBot="1" x14ac:dyDescent="0.3">
      <c r="B1" s="73" t="s">
        <v>128</v>
      </c>
      <c r="C1" s="68"/>
      <c r="D1" s="68"/>
      <c r="E1" s="68"/>
      <c r="F1" s="68"/>
      <c r="G1" s="68"/>
      <c r="H1" s="68"/>
      <c r="I1" s="68"/>
      <c r="J1" s="68"/>
      <c r="K1" s="69"/>
      <c r="L1" s="73" t="s">
        <v>24</v>
      </c>
      <c r="M1" s="68"/>
      <c r="N1" s="68"/>
      <c r="O1" s="68"/>
      <c r="P1" s="68"/>
      <c r="Q1" s="68"/>
      <c r="R1" s="68"/>
      <c r="S1" s="68"/>
      <c r="T1" s="68"/>
      <c r="U1" s="69"/>
      <c r="V1" s="73" t="s">
        <v>28</v>
      </c>
      <c r="W1" s="68"/>
      <c r="X1" s="68"/>
      <c r="Y1" s="68"/>
      <c r="Z1" s="68"/>
      <c r="AA1" s="68"/>
      <c r="AB1" s="68"/>
      <c r="AC1" s="68"/>
      <c r="AD1" s="68"/>
      <c r="AE1" s="69"/>
      <c r="AF1" s="73" t="s">
        <v>37</v>
      </c>
      <c r="AG1" s="68"/>
      <c r="AH1" s="68"/>
      <c r="AI1" s="68"/>
      <c r="AJ1" s="68"/>
      <c r="AK1" s="68"/>
      <c r="AL1" s="68"/>
      <c r="AM1" s="68"/>
      <c r="AN1" s="68"/>
      <c r="AO1" s="69"/>
      <c r="AP1" s="73" t="s">
        <v>43</v>
      </c>
      <c r="AQ1" s="68"/>
      <c r="AR1" s="68"/>
      <c r="AS1" s="68"/>
      <c r="AT1" s="68"/>
      <c r="AU1" s="68"/>
      <c r="AV1" s="68"/>
      <c r="AW1" s="68"/>
      <c r="AX1" s="68"/>
      <c r="AY1" s="69"/>
    </row>
    <row r="2" spans="1:51" x14ac:dyDescent="0.25">
      <c r="B2" s="65">
        <f ca="1">SunDates!$H1</f>
        <v>43134</v>
      </c>
      <c r="C2" s="66"/>
      <c r="D2" s="65">
        <f ca="1">SunDates!$H2</f>
        <v>43141</v>
      </c>
      <c r="E2" s="66"/>
      <c r="F2" s="65">
        <f ca="1">SunDates!$H3</f>
        <v>43148</v>
      </c>
      <c r="G2" s="66"/>
      <c r="H2" s="65">
        <f ca="1">SunDates!$H4</f>
        <v>43155</v>
      </c>
      <c r="I2" s="66"/>
      <c r="J2" s="65">
        <f ca="1">SunDates!$H5</f>
        <v>43159</v>
      </c>
      <c r="K2" s="66"/>
      <c r="L2" s="65">
        <f ca="1">SunDates!$H1</f>
        <v>43134</v>
      </c>
      <c r="M2" s="66"/>
      <c r="N2" s="65">
        <f ca="1">SunDates!$H2</f>
        <v>43141</v>
      </c>
      <c r="O2" s="66"/>
      <c r="P2" s="65">
        <f ca="1">SunDates!$H3</f>
        <v>43148</v>
      </c>
      <c r="Q2" s="66"/>
      <c r="R2" s="65">
        <f ca="1">SunDates!$H4</f>
        <v>43155</v>
      </c>
      <c r="S2" s="66"/>
      <c r="T2" s="65">
        <f ca="1">SunDates!$H5</f>
        <v>43159</v>
      </c>
      <c r="U2" s="66"/>
      <c r="V2" s="65">
        <f ca="1">SunDates!$H1</f>
        <v>43134</v>
      </c>
      <c r="W2" s="66"/>
      <c r="X2" s="65">
        <f ca="1">SunDates!$H2</f>
        <v>43141</v>
      </c>
      <c r="Y2" s="66"/>
      <c r="Z2" s="65">
        <f ca="1">SunDates!$H3</f>
        <v>43148</v>
      </c>
      <c r="AA2" s="66"/>
      <c r="AB2" s="65">
        <f ca="1">SunDates!$H4</f>
        <v>43155</v>
      </c>
      <c r="AC2" s="66"/>
      <c r="AD2" s="65">
        <f ca="1">SunDates!$H5</f>
        <v>43159</v>
      </c>
      <c r="AE2" s="66"/>
      <c r="AF2" s="65">
        <f ca="1">SunDates!$H1</f>
        <v>43134</v>
      </c>
      <c r="AG2" s="66"/>
      <c r="AH2" s="65">
        <f ca="1">SunDates!$H2</f>
        <v>43141</v>
      </c>
      <c r="AI2" s="66"/>
      <c r="AJ2" s="65">
        <f ca="1">SunDates!$H3</f>
        <v>43148</v>
      </c>
      <c r="AK2" s="66"/>
      <c r="AL2" s="65">
        <f ca="1">SunDates!$H4</f>
        <v>43155</v>
      </c>
      <c r="AM2" s="66"/>
      <c r="AN2" s="65">
        <f ca="1">SunDates!$H5</f>
        <v>43159</v>
      </c>
      <c r="AO2" s="66"/>
      <c r="AP2" s="65">
        <f ca="1">SunDates!$H1</f>
        <v>43134</v>
      </c>
      <c r="AQ2" s="66"/>
      <c r="AR2" s="65">
        <f ca="1">SunDates!$H2</f>
        <v>43141</v>
      </c>
      <c r="AS2" s="66"/>
      <c r="AT2" s="65">
        <f ca="1">SunDates!$H3</f>
        <v>43148</v>
      </c>
      <c r="AU2" s="66"/>
      <c r="AV2" s="65">
        <f ca="1">SunDates!$H4</f>
        <v>43155</v>
      </c>
      <c r="AW2" s="66"/>
      <c r="AX2" s="65">
        <f ca="1">SunDates!$H5</f>
        <v>43159</v>
      </c>
      <c r="AY2" s="66"/>
    </row>
    <row r="3" spans="1:51" ht="15.75" thickBot="1" x14ac:dyDescent="0.3">
      <c r="B3" s="85" t="s">
        <v>169</v>
      </c>
      <c r="C3" s="86" t="s">
        <v>170</v>
      </c>
      <c r="D3" s="86" t="s">
        <v>169</v>
      </c>
      <c r="E3" s="86" t="s">
        <v>170</v>
      </c>
      <c r="F3" s="86" t="s">
        <v>169</v>
      </c>
      <c r="G3" s="86" t="s">
        <v>170</v>
      </c>
      <c r="H3" s="86" t="s">
        <v>169</v>
      </c>
      <c r="I3" s="86" t="s">
        <v>170</v>
      </c>
      <c r="J3" s="86" t="s">
        <v>169</v>
      </c>
      <c r="K3" s="87" t="s">
        <v>170</v>
      </c>
      <c r="L3" s="40" t="s">
        <v>169</v>
      </c>
      <c r="M3" s="41" t="s">
        <v>170</v>
      </c>
      <c r="N3" s="41" t="s">
        <v>169</v>
      </c>
      <c r="O3" s="41" t="s">
        <v>170</v>
      </c>
      <c r="P3" s="41" t="s">
        <v>169</v>
      </c>
      <c r="Q3" s="41" t="s">
        <v>170</v>
      </c>
      <c r="R3" s="41" t="s">
        <v>169</v>
      </c>
      <c r="S3" s="41" t="s">
        <v>170</v>
      </c>
      <c r="T3" s="41" t="s">
        <v>169</v>
      </c>
      <c r="U3" s="42" t="s">
        <v>170</v>
      </c>
      <c r="V3" s="40" t="s">
        <v>169</v>
      </c>
      <c r="W3" s="41" t="s">
        <v>170</v>
      </c>
      <c r="X3" s="41" t="s">
        <v>169</v>
      </c>
      <c r="Y3" s="41" t="s">
        <v>170</v>
      </c>
      <c r="Z3" s="41" t="s">
        <v>169</v>
      </c>
      <c r="AA3" s="41" t="s">
        <v>170</v>
      </c>
      <c r="AB3" s="41" t="s">
        <v>169</v>
      </c>
      <c r="AC3" s="41" t="s">
        <v>170</v>
      </c>
      <c r="AD3" s="41" t="s">
        <v>169</v>
      </c>
      <c r="AE3" s="42" t="s">
        <v>170</v>
      </c>
      <c r="AF3" s="85" t="s">
        <v>169</v>
      </c>
      <c r="AG3" s="86" t="s">
        <v>170</v>
      </c>
      <c r="AH3" s="86" t="s">
        <v>169</v>
      </c>
      <c r="AI3" s="86" t="s">
        <v>170</v>
      </c>
      <c r="AJ3" s="86" t="s">
        <v>169</v>
      </c>
      <c r="AK3" s="86" t="s">
        <v>170</v>
      </c>
      <c r="AL3" s="86" t="s">
        <v>169</v>
      </c>
      <c r="AM3" s="86" t="s">
        <v>170</v>
      </c>
      <c r="AN3" s="86" t="s">
        <v>169</v>
      </c>
      <c r="AO3" s="87" t="s">
        <v>170</v>
      </c>
      <c r="AP3" s="85" t="s">
        <v>169</v>
      </c>
      <c r="AQ3" s="86" t="s">
        <v>170</v>
      </c>
      <c r="AR3" s="86" t="s">
        <v>169</v>
      </c>
      <c r="AS3" s="86" t="s">
        <v>170</v>
      </c>
      <c r="AT3" s="86" t="s">
        <v>169</v>
      </c>
      <c r="AU3" s="86" t="s">
        <v>170</v>
      </c>
      <c r="AV3" s="86" t="s">
        <v>169</v>
      </c>
      <c r="AW3" s="86" t="s">
        <v>170</v>
      </c>
      <c r="AX3" s="86" t="s">
        <v>169</v>
      </c>
      <c r="AY3" s="87" t="s">
        <v>170</v>
      </c>
    </row>
    <row r="4" spans="1:51" x14ac:dyDescent="0.25">
      <c r="A4" s="25" t="s">
        <v>223</v>
      </c>
      <c r="B4" s="46">
        <v>0</v>
      </c>
      <c r="C4" s="78">
        <f t="shared" ref="C4:C42" si="0">IFERROR(B4/$B$43,0)</f>
        <v>0</v>
      </c>
      <c r="D4" s="48"/>
      <c r="E4" s="78">
        <f t="shared" ref="E4:E42" si="1">IFERROR(D4/$B$43,0)</f>
        <v>0</v>
      </c>
      <c r="F4" s="48"/>
      <c r="G4" s="78">
        <f t="shared" ref="G4:G42" si="2">IFERROR(F4/$B$43,0)</f>
        <v>0</v>
      </c>
      <c r="H4" s="48"/>
      <c r="I4" s="78">
        <f t="shared" ref="I4:I42" si="3">IFERROR(H4/$B$43,0)</f>
        <v>0</v>
      </c>
      <c r="J4" s="48"/>
      <c r="K4" s="89">
        <f t="shared" ref="K4:K42" si="4">IFERROR(J4/$B$43,0)</f>
        <v>0</v>
      </c>
      <c r="L4" s="48"/>
      <c r="M4" s="47">
        <f t="shared" ref="M4:AC38" si="5">IFERROR(L4/L$39,0%)</f>
        <v>0</v>
      </c>
      <c r="N4" s="48"/>
      <c r="O4" s="47">
        <f t="shared" ref="O4:O38" si="6">IFERROR(N4/N$39,0%)</f>
        <v>0</v>
      </c>
      <c r="P4" s="48"/>
      <c r="Q4" s="47">
        <f t="shared" ref="Q4:Q38" si="7">IFERROR(P4/P$39,0%)</f>
        <v>0</v>
      </c>
      <c r="R4" s="48"/>
      <c r="S4" s="47">
        <f t="shared" ref="S4:S38" si="8">IFERROR(R4/R$39,0%)</f>
        <v>0</v>
      </c>
      <c r="T4" s="48"/>
      <c r="U4" s="49">
        <f t="shared" ref="U4:U38" si="9">IFERROR(T4/T$39,0%)</f>
        <v>0</v>
      </c>
      <c r="V4" s="46"/>
      <c r="W4" s="47">
        <f t="shared" ref="W4:W38" si="10">IFERROR(V4/V$39,0%)</f>
        <v>0</v>
      </c>
      <c r="X4" s="48"/>
      <c r="Y4" s="47">
        <f t="shared" ref="Y4:Y38" si="11">IFERROR(X4/X$39,0%)</f>
        <v>0</v>
      </c>
      <c r="Z4" s="48"/>
      <c r="AA4" s="47">
        <f t="shared" ref="AA4:AA38" si="12">IFERROR(Z4/Z$39,0%)</f>
        <v>0</v>
      </c>
      <c r="AB4" s="48"/>
      <c r="AC4" s="47">
        <f t="shared" ref="AC4:AC38" si="13">IFERROR(AB4/AB$39,0%)</f>
        <v>0</v>
      </c>
      <c r="AD4" s="48"/>
      <c r="AE4" s="47">
        <f t="shared" ref="AE4:AE38" si="14">IFERROR(AD4/AD$39,0%)</f>
        <v>0</v>
      </c>
      <c r="AF4" s="46">
        <v>0</v>
      </c>
      <c r="AG4" s="78">
        <f t="shared" ref="AG4:AG42" si="15">IFERROR(AF4/$AF$43,0)</f>
        <v>0</v>
      </c>
      <c r="AH4" s="48"/>
      <c r="AI4" s="78">
        <f t="shared" ref="AI4:AI42" si="16">IFERROR(AH4/$AF$43,0)</f>
        <v>0</v>
      </c>
      <c r="AJ4" s="48"/>
      <c r="AK4" s="78">
        <f t="shared" ref="AK4:AK42" si="17">IFERROR(AJ4/$AF$43,0)</f>
        <v>0</v>
      </c>
      <c r="AL4" s="48"/>
      <c r="AM4" s="78">
        <f t="shared" ref="AM4:AM42" si="18">IFERROR(AL4/$AF$43,0)</f>
        <v>0</v>
      </c>
      <c r="AN4" s="48"/>
      <c r="AO4" s="78">
        <f t="shared" ref="AO4:AO42" si="19">IFERROR(AN4/$AF$43,0)</f>
        <v>0</v>
      </c>
      <c r="AP4" s="46">
        <v>0</v>
      </c>
      <c r="AQ4" s="78">
        <f t="shared" ref="AQ4:AQ42" si="20">IFERROR(AP4/$AP$43,0)</f>
        <v>0</v>
      </c>
      <c r="AR4" s="48"/>
      <c r="AS4" s="78">
        <f t="shared" ref="AS4:AS42" si="21">IFERROR(AR4/$AP$43,0)</f>
        <v>0</v>
      </c>
      <c r="AT4" s="48"/>
      <c r="AU4" s="78">
        <f t="shared" ref="AU4:AU42" si="22">IFERROR(AT4/$AP$43,0)</f>
        <v>0</v>
      </c>
      <c r="AV4" s="48"/>
      <c r="AW4" s="78">
        <f t="shared" ref="AW4:AW42" si="23">IFERROR(AV4/$AP$43,0)</f>
        <v>0</v>
      </c>
      <c r="AX4" s="48"/>
      <c r="AY4" s="89">
        <f t="shared" ref="AY4:AY42" si="24">IFERROR(AX4/$AP$43,0)</f>
        <v>0</v>
      </c>
    </row>
    <row r="5" spans="1:51" x14ac:dyDescent="0.25">
      <c r="A5" s="75" t="s">
        <v>224</v>
      </c>
      <c r="B5" s="50">
        <v>0</v>
      </c>
      <c r="C5" s="79">
        <f t="shared" si="0"/>
        <v>0</v>
      </c>
      <c r="D5" s="52"/>
      <c r="E5" s="79">
        <f t="shared" si="1"/>
        <v>0</v>
      </c>
      <c r="F5" s="52"/>
      <c r="G5" s="79">
        <f t="shared" si="2"/>
        <v>0</v>
      </c>
      <c r="H5" s="52"/>
      <c r="I5" s="79">
        <f t="shared" si="3"/>
        <v>0</v>
      </c>
      <c r="J5" s="52"/>
      <c r="K5" s="90">
        <f t="shared" si="4"/>
        <v>0</v>
      </c>
      <c r="L5" s="52"/>
      <c r="M5" s="51">
        <f t="shared" si="5"/>
        <v>0</v>
      </c>
      <c r="N5" s="52"/>
      <c r="O5" s="51">
        <f t="shared" si="6"/>
        <v>0</v>
      </c>
      <c r="P5" s="52"/>
      <c r="Q5" s="51">
        <f t="shared" si="7"/>
        <v>0</v>
      </c>
      <c r="R5" s="52"/>
      <c r="S5" s="51">
        <f t="shared" si="8"/>
        <v>0</v>
      </c>
      <c r="T5" s="52"/>
      <c r="U5" s="53">
        <f t="shared" si="9"/>
        <v>0</v>
      </c>
      <c r="V5" s="50"/>
      <c r="W5" s="51">
        <f t="shared" si="10"/>
        <v>0</v>
      </c>
      <c r="X5" s="52"/>
      <c r="Y5" s="51">
        <f t="shared" si="11"/>
        <v>0</v>
      </c>
      <c r="Z5" s="52"/>
      <c r="AA5" s="51">
        <f t="shared" si="12"/>
        <v>0</v>
      </c>
      <c r="AB5" s="52"/>
      <c r="AC5" s="51">
        <f t="shared" si="13"/>
        <v>0</v>
      </c>
      <c r="AD5" s="52"/>
      <c r="AE5" s="51">
        <f t="shared" si="14"/>
        <v>0</v>
      </c>
      <c r="AF5" s="50">
        <v>0</v>
      </c>
      <c r="AG5" s="79">
        <f t="shared" si="15"/>
        <v>0</v>
      </c>
      <c r="AH5" s="52"/>
      <c r="AI5" s="79">
        <f t="shared" si="16"/>
        <v>0</v>
      </c>
      <c r="AJ5" s="52"/>
      <c r="AK5" s="79">
        <f t="shared" si="17"/>
        <v>0</v>
      </c>
      <c r="AL5" s="52"/>
      <c r="AM5" s="79">
        <f t="shared" si="18"/>
        <v>0</v>
      </c>
      <c r="AN5" s="52"/>
      <c r="AO5" s="79">
        <f t="shared" si="19"/>
        <v>0</v>
      </c>
      <c r="AP5" s="50">
        <v>0</v>
      </c>
      <c r="AQ5" s="79">
        <f t="shared" si="20"/>
        <v>0</v>
      </c>
      <c r="AR5" s="52"/>
      <c r="AS5" s="79">
        <f t="shared" si="21"/>
        <v>0</v>
      </c>
      <c r="AT5" s="52"/>
      <c r="AU5" s="79">
        <f t="shared" si="22"/>
        <v>0</v>
      </c>
      <c r="AV5" s="52"/>
      <c r="AW5" s="79">
        <f t="shared" si="23"/>
        <v>0</v>
      </c>
      <c r="AX5" s="52"/>
      <c r="AY5" s="90">
        <f t="shared" si="24"/>
        <v>0</v>
      </c>
    </row>
    <row r="6" spans="1:51" x14ac:dyDescent="0.25">
      <c r="A6" s="75" t="s">
        <v>225</v>
      </c>
      <c r="B6" s="50">
        <v>0</v>
      </c>
      <c r="C6" s="79">
        <f t="shared" si="0"/>
        <v>0</v>
      </c>
      <c r="D6" s="52"/>
      <c r="E6" s="79">
        <f t="shared" si="1"/>
        <v>0</v>
      </c>
      <c r="F6" s="52"/>
      <c r="G6" s="79">
        <f t="shared" si="2"/>
        <v>0</v>
      </c>
      <c r="H6" s="52"/>
      <c r="I6" s="79">
        <f t="shared" si="3"/>
        <v>0</v>
      </c>
      <c r="J6" s="52"/>
      <c r="K6" s="90">
        <f t="shared" si="4"/>
        <v>0</v>
      </c>
      <c r="L6" s="52"/>
      <c r="M6" s="51">
        <f t="shared" si="5"/>
        <v>0</v>
      </c>
      <c r="N6" s="52"/>
      <c r="O6" s="51">
        <f t="shared" si="6"/>
        <v>0</v>
      </c>
      <c r="P6" s="52"/>
      <c r="Q6" s="51">
        <f t="shared" si="7"/>
        <v>0</v>
      </c>
      <c r="R6" s="52"/>
      <c r="S6" s="51">
        <f t="shared" si="8"/>
        <v>0</v>
      </c>
      <c r="T6" s="52"/>
      <c r="U6" s="53">
        <f t="shared" si="9"/>
        <v>0</v>
      </c>
      <c r="V6" s="50"/>
      <c r="W6" s="51">
        <f t="shared" si="10"/>
        <v>0</v>
      </c>
      <c r="X6" s="52"/>
      <c r="Y6" s="51">
        <f t="shared" si="11"/>
        <v>0</v>
      </c>
      <c r="Z6" s="52"/>
      <c r="AA6" s="51">
        <f t="shared" si="12"/>
        <v>0</v>
      </c>
      <c r="AB6" s="52"/>
      <c r="AC6" s="51">
        <f t="shared" si="13"/>
        <v>0</v>
      </c>
      <c r="AD6" s="52"/>
      <c r="AE6" s="51">
        <f t="shared" si="14"/>
        <v>0</v>
      </c>
      <c r="AF6" s="50">
        <v>0</v>
      </c>
      <c r="AG6" s="79">
        <f t="shared" si="15"/>
        <v>0</v>
      </c>
      <c r="AH6" s="52"/>
      <c r="AI6" s="79">
        <f t="shared" si="16"/>
        <v>0</v>
      </c>
      <c r="AJ6" s="52"/>
      <c r="AK6" s="79">
        <f t="shared" si="17"/>
        <v>0</v>
      </c>
      <c r="AL6" s="52"/>
      <c r="AM6" s="79">
        <f t="shared" si="18"/>
        <v>0</v>
      </c>
      <c r="AN6" s="52"/>
      <c r="AO6" s="79">
        <f t="shared" si="19"/>
        <v>0</v>
      </c>
      <c r="AP6" s="50">
        <v>0</v>
      </c>
      <c r="AQ6" s="79">
        <f t="shared" si="20"/>
        <v>0</v>
      </c>
      <c r="AR6" s="52"/>
      <c r="AS6" s="79">
        <f t="shared" si="21"/>
        <v>0</v>
      </c>
      <c r="AT6" s="52"/>
      <c r="AU6" s="79">
        <f t="shared" si="22"/>
        <v>0</v>
      </c>
      <c r="AV6" s="52"/>
      <c r="AW6" s="79">
        <f t="shared" si="23"/>
        <v>0</v>
      </c>
      <c r="AX6" s="52"/>
      <c r="AY6" s="90">
        <f t="shared" si="24"/>
        <v>0</v>
      </c>
    </row>
    <row r="7" spans="1:51" x14ac:dyDescent="0.25">
      <c r="A7" s="75" t="s">
        <v>226</v>
      </c>
      <c r="B7" s="50">
        <v>0</v>
      </c>
      <c r="C7" s="79">
        <f t="shared" si="0"/>
        <v>0</v>
      </c>
      <c r="D7" s="52"/>
      <c r="E7" s="79">
        <f t="shared" si="1"/>
        <v>0</v>
      </c>
      <c r="F7" s="52"/>
      <c r="G7" s="79">
        <f t="shared" si="2"/>
        <v>0</v>
      </c>
      <c r="H7" s="52"/>
      <c r="I7" s="79">
        <f t="shared" si="3"/>
        <v>0</v>
      </c>
      <c r="J7" s="52"/>
      <c r="K7" s="90">
        <f t="shared" si="4"/>
        <v>0</v>
      </c>
      <c r="L7" s="52"/>
      <c r="M7" s="51">
        <f t="shared" si="5"/>
        <v>0</v>
      </c>
      <c r="N7" s="52"/>
      <c r="O7" s="51">
        <f t="shared" si="6"/>
        <v>0</v>
      </c>
      <c r="P7" s="52"/>
      <c r="Q7" s="51">
        <f t="shared" si="7"/>
        <v>0</v>
      </c>
      <c r="R7" s="52"/>
      <c r="S7" s="51">
        <f t="shared" si="8"/>
        <v>0</v>
      </c>
      <c r="T7" s="52"/>
      <c r="U7" s="53">
        <f t="shared" si="9"/>
        <v>0</v>
      </c>
      <c r="V7" s="50"/>
      <c r="W7" s="51">
        <f t="shared" si="10"/>
        <v>0</v>
      </c>
      <c r="X7" s="52"/>
      <c r="Y7" s="51">
        <f t="shared" si="11"/>
        <v>0</v>
      </c>
      <c r="Z7" s="52"/>
      <c r="AA7" s="51">
        <f t="shared" si="12"/>
        <v>0</v>
      </c>
      <c r="AB7" s="52"/>
      <c r="AC7" s="51">
        <f t="shared" si="13"/>
        <v>0</v>
      </c>
      <c r="AD7" s="52"/>
      <c r="AE7" s="51">
        <f t="shared" si="14"/>
        <v>0</v>
      </c>
      <c r="AF7" s="50">
        <v>0</v>
      </c>
      <c r="AG7" s="79">
        <f t="shared" si="15"/>
        <v>0</v>
      </c>
      <c r="AH7" s="52"/>
      <c r="AI7" s="79">
        <f t="shared" si="16"/>
        <v>0</v>
      </c>
      <c r="AJ7" s="52"/>
      <c r="AK7" s="79">
        <f t="shared" si="17"/>
        <v>0</v>
      </c>
      <c r="AL7" s="52"/>
      <c r="AM7" s="79">
        <f t="shared" si="18"/>
        <v>0</v>
      </c>
      <c r="AN7" s="52"/>
      <c r="AO7" s="79">
        <f t="shared" si="19"/>
        <v>0</v>
      </c>
      <c r="AP7" s="50">
        <v>0</v>
      </c>
      <c r="AQ7" s="79">
        <f t="shared" si="20"/>
        <v>0</v>
      </c>
      <c r="AR7" s="52"/>
      <c r="AS7" s="79">
        <f t="shared" si="21"/>
        <v>0</v>
      </c>
      <c r="AT7" s="52"/>
      <c r="AU7" s="79">
        <f t="shared" si="22"/>
        <v>0</v>
      </c>
      <c r="AV7" s="52"/>
      <c r="AW7" s="79">
        <f t="shared" si="23"/>
        <v>0</v>
      </c>
      <c r="AX7" s="52"/>
      <c r="AY7" s="90">
        <f t="shared" si="24"/>
        <v>0</v>
      </c>
    </row>
    <row r="8" spans="1:51" x14ac:dyDescent="0.25">
      <c r="A8" s="26" t="s">
        <v>63</v>
      </c>
      <c r="B8" s="50">
        <v>0</v>
      </c>
      <c r="C8" s="79">
        <f t="shared" si="0"/>
        <v>0</v>
      </c>
      <c r="D8" s="52"/>
      <c r="E8" s="79">
        <f t="shared" si="1"/>
        <v>0</v>
      </c>
      <c r="F8" s="52"/>
      <c r="G8" s="79">
        <f t="shared" si="2"/>
        <v>0</v>
      </c>
      <c r="H8" s="52"/>
      <c r="I8" s="79">
        <f t="shared" si="3"/>
        <v>0</v>
      </c>
      <c r="J8" s="52"/>
      <c r="K8" s="90">
        <f t="shared" si="4"/>
        <v>0</v>
      </c>
      <c r="L8" s="52"/>
      <c r="M8" s="51">
        <f t="shared" si="5"/>
        <v>0</v>
      </c>
      <c r="N8" s="52"/>
      <c r="O8" s="51">
        <f t="shared" si="6"/>
        <v>0</v>
      </c>
      <c r="P8" s="52"/>
      <c r="Q8" s="51">
        <f t="shared" si="7"/>
        <v>0</v>
      </c>
      <c r="R8" s="52"/>
      <c r="S8" s="51">
        <f t="shared" si="8"/>
        <v>0</v>
      </c>
      <c r="T8" s="52"/>
      <c r="U8" s="53">
        <f t="shared" si="9"/>
        <v>0</v>
      </c>
      <c r="V8" s="50"/>
      <c r="W8" s="51">
        <f t="shared" si="10"/>
        <v>0</v>
      </c>
      <c r="X8" s="52"/>
      <c r="Y8" s="51">
        <f t="shared" si="11"/>
        <v>0</v>
      </c>
      <c r="Z8" s="52"/>
      <c r="AA8" s="51">
        <f t="shared" si="12"/>
        <v>0</v>
      </c>
      <c r="AB8" s="52"/>
      <c r="AC8" s="51">
        <f t="shared" si="13"/>
        <v>0</v>
      </c>
      <c r="AD8" s="52"/>
      <c r="AE8" s="51">
        <f t="shared" si="14"/>
        <v>0</v>
      </c>
      <c r="AF8" s="50">
        <v>6.9444444444444475E-3</v>
      </c>
      <c r="AG8" s="79">
        <f t="shared" si="15"/>
        <v>1.5479876160990726E-2</v>
      </c>
      <c r="AH8" s="52"/>
      <c r="AI8" s="79">
        <f t="shared" si="16"/>
        <v>0</v>
      </c>
      <c r="AJ8" s="52"/>
      <c r="AK8" s="79">
        <f t="shared" si="17"/>
        <v>0</v>
      </c>
      <c r="AL8" s="52"/>
      <c r="AM8" s="79">
        <f t="shared" si="18"/>
        <v>0</v>
      </c>
      <c r="AN8" s="52"/>
      <c r="AO8" s="79">
        <f t="shared" si="19"/>
        <v>0</v>
      </c>
      <c r="AP8" s="50">
        <v>0</v>
      </c>
      <c r="AQ8" s="79">
        <f t="shared" si="20"/>
        <v>0</v>
      </c>
      <c r="AR8" s="52"/>
      <c r="AS8" s="79">
        <f t="shared" si="21"/>
        <v>0</v>
      </c>
      <c r="AT8" s="52"/>
      <c r="AU8" s="79">
        <f t="shared" si="22"/>
        <v>0</v>
      </c>
      <c r="AV8" s="52"/>
      <c r="AW8" s="79">
        <f t="shared" si="23"/>
        <v>0</v>
      </c>
      <c r="AX8" s="52"/>
      <c r="AY8" s="90">
        <f t="shared" si="24"/>
        <v>0</v>
      </c>
    </row>
    <row r="9" spans="1:51" x14ac:dyDescent="0.25">
      <c r="A9" s="26" t="s">
        <v>64</v>
      </c>
      <c r="B9" s="50">
        <v>0</v>
      </c>
      <c r="C9" s="79">
        <f t="shared" si="0"/>
        <v>0</v>
      </c>
      <c r="D9" s="52"/>
      <c r="E9" s="79">
        <f t="shared" si="1"/>
        <v>0</v>
      </c>
      <c r="F9" s="52"/>
      <c r="G9" s="79">
        <f t="shared" si="2"/>
        <v>0</v>
      </c>
      <c r="H9" s="52"/>
      <c r="I9" s="79">
        <f t="shared" si="3"/>
        <v>0</v>
      </c>
      <c r="J9" s="52"/>
      <c r="K9" s="90">
        <f t="shared" si="4"/>
        <v>0</v>
      </c>
      <c r="L9" s="52"/>
      <c r="M9" s="51">
        <f t="shared" si="5"/>
        <v>0</v>
      </c>
      <c r="N9" s="52"/>
      <c r="O9" s="51">
        <f t="shared" si="6"/>
        <v>0</v>
      </c>
      <c r="P9" s="52"/>
      <c r="Q9" s="51">
        <f t="shared" si="7"/>
        <v>0</v>
      </c>
      <c r="R9" s="52"/>
      <c r="S9" s="51">
        <f t="shared" si="8"/>
        <v>0</v>
      </c>
      <c r="T9" s="52"/>
      <c r="U9" s="53">
        <f t="shared" si="9"/>
        <v>0</v>
      </c>
      <c r="V9" s="50"/>
      <c r="W9" s="51">
        <f t="shared" si="10"/>
        <v>0</v>
      </c>
      <c r="X9" s="52"/>
      <c r="Y9" s="51">
        <f t="shared" si="11"/>
        <v>0</v>
      </c>
      <c r="Z9" s="52"/>
      <c r="AA9" s="51">
        <f t="shared" si="12"/>
        <v>0</v>
      </c>
      <c r="AB9" s="52"/>
      <c r="AC9" s="51">
        <f t="shared" si="13"/>
        <v>0</v>
      </c>
      <c r="AD9" s="52"/>
      <c r="AE9" s="51">
        <f t="shared" si="14"/>
        <v>0</v>
      </c>
      <c r="AF9" s="50">
        <v>0</v>
      </c>
      <c r="AG9" s="79">
        <f t="shared" si="15"/>
        <v>0</v>
      </c>
      <c r="AH9" s="52"/>
      <c r="AI9" s="79">
        <f t="shared" si="16"/>
        <v>0</v>
      </c>
      <c r="AJ9" s="52"/>
      <c r="AK9" s="79">
        <f t="shared" si="17"/>
        <v>0</v>
      </c>
      <c r="AL9" s="52"/>
      <c r="AM9" s="79">
        <f t="shared" si="18"/>
        <v>0</v>
      </c>
      <c r="AN9" s="52"/>
      <c r="AO9" s="79">
        <f t="shared" si="19"/>
        <v>0</v>
      </c>
      <c r="AP9" s="50">
        <v>0</v>
      </c>
      <c r="AQ9" s="79">
        <f t="shared" si="20"/>
        <v>0</v>
      </c>
      <c r="AR9" s="52"/>
      <c r="AS9" s="79">
        <f t="shared" si="21"/>
        <v>0</v>
      </c>
      <c r="AT9" s="52"/>
      <c r="AU9" s="79">
        <f t="shared" si="22"/>
        <v>0</v>
      </c>
      <c r="AV9" s="52"/>
      <c r="AW9" s="79">
        <f t="shared" si="23"/>
        <v>0</v>
      </c>
      <c r="AX9" s="52"/>
      <c r="AY9" s="90">
        <f t="shared" si="24"/>
        <v>0</v>
      </c>
    </row>
    <row r="10" spans="1:51" x14ac:dyDescent="0.25">
      <c r="A10" s="26" t="s">
        <v>65</v>
      </c>
      <c r="B10" s="50">
        <v>0</v>
      </c>
      <c r="C10" s="79">
        <f t="shared" si="0"/>
        <v>0</v>
      </c>
      <c r="D10" s="52"/>
      <c r="E10" s="79">
        <f t="shared" si="1"/>
        <v>0</v>
      </c>
      <c r="F10" s="52"/>
      <c r="G10" s="79">
        <f t="shared" si="2"/>
        <v>0</v>
      </c>
      <c r="H10" s="52"/>
      <c r="I10" s="79">
        <f t="shared" si="3"/>
        <v>0</v>
      </c>
      <c r="J10" s="52"/>
      <c r="K10" s="90">
        <f t="shared" si="4"/>
        <v>0</v>
      </c>
      <c r="L10" s="52"/>
      <c r="M10" s="51">
        <f t="shared" si="5"/>
        <v>0</v>
      </c>
      <c r="N10" s="52"/>
      <c r="O10" s="51">
        <f t="shared" si="6"/>
        <v>0</v>
      </c>
      <c r="P10" s="52"/>
      <c r="Q10" s="51">
        <f t="shared" si="7"/>
        <v>0</v>
      </c>
      <c r="R10" s="52"/>
      <c r="S10" s="51">
        <f t="shared" si="8"/>
        <v>0</v>
      </c>
      <c r="T10" s="52"/>
      <c r="U10" s="53">
        <f t="shared" si="9"/>
        <v>0</v>
      </c>
      <c r="V10" s="50"/>
      <c r="W10" s="51">
        <f t="shared" si="10"/>
        <v>0</v>
      </c>
      <c r="X10" s="52"/>
      <c r="Y10" s="51">
        <f t="shared" si="11"/>
        <v>0</v>
      </c>
      <c r="Z10" s="52"/>
      <c r="AA10" s="51">
        <f t="shared" si="12"/>
        <v>0</v>
      </c>
      <c r="AB10" s="52"/>
      <c r="AC10" s="51">
        <f t="shared" si="13"/>
        <v>0</v>
      </c>
      <c r="AD10" s="52"/>
      <c r="AE10" s="51">
        <f t="shared" si="14"/>
        <v>0</v>
      </c>
      <c r="AF10" s="50">
        <v>0</v>
      </c>
      <c r="AG10" s="79">
        <f t="shared" si="15"/>
        <v>0</v>
      </c>
      <c r="AH10" s="52"/>
      <c r="AI10" s="79">
        <f t="shared" si="16"/>
        <v>0</v>
      </c>
      <c r="AJ10" s="52"/>
      <c r="AK10" s="79">
        <f t="shared" si="17"/>
        <v>0</v>
      </c>
      <c r="AL10" s="52"/>
      <c r="AM10" s="79">
        <f t="shared" si="18"/>
        <v>0</v>
      </c>
      <c r="AN10" s="52"/>
      <c r="AO10" s="79">
        <f t="shared" si="19"/>
        <v>0</v>
      </c>
      <c r="AP10" s="50">
        <v>0</v>
      </c>
      <c r="AQ10" s="79">
        <f t="shared" si="20"/>
        <v>0</v>
      </c>
      <c r="AR10" s="52"/>
      <c r="AS10" s="79">
        <f t="shared" si="21"/>
        <v>0</v>
      </c>
      <c r="AT10" s="52"/>
      <c r="AU10" s="79">
        <f t="shared" si="22"/>
        <v>0</v>
      </c>
      <c r="AV10" s="52"/>
      <c r="AW10" s="79">
        <f t="shared" si="23"/>
        <v>0</v>
      </c>
      <c r="AX10" s="52"/>
      <c r="AY10" s="90">
        <f t="shared" si="24"/>
        <v>0</v>
      </c>
    </row>
    <row r="11" spans="1:51" x14ac:dyDescent="0.25">
      <c r="A11" s="26" t="s">
        <v>66</v>
      </c>
      <c r="B11" s="50">
        <v>0</v>
      </c>
      <c r="C11" s="79">
        <f t="shared" si="0"/>
        <v>0</v>
      </c>
      <c r="D11" s="52"/>
      <c r="E11" s="79">
        <f t="shared" si="1"/>
        <v>0</v>
      </c>
      <c r="F11" s="52"/>
      <c r="G11" s="79">
        <f t="shared" si="2"/>
        <v>0</v>
      </c>
      <c r="H11" s="52"/>
      <c r="I11" s="79">
        <f t="shared" si="3"/>
        <v>0</v>
      </c>
      <c r="J11" s="52"/>
      <c r="K11" s="90">
        <f t="shared" si="4"/>
        <v>0</v>
      </c>
      <c r="L11" s="52"/>
      <c r="M11" s="51">
        <f t="shared" si="5"/>
        <v>0</v>
      </c>
      <c r="N11" s="52"/>
      <c r="O11" s="51">
        <f t="shared" si="6"/>
        <v>0</v>
      </c>
      <c r="P11" s="52"/>
      <c r="Q11" s="51">
        <f t="shared" si="7"/>
        <v>0</v>
      </c>
      <c r="R11" s="52"/>
      <c r="S11" s="51">
        <f t="shared" si="8"/>
        <v>0</v>
      </c>
      <c r="T11" s="52"/>
      <c r="U11" s="53">
        <f t="shared" si="9"/>
        <v>0</v>
      </c>
      <c r="V11" s="50"/>
      <c r="W11" s="51">
        <f t="shared" si="10"/>
        <v>0</v>
      </c>
      <c r="X11" s="52"/>
      <c r="Y11" s="51">
        <f t="shared" si="11"/>
        <v>0</v>
      </c>
      <c r="Z11" s="52"/>
      <c r="AA11" s="51">
        <f t="shared" si="12"/>
        <v>0</v>
      </c>
      <c r="AB11" s="52"/>
      <c r="AC11" s="51">
        <f t="shared" si="13"/>
        <v>0</v>
      </c>
      <c r="AD11" s="52"/>
      <c r="AE11" s="51">
        <f t="shared" si="14"/>
        <v>0</v>
      </c>
      <c r="AF11" s="50">
        <v>0</v>
      </c>
      <c r="AG11" s="79">
        <f t="shared" si="15"/>
        <v>0</v>
      </c>
      <c r="AH11" s="52"/>
      <c r="AI11" s="79">
        <f t="shared" si="16"/>
        <v>0</v>
      </c>
      <c r="AJ11" s="52"/>
      <c r="AK11" s="79">
        <f t="shared" si="17"/>
        <v>0</v>
      </c>
      <c r="AL11" s="52"/>
      <c r="AM11" s="79">
        <f t="shared" si="18"/>
        <v>0</v>
      </c>
      <c r="AN11" s="52"/>
      <c r="AO11" s="79">
        <f t="shared" si="19"/>
        <v>0</v>
      </c>
      <c r="AP11" s="50">
        <v>0</v>
      </c>
      <c r="AQ11" s="79">
        <f t="shared" si="20"/>
        <v>0</v>
      </c>
      <c r="AR11" s="52"/>
      <c r="AS11" s="79">
        <f t="shared" si="21"/>
        <v>0</v>
      </c>
      <c r="AT11" s="52"/>
      <c r="AU11" s="79">
        <f t="shared" si="22"/>
        <v>0</v>
      </c>
      <c r="AV11" s="52"/>
      <c r="AW11" s="79">
        <f t="shared" si="23"/>
        <v>0</v>
      </c>
      <c r="AX11" s="52"/>
      <c r="AY11" s="90">
        <f t="shared" si="24"/>
        <v>0</v>
      </c>
    </row>
    <row r="12" spans="1:51" x14ac:dyDescent="0.25">
      <c r="A12" s="26" t="s">
        <v>67</v>
      </c>
      <c r="B12" s="50">
        <v>0</v>
      </c>
      <c r="C12" s="79">
        <f t="shared" si="0"/>
        <v>0</v>
      </c>
      <c r="D12" s="52"/>
      <c r="E12" s="79">
        <f t="shared" si="1"/>
        <v>0</v>
      </c>
      <c r="F12" s="52"/>
      <c r="G12" s="79">
        <f t="shared" si="2"/>
        <v>0</v>
      </c>
      <c r="H12" s="52"/>
      <c r="I12" s="79">
        <f t="shared" si="3"/>
        <v>0</v>
      </c>
      <c r="J12" s="52"/>
      <c r="K12" s="90">
        <f t="shared" si="4"/>
        <v>0</v>
      </c>
      <c r="L12" s="52"/>
      <c r="M12" s="51">
        <f t="shared" si="5"/>
        <v>0</v>
      </c>
      <c r="N12" s="52"/>
      <c r="O12" s="51">
        <f t="shared" si="6"/>
        <v>0</v>
      </c>
      <c r="P12" s="52"/>
      <c r="Q12" s="51">
        <f t="shared" si="7"/>
        <v>0</v>
      </c>
      <c r="R12" s="52"/>
      <c r="S12" s="51">
        <f t="shared" si="8"/>
        <v>0</v>
      </c>
      <c r="T12" s="52"/>
      <c r="U12" s="53">
        <f t="shared" si="9"/>
        <v>0</v>
      </c>
      <c r="V12" s="50"/>
      <c r="W12" s="51">
        <f t="shared" si="10"/>
        <v>0</v>
      </c>
      <c r="X12" s="52"/>
      <c r="Y12" s="51">
        <f t="shared" si="11"/>
        <v>0</v>
      </c>
      <c r="Z12" s="52"/>
      <c r="AA12" s="51">
        <f t="shared" si="12"/>
        <v>0</v>
      </c>
      <c r="AB12" s="52"/>
      <c r="AC12" s="51">
        <f t="shared" si="13"/>
        <v>0</v>
      </c>
      <c r="AD12" s="52"/>
      <c r="AE12" s="51">
        <f t="shared" si="14"/>
        <v>0</v>
      </c>
      <c r="AF12" s="50">
        <v>0</v>
      </c>
      <c r="AG12" s="79">
        <f t="shared" si="15"/>
        <v>0</v>
      </c>
      <c r="AH12" s="52"/>
      <c r="AI12" s="79">
        <f t="shared" si="16"/>
        <v>0</v>
      </c>
      <c r="AJ12" s="52"/>
      <c r="AK12" s="79">
        <f t="shared" si="17"/>
        <v>0</v>
      </c>
      <c r="AL12" s="52"/>
      <c r="AM12" s="79">
        <f t="shared" si="18"/>
        <v>0</v>
      </c>
      <c r="AN12" s="52"/>
      <c r="AO12" s="79">
        <f t="shared" si="19"/>
        <v>0</v>
      </c>
      <c r="AP12" s="50">
        <v>0</v>
      </c>
      <c r="AQ12" s="79">
        <f t="shared" si="20"/>
        <v>0</v>
      </c>
      <c r="AR12" s="52"/>
      <c r="AS12" s="79">
        <f t="shared" si="21"/>
        <v>0</v>
      </c>
      <c r="AT12" s="52"/>
      <c r="AU12" s="79">
        <f t="shared" si="22"/>
        <v>0</v>
      </c>
      <c r="AV12" s="52"/>
      <c r="AW12" s="79">
        <f t="shared" si="23"/>
        <v>0</v>
      </c>
      <c r="AX12" s="52"/>
      <c r="AY12" s="90">
        <f t="shared" si="24"/>
        <v>0</v>
      </c>
    </row>
    <row r="13" spans="1:51" x14ac:dyDescent="0.25">
      <c r="A13" s="26" t="s">
        <v>68</v>
      </c>
      <c r="B13" s="50">
        <v>6.94444444444553E-4</v>
      </c>
      <c r="C13" s="79">
        <f t="shared" si="0"/>
        <v>2.0161290322583797E-3</v>
      </c>
      <c r="D13" s="52"/>
      <c r="E13" s="79">
        <f t="shared" si="1"/>
        <v>0</v>
      </c>
      <c r="F13" s="52"/>
      <c r="G13" s="79">
        <f t="shared" si="2"/>
        <v>0</v>
      </c>
      <c r="H13" s="52"/>
      <c r="I13" s="79">
        <f t="shared" si="3"/>
        <v>0</v>
      </c>
      <c r="J13" s="52"/>
      <c r="K13" s="90">
        <f t="shared" si="4"/>
        <v>0</v>
      </c>
      <c r="L13" s="52"/>
      <c r="M13" s="51">
        <f t="shared" si="5"/>
        <v>0</v>
      </c>
      <c r="N13" s="52"/>
      <c r="O13" s="51">
        <f t="shared" si="6"/>
        <v>0</v>
      </c>
      <c r="P13" s="52"/>
      <c r="Q13" s="51">
        <f t="shared" si="7"/>
        <v>0</v>
      </c>
      <c r="R13" s="52"/>
      <c r="S13" s="51">
        <f t="shared" si="8"/>
        <v>0</v>
      </c>
      <c r="T13" s="52"/>
      <c r="U13" s="53">
        <f t="shared" si="9"/>
        <v>0</v>
      </c>
      <c r="V13" s="50"/>
      <c r="W13" s="51">
        <f t="shared" si="10"/>
        <v>0</v>
      </c>
      <c r="X13" s="52"/>
      <c r="Y13" s="51">
        <f t="shared" si="11"/>
        <v>0</v>
      </c>
      <c r="Z13" s="52"/>
      <c r="AA13" s="51">
        <f t="shared" si="12"/>
        <v>0</v>
      </c>
      <c r="AB13" s="52"/>
      <c r="AC13" s="51">
        <f t="shared" si="13"/>
        <v>0</v>
      </c>
      <c r="AD13" s="52"/>
      <c r="AE13" s="51">
        <f t="shared" si="14"/>
        <v>0</v>
      </c>
      <c r="AF13" s="50">
        <v>6.9444444444433095E-4</v>
      </c>
      <c r="AG13" s="79">
        <f t="shared" si="15"/>
        <v>1.5479876160988189E-3</v>
      </c>
      <c r="AH13" s="52"/>
      <c r="AI13" s="79">
        <f t="shared" si="16"/>
        <v>0</v>
      </c>
      <c r="AJ13" s="52"/>
      <c r="AK13" s="79">
        <f t="shared" si="17"/>
        <v>0</v>
      </c>
      <c r="AL13" s="52"/>
      <c r="AM13" s="79">
        <f t="shared" si="18"/>
        <v>0</v>
      </c>
      <c r="AN13" s="52"/>
      <c r="AO13" s="79">
        <f t="shared" si="19"/>
        <v>0</v>
      </c>
      <c r="AP13" s="50">
        <v>5.5555555555555358E-3</v>
      </c>
      <c r="AQ13" s="79">
        <f t="shared" si="20"/>
        <v>8.3333333333333055E-3</v>
      </c>
      <c r="AR13" s="52"/>
      <c r="AS13" s="79">
        <f t="shared" si="21"/>
        <v>0</v>
      </c>
      <c r="AT13" s="52"/>
      <c r="AU13" s="79">
        <f t="shared" si="22"/>
        <v>0</v>
      </c>
      <c r="AV13" s="52"/>
      <c r="AW13" s="79">
        <f t="shared" si="23"/>
        <v>0</v>
      </c>
      <c r="AX13" s="52"/>
      <c r="AY13" s="90">
        <f t="shared" si="24"/>
        <v>0</v>
      </c>
    </row>
    <row r="14" spans="1:51" x14ac:dyDescent="0.25">
      <c r="A14" s="26" t="s">
        <v>69</v>
      </c>
      <c r="B14" s="50">
        <v>0</v>
      </c>
      <c r="C14" s="79">
        <f t="shared" si="0"/>
        <v>0</v>
      </c>
      <c r="D14" s="52"/>
      <c r="E14" s="79">
        <f t="shared" si="1"/>
        <v>0</v>
      </c>
      <c r="F14" s="52"/>
      <c r="G14" s="79">
        <f t="shared" si="2"/>
        <v>0</v>
      </c>
      <c r="H14" s="52"/>
      <c r="I14" s="79">
        <f t="shared" si="3"/>
        <v>0</v>
      </c>
      <c r="J14" s="52"/>
      <c r="K14" s="90">
        <f t="shared" si="4"/>
        <v>0</v>
      </c>
      <c r="L14" s="52"/>
      <c r="M14" s="51">
        <f t="shared" si="5"/>
        <v>0</v>
      </c>
      <c r="N14" s="52"/>
      <c r="O14" s="51">
        <f t="shared" si="6"/>
        <v>0</v>
      </c>
      <c r="P14" s="52"/>
      <c r="Q14" s="51">
        <f t="shared" si="7"/>
        <v>0</v>
      </c>
      <c r="R14" s="52"/>
      <c r="S14" s="51">
        <f t="shared" si="8"/>
        <v>0</v>
      </c>
      <c r="T14" s="52"/>
      <c r="U14" s="53">
        <f t="shared" si="9"/>
        <v>0</v>
      </c>
      <c r="V14" s="50"/>
      <c r="W14" s="51">
        <f t="shared" si="10"/>
        <v>0</v>
      </c>
      <c r="X14" s="52"/>
      <c r="Y14" s="51">
        <f t="shared" si="11"/>
        <v>0</v>
      </c>
      <c r="Z14" s="52"/>
      <c r="AA14" s="51">
        <f t="shared" si="12"/>
        <v>0</v>
      </c>
      <c r="AB14" s="52"/>
      <c r="AC14" s="51">
        <f t="shared" si="13"/>
        <v>0</v>
      </c>
      <c r="AD14" s="52"/>
      <c r="AE14" s="51">
        <f t="shared" si="14"/>
        <v>0</v>
      </c>
      <c r="AF14" s="50">
        <v>0</v>
      </c>
      <c r="AG14" s="79">
        <f t="shared" si="15"/>
        <v>0</v>
      </c>
      <c r="AH14" s="52"/>
      <c r="AI14" s="79">
        <f t="shared" si="16"/>
        <v>0</v>
      </c>
      <c r="AJ14" s="52"/>
      <c r="AK14" s="79">
        <f t="shared" si="17"/>
        <v>0</v>
      </c>
      <c r="AL14" s="52"/>
      <c r="AM14" s="79">
        <f t="shared" si="18"/>
        <v>0</v>
      </c>
      <c r="AN14" s="52"/>
      <c r="AO14" s="79">
        <f t="shared" si="19"/>
        <v>0</v>
      </c>
      <c r="AP14" s="50">
        <v>0</v>
      </c>
      <c r="AQ14" s="79">
        <f t="shared" si="20"/>
        <v>0</v>
      </c>
      <c r="AR14" s="52"/>
      <c r="AS14" s="79">
        <f t="shared" si="21"/>
        <v>0</v>
      </c>
      <c r="AT14" s="52"/>
      <c r="AU14" s="79">
        <f t="shared" si="22"/>
        <v>0</v>
      </c>
      <c r="AV14" s="52"/>
      <c r="AW14" s="79">
        <f t="shared" si="23"/>
        <v>0</v>
      </c>
      <c r="AX14" s="52"/>
      <c r="AY14" s="90">
        <f t="shared" si="24"/>
        <v>0</v>
      </c>
    </row>
    <row r="15" spans="1:51" x14ac:dyDescent="0.25">
      <c r="A15" s="26" t="s">
        <v>131</v>
      </c>
      <c r="B15" s="50">
        <v>4.1666666666665408E-3</v>
      </c>
      <c r="C15" s="79">
        <f t="shared" si="0"/>
        <v>1.2096774193548022E-2</v>
      </c>
      <c r="D15" s="52"/>
      <c r="E15" s="79">
        <f t="shared" si="1"/>
        <v>0</v>
      </c>
      <c r="F15" s="52"/>
      <c r="G15" s="79">
        <f t="shared" si="2"/>
        <v>0</v>
      </c>
      <c r="H15" s="52"/>
      <c r="I15" s="79">
        <f t="shared" si="3"/>
        <v>0</v>
      </c>
      <c r="J15" s="52"/>
      <c r="K15" s="90">
        <f t="shared" si="4"/>
        <v>0</v>
      </c>
      <c r="L15" s="52"/>
      <c r="M15" s="51">
        <f t="shared" si="5"/>
        <v>0</v>
      </c>
      <c r="N15" s="52"/>
      <c r="O15" s="51">
        <f t="shared" si="6"/>
        <v>0</v>
      </c>
      <c r="P15" s="52"/>
      <c r="Q15" s="51">
        <f t="shared" si="7"/>
        <v>0</v>
      </c>
      <c r="R15" s="52"/>
      <c r="S15" s="51">
        <f t="shared" si="8"/>
        <v>0</v>
      </c>
      <c r="T15" s="52"/>
      <c r="U15" s="53">
        <f t="shared" si="9"/>
        <v>0</v>
      </c>
      <c r="V15" s="50"/>
      <c r="W15" s="51">
        <f t="shared" si="10"/>
        <v>0</v>
      </c>
      <c r="X15" s="52"/>
      <c r="Y15" s="51">
        <f t="shared" si="11"/>
        <v>0</v>
      </c>
      <c r="Z15" s="52"/>
      <c r="AA15" s="51">
        <f t="shared" si="12"/>
        <v>0</v>
      </c>
      <c r="AB15" s="52"/>
      <c r="AC15" s="51">
        <f t="shared" si="13"/>
        <v>0</v>
      </c>
      <c r="AD15" s="52"/>
      <c r="AE15" s="51">
        <f t="shared" si="14"/>
        <v>0</v>
      </c>
      <c r="AF15" s="50">
        <v>7.6388888888889728E-3</v>
      </c>
      <c r="AG15" s="79">
        <f t="shared" si="15"/>
        <v>1.7027863777089976E-2</v>
      </c>
      <c r="AH15" s="52"/>
      <c r="AI15" s="79">
        <f t="shared" si="16"/>
        <v>0</v>
      </c>
      <c r="AJ15" s="52"/>
      <c r="AK15" s="79">
        <f t="shared" si="17"/>
        <v>0</v>
      </c>
      <c r="AL15" s="52"/>
      <c r="AM15" s="79">
        <f t="shared" si="18"/>
        <v>0</v>
      </c>
      <c r="AN15" s="52"/>
      <c r="AO15" s="79">
        <f t="shared" si="19"/>
        <v>0</v>
      </c>
      <c r="AP15" s="50">
        <v>0</v>
      </c>
      <c r="AQ15" s="79">
        <f t="shared" si="20"/>
        <v>0</v>
      </c>
      <c r="AR15" s="52"/>
      <c r="AS15" s="79">
        <f t="shared" si="21"/>
        <v>0</v>
      </c>
      <c r="AT15" s="52"/>
      <c r="AU15" s="79">
        <f t="shared" si="22"/>
        <v>0</v>
      </c>
      <c r="AV15" s="52"/>
      <c r="AW15" s="79">
        <f t="shared" si="23"/>
        <v>0</v>
      </c>
      <c r="AX15" s="52"/>
      <c r="AY15" s="90">
        <f t="shared" si="24"/>
        <v>0</v>
      </c>
    </row>
    <row r="16" spans="1:51" x14ac:dyDescent="0.25">
      <c r="A16" s="26" t="s">
        <v>132</v>
      </c>
      <c r="B16" s="50">
        <v>2.7777777777777901E-2</v>
      </c>
      <c r="C16" s="79">
        <f t="shared" si="0"/>
        <v>8.0645161290322939E-2</v>
      </c>
      <c r="D16" s="52"/>
      <c r="E16" s="79">
        <f t="shared" si="1"/>
        <v>0</v>
      </c>
      <c r="F16" s="52"/>
      <c r="G16" s="79">
        <f t="shared" si="2"/>
        <v>0</v>
      </c>
      <c r="H16" s="52"/>
      <c r="I16" s="79">
        <f t="shared" si="3"/>
        <v>0</v>
      </c>
      <c r="J16" s="52"/>
      <c r="K16" s="90">
        <f t="shared" si="4"/>
        <v>0</v>
      </c>
      <c r="L16" s="52"/>
      <c r="M16" s="51">
        <f t="shared" si="5"/>
        <v>0</v>
      </c>
      <c r="N16" s="52"/>
      <c r="O16" s="51">
        <f t="shared" si="6"/>
        <v>0</v>
      </c>
      <c r="P16" s="52"/>
      <c r="Q16" s="51">
        <f t="shared" si="7"/>
        <v>0</v>
      </c>
      <c r="R16" s="52"/>
      <c r="S16" s="51">
        <f t="shared" si="8"/>
        <v>0</v>
      </c>
      <c r="T16" s="52"/>
      <c r="U16" s="53">
        <f t="shared" si="9"/>
        <v>0</v>
      </c>
      <c r="V16" s="50"/>
      <c r="W16" s="51">
        <f t="shared" si="10"/>
        <v>0</v>
      </c>
      <c r="X16" s="52"/>
      <c r="Y16" s="51">
        <f t="shared" si="11"/>
        <v>0</v>
      </c>
      <c r="Z16" s="52"/>
      <c r="AA16" s="51">
        <f t="shared" si="12"/>
        <v>0</v>
      </c>
      <c r="AB16" s="52"/>
      <c r="AC16" s="51">
        <f t="shared" si="13"/>
        <v>0</v>
      </c>
      <c r="AD16" s="52"/>
      <c r="AE16" s="51">
        <f t="shared" si="14"/>
        <v>0</v>
      </c>
      <c r="AF16" s="50">
        <v>5.9027777777777762E-2</v>
      </c>
      <c r="AG16" s="79">
        <f t="shared" si="15"/>
        <v>0.13157894736842107</v>
      </c>
      <c r="AH16" s="52"/>
      <c r="AI16" s="79">
        <f t="shared" si="16"/>
        <v>0</v>
      </c>
      <c r="AJ16" s="52"/>
      <c r="AK16" s="79">
        <f t="shared" si="17"/>
        <v>0</v>
      </c>
      <c r="AL16" s="52"/>
      <c r="AM16" s="79">
        <f t="shared" si="18"/>
        <v>0</v>
      </c>
      <c r="AN16" s="52"/>
      <c r="AO16" s="79">
        <f t="shared" si="19"/>
        <v>0</v>
      </c>
      <c r="AP16" s="50">
        <v>0</v>
      </c>
      <c r="AQ16" s="79">
        <f t="shared" si="20"/>
        <v>0</v>
      </c>
      <c r="AR16" s="52"/>
      <c r="AS16" s="79">
        <f t="shared" si="21"/>
        <v>0</v>
      </c>
      <c r="AT16" s="52"/>
      <c r="AU16" s="79">
        <f t="shared" si="22"/>
        <v>0</v>
      </c>
      <c r="AV16" s="52"/>
      <c r="AW16" s="79">
        <f t="shared" si="23"/>
        <v>0</v>
      </c>
      <c r="AX16" s="52"/>
      <c r="AY16" s="90">
        <f t="shared" si="24"/>
        <v>0</v>
      </c>
    </row>
    <row r="17" spans="1:51" s="38" customFormat="1" x14ac:dyDescent="0.25">
      <c r="A17" s="26" t="s">
        <v>133</v>
      </c>
      <c r="B17" s="50">
        <v>0</v>
      </c>
      <c r="C17" s="79">
        <f t="shared" si="0"/>
        <v>0</v>
      </c>
      <c r="D17" s="52"/>
      <c r="E17" s="79">
        <f t="shared" si="1"/>
        <v>0</v>
      </c>
      <c r="F17" s="52"/>
      <c r="G17" s="79">
        <f t="shared" si="2"/>
        <v>0</v>
      </c>
      <c r="H17" s="52"/>
      <c r="I17" s="79">
        <f t="shared" si="3"/>
        <v>0</v>
      </c>
      <c r="J17" s="52"/>
      <c r="K17" s="90">
        <f t="shared" si="4"/>
        <v>0</v>
      </c>
      <c r="L17" s="52"/>
      <c r="M17" s="51">
        <f t="shared" si="5"/>
        <v>0</v>
      </c>
      <c r="N17" s="52"/>
      <c r="O17" s="51">
        <f t="shared" si="5"/>
        <v>0</v>
      </c>
      <c r="P17" s="52"/>
      <c r="Q17" s="51">
        <f t="shared" si="5"/>
        <v>0</v>
      </c>
      <c r="R17" s="52"/>
      <c r="S17" s="51">
        <f t="shared" si="5"/>
        <v>0</v>
      </c>
      <c r="T17" s="52"/>
      <c r="U17" s="51">
        <f t="shared" si="5"/>
        <v>0</v>
      </c>
      <c r="V17" s="50"/>
      <c r="W17" s="51">
        <f t="shared" si="5"/>
        <v>0</v>
      </c>
      <c r="X17" s="52"/>
      <c r="Y17" s="51">
        <f t="shared" si="5"/>
        <v>0</v>
      </c>
      <c r="Z17" s="52"/>
      <c r="AA17" s="51">
        <f t="shared" si="5"/>
        <v>0</v>
      </c>
      <c r="AB17" s="52"/>
      <c r="AC17" s="51">
        <f t="shared" si="5"/>
        <v>0</v>
      </c>
      <c r="AD17" s="52"/>
      <c r="AE17" s="51"/>
      <c r="AF17" s="50">
        <v>0</v>
      </c>
      <c r="AG17" s="79">
        <f t="shared" si="15"/>
        <v>0</v>
      </c>
      <c r="AH17" s="52"/>
      <c r="AI17" s="79">
        <f t="shared" si="16"/>
        <v>0</v>
      </c>
      <c r="AJ17" s="52"/>
      <c r="AK17" s="79">
        <f t="shared" si="17"/>
        <v>0</v>
      </c>
      <c r="AL17" s="52"/>
      <c r="AM17" s="79">
        <f t="shared" si="18"/>
        <v>0</v>
      </c>
      <c r="AN17" s="52"/>
      <c r="AO17" s="79">
        <f t="shared" si="19"/>
        <v>0</v>
      </c>
      <c r="AP17" s="50">
        <v>0</v>
      </c>
      <c r="AQ17" s="79">
        <f t="shared" si="20"/>
        <v>0</v>
      </c>
      <c r="AR17" s="52"/>
      <c r="AS17" s="79">
        <f t="shared" si="21"/>
        <v>0</v>
      </c>
      <c r="AT17" s="52"/>
      <c r="AU17" s="79">
        <f t="shared" si="22"/>
        <v>0</v>
      </c>
      <c r="AV17" s="52"/>
      <c r="AW17" s="79">
        <f t="shared" si="23"/>
        <v>0</v>
      </c>
      <c r="AX17" s="52"/>
      <c r="AY17" s="90">
        <f t="shared" si="24"/>
        <v>0</v>
      </c>
    </row>
    <row r="18" spans="1:51" s="38" customFormat="1" x14ac:dyDescent="0.25">
      <c r="A18" s="26" t="s">
        <v>134</v>
      </c>
      <c r="B18" s="50">
        <v>0</v>
      </c>
      <c r="C18" s="79">
        <f t="shared" si="0"/>
        <v>0</v>
      </c>
      <c r="D18" s="52"/>
      <c r="E18" s="79">
        <f t="shared" si="1"/>
        <v>0</v>
      </c>
      <c r="F18" s="52"/>
      <c r="G18" s="79">
        <f t="shared" si="2"/>
        <v>0</v>
      </c>
      <c r="H18" s="52"/>
      <c r="I18" s="79">
        <f t="shared" si="3"/>
        <v>0</v>
      </c>
      <c r="J18" s="52"/>
      <c r="K18" s="90">
        <f t="shared" si="4"/>
        <v>0</v>
      </c>
      <c r="L18" s="52"/>
      <c r="M18" s="51">
        <f t="shared" si="5"/>
        <v>0</v>
      </c>
      <c r="N18" s="52"/>
      <c r="O18" s="51">
        <f t="shared" si="5"/>
        <v>0</v>
      </c>
      <c r="P18" s="52"/>
      <c r="Q18" s="51">
        <f t="shared" si="5"/>
        <v>0</v>
      </c>
      <c r="R18" s="52"/>
      <c r="S18" s="51">
        <f t="shared" si="5"/>
        <v>0</v>
      </c>
      <c r="T18" s="52"/>
      <c r="U18" s="51">
        <f t="shared" si="5"/>
        <v>0</v>
      </c>
      <c r="V18" s="50"/>
      <c r="W18" s="51">
        <f t="shared" si="5"/>
        <v>0</v>
      </c>
      <c r="X18" s="52"/>
      <c r="Y18" s="51">
        <f t="shared" si="5"/>
        <v>0</v>
      </c>
      <c r="Z18" s="52"/>
      <c r="AA18" s="51">
        <f t="shared" si="5"/>
        <v>0</v>
      </c>
      <c r="AB18" s="52"/>
      <c r="AC18" s="51">
        <f t="shared" si="5"/>
        <v>0</v>
      </c>
      <c r="AD18" s="52"/>
      <c r="AE18" s="51"/>
      <c r="AF18" s="50">
        <v>0</v>
      </c>
      <c r="AG18" s="79">
        <f t="shared" si="15"/>
        <v>0</v>
      </c>
      <c r="AH18" s="52"/>
      <c r="AI18" s="79">
        <f t="shared" si="16"/>
        <v>0</v>
      </c>
      <c r="AJ18" s="52"/>
      <c r="AK18" s="79">
        <f t="shared" si="17"/>
        <v>0</v>
      </c>
      <c r="AL18" s="52"/>
      <c r="AM18" s="79">
        <f t="shared" si="18"/>
        <v>0</v>
      </c>
      <c r="AN18" s="52"/>
      <c r="AO18" s="79">
        <f t="shared" si="19"/>
        <v>0</v>
      </c>
      <c r="AP18" s="50">
        <v>0</v>
      </c>
      <c r="AQ18" s="79">
        <f t="shared" si="20"/>
        <v>0</v>
      </c>
      <c r="AR18" s="52"/>
      <c r="AS18" s="79">
        <f t="shared" si="21"/>
        <v>0</v>
      </c>
      <c r="AT18" s="52"/>
      <c r="AU18" s="79">
        <f t="shared" si="22"/>
        <v>0</v>
      </c>
      <c r="AV18" s="52"/>
      <c r="AW18" s="79">
        <f t="shared" si="23"/>
        <v>0</v>
      </c>
      <c r="AX18" s="52"/>
      <c r="AY18" s="90">
        <f t="shared" si="24"/>
        <v>0</v>
      </c>
    </row>
    <row r="19" spans="1:51" x14ac:dyDescent="0.25">
      <c r="A19" s="26" t="s">
        <v>191</v>
      </c>
      <c r="B19" s="50">
        <v>0</v>
      </c>
      <c r="C19" s="79">
        <f t="shared" si="0"/>
        <v>0</v>
      </c>
      <c r="D19" s="52"/>
      <c r="E19" s="79">
        <f t="shared" si="1"/>
        <v>0</v>
      </c>
      <c r="F19" s="52"/>
      <c r="G19" s="79">
        <f t="shared" si="2"/>
        <v>0</v>
      </c>
      <c r="H19" s="52"/>
      <c r="I19" s="79">
        <f t="shared" si="3"/>
        <v>0</v>
      </c>
      <c r="J19" s="52"/>
      <c r="K19" s="90">
        <f t="shared" si="4"/>
        <v>0</v>
      </c>
      <c r="L19" s="52"/>
      <c r="M19" s="51">
        <f t="shared" si="5"/>
        <v>0</v>
      </c>
      <c r="N19" s="52"/>
      <c r="O19" s="51">
        <f t="shared" si="6"/>
        <v>0</v>
      </c>
      <c r="P19" s="52"/>
      <c r="Q19" s="51">
        <f t="shared" si="7"/>
        <v>0</v>
      </c>
      <c r="R19" s="52"/>
      <c r="S19" s="51">
        <f t="shared" si="8"/>
        <v>0</v>
      </c>
      <c r="T19" s="52"/>
      <c r="U19" s="53">
        <f t="shared" si="9"/>
        <v>0</v>
      </c>
      <c r="V19" s="50"/>
      <c r="W19" s="51">
        <f t="shared" si="10"/>
        <v>0</v>
      </c>
      <c r="X19" s="52"/>
      <c r="Y19" s="51">
        <f t="shared" si="11"/>
        <v>0</v>
      </c>
      <c r="Z19" s="52"/>
      <c r="AA19" s="51">
        <f t="shared" si="12"/>
        <v>0</v>
      </c>
      <c r="AB19" s="52"/>
      <c r="AC19" s="51">
        <f t="shared" si="13"/>
        <v>0</v>
      </c>
      <c r="AD19" s="52"/>
      <c r="AE19" s="51">
        <f t="shared" si="14"/>
        <v>0</v>
      </c>
      <c r="AF19" s="50">
        <v>0</v>
      </c>
      <c r="AG19" s="79">
        <f t="shared" si="15"/>
        <v>0</v>
      </c>
      <c r="AH19" s="52"/>
      <c r="AI19" s="79">
        <f t="shared" si="16"/>
        <v>0</v>
      </c>
      <c r="AJ19" s="52"/>
      <c r="AK19" s="79">
        <f t="shared" si="17"/>
        <v>0</v>
      </c>
      <c r="AL19" s="52"/>
      <c r="AM19" s="79">
        <f t="shared" si="18"/>
        <v>0</v>
      </c>
      <c r="AN19" s="52"/>
      <c r="AO19" s="79">
        <f t="shared" si="19"/>
        <v>0</v>
      </c>
      <c r="AP19" s="50">
        <v>0</v>
      </c>
      <c r="AQ19" s="79">
        <f t="shared" si="20"/>
        <v>0</v>
      </c>
      <c r="AR19" s="52"/>
      <c r="AS19" s="79">
        <f t="shared" si="21"/>
        <v>0</v>
      </c>
      <c r="AT19" s="52"/>
      <c r="AU19" s="79">
        <f t="shared" si="22"/>
        <v>0</v>
      </c>
      <c r="AV19" s="52"/>
      <c r="AW19" s="79">
        <f t="shared" si="23"/>
        <v>0</v>
      </c>
      <c r="AX19" s="52"/>
      <c r="AY19" s="90">
        <f t="shared" si="24"/>
        <v>0</v>
      </c>
    </row>
    <row r="20" spans="1:51" x14ac:dyDescent="0.25">
      <c r="A20" s="26" t="s">
        <v>135</v>
      </c>
      <c r="B20" s="50">
        <v>0</v>
      </c>
      <c r="C20" s="79">
        <f t="shared" si="0"/>
        <v>0</v>
      </c>
      <c r="D20" s="52"/>
      <c r="E20" s="79">
        <f t="shared" si="1"/>
        <v>0</v>
      </c>
      <c r="F20" s="52"/>
      <c r="G20" s="79">
        <f t="shared" si="2"/>
        <v>0</v>
      </c>
      <c r="H20" s="52"/>
      <c r="I20" s="79">
        <f t="shared" si="3"/>
        <v>0</v>
      </c>
      <c r="J20" s="52"/>
      <c r="K20" s="90">
        <f t="shared" si="4"/>
        <v>0</v>
      </c>
      <c r="L20" s="52"/>
      <c r="M20" s="51">
        <f t="shared" si="5"/>
        <v>0</v>
      </c>
      <c r="N20" s="52"/>
      <c r="O20" s="51">
        <f t="shared" si="6"/>
        <v>0</v>
      </c>
      <c r="P20" s="52"/>
      <c r="Q20" s="51">
        <f t="shared" si="7"/>
        <v>0</v>
      </c>
      <c r="R20" s="52"/>
      <c r="S20" s="51">
        <f t="shared" si="8"/>
        <v>0</v>
      </c>
      <c r="T20" s="52"/>
      <c r="U20" s="53">
        <f t="shared" si="9"/>
        <v>0</v>
      </c>
      <c r="V20" s="50"/>
      <c r="W20" s="51">
        <f t="shared" si="10"/>
        <v>0</v>
      </c>
      <c r="X20" s="52"/>
      <c r="Y20" s="51">
        <f t="shared" si="11"/>
        <v>0</v>
      </c>
      <c r="Z20" s="52"/>
      <c r="AA20" s="51">
        <f t="shared" si="12"/>
        <v>0</v>
      </c>
      <c r="AB20" s="52"/>
      <c r="AC20" s="51">
        <f t="shared" si="13"/>
        <v>0</v>
      </c>
      <c r="AD20" s="52"/>
      <c r="AE20" s="51">
        <f t="shared" si="14"/>
        <v>0</v>
      </c>
      <c r="AF20" s="50">
        <v>0</v>
      </c>
      <c r="AG20" s="79">
        <f t="shared" si="15"/>
        <v>0</v>
      </c>
      <c r="AH20" s="52"/>
      <c r="AI20" s="79">
        <f t="shared" si="16"/>
        <v>0</v>
      </c>
      <c r="AJ20" s="52"/>
      <c r="AK20" s="79">
        <f t="shared" si="17"/>
        <v>0</v>
      </c>
      <c r="AL20" s="52"/>
      <c r="AM20" s="79">
        <f t="shared" si="18"/>
        <v>0</v>
      </c>
      <c r="AN20" s="52"/>
      <c r="AO20" s="79">
        <f t="shared" si="19"/>
        <v>0</v>
      </c>
      <c r="AP20" s="50">
        <v>0</v>
      </c>
      <c r="AQ20" s="79">
        <f t="shared" si="20"/>
        <v>0</v>
      </c>
      <c r="AR20" s="52"/>
      <c r="AS20" s="79">
        <f t="shared" si="21"/>
        <v>0</v>
      </c>
      <c r="AT20" s="52"/>
      <c r="AU20" s="79">
        <f t="shared" si="22"/>
        <v>0</v>
      </c>
      <c r="AV20" s="52"/>
      <c r="AW20" s="79">
        <f t="shared" si="23"/>
        <v>0</v>
      </c>
      <c r="AX20" s="52"/>
      <c r="AY20" s="90">
        <f t="shared" si="24"/>
        <v>0</v>
      </c>
    </row>
    <row r="21" spans="1:51" x14ac:dyDescent="0.25">
      <c r="A21" s="26" t="s">
        <v>136</v>
      </c>
      <c r="B21" s="50">
        <v>0</v>
      </c>
      <c r="C21" s="79">
        <f t="shared" si="0"/>
        <v>0</v>
      </c>
      <c r="D21" s="52"/>
      <c r="E21" s="79">
        <f t="shared" si="1"/>
        <v>0</v>
      </c>
      <c r="F21" s="52"/>
      <c r="G21" s="79">
        <f t="shared" si="2"/>
        <v>0</v>
      </c>
      <c r="H21" s="52"/>
      <c r="I21" s="79">
        <f t="shared" si="3"/>
        <v>0</v>
      </c>
      <c r="J21" s="52"/>
      <c r="K21" s="90">
        <f t="shared" si="4"/>
        <v>0</v>
      </c>
      <c r="L21" s="52"/>
      <c r="M21" s="51">
        <f t="shared" si="5"/>
        <v>0</v>
      </c>
      <c r="N21" s="52"/>
      <c r="O21" s="51">
        <f t="shared" si="6"/>
        <v>0</v>
      </c>
      <c r="P21" s="52"/>
      <c r="Q21" s="51">
        <f t="shared" si="7"/>
        <v>0</v>
      </c>
      <c r="R21" s="52"/>
      <c r="S21" s="51">
        <f t="shared" si="8"/>
        <v>0</v>
      </c>
      <c r="T21" s="52"/>
      <c r="U21" s="53">
        <f t="shared" si="9"/>
        <v>0</v>
      </c>
      <c r="V21" s="50"/>
      <c r="W21" s="51">
        <f t="shared" si="10"/>
        <v>0</v>
      </c>
      <c r="X21" s="52"/>
      <c r="Y21" s="51">
        <f t="shared" si="11"/>
        <v>0</v>
      </c>
      <c r="Z21" s="52"/>
      <c r="AA21" s="51">
        <f t="shared" si="12"/>
        <v>0</v>
      </c>
      <c r="AB21" s="52"/>
      <c r="AC21" s="51">
        <f t="shared" si="13"/>
        <v>0</v>
      </c>
      <c r="AD21" s="52"/>
      <c r="AE21" s="51">
        <f t="shared" si="14"/>
        <v>0</v>
      </c>
      <c r="AF21" s="50">
        <v>0</v>
      </c>
      <c r="AG21" s="79">
        <f t="shared" si="15"/>
        <v>0</v>
      </c>
      <c r="AH21" s="52"/>
      <c r="AI21" s="79">
        <f t="shared" si="16"/>
        <v>0</v>
      </c>
      <c r="AJ21" s="52"/>
      <c r="AK21" s="79">
        <f t="shared" si="17"/>
        <v>0</v>
      </c>
      <c r="AL21" s="52"/>
      <c r="AM21" s="79">
        <f t="shared" si="18"/>
        <v>0</v>
      </c>
      <c r="AN21" s="52"/>
      <c r="AO21" s="79">
        <f t="shared" si="19"/>
        <v>0</v>
      </c>
      <c r="AP21" s="50">
        <v>0</v>
      </c>
      <c r="AQ21" s="79">
        <f t="shared" si="20"/>
        <v>0</v>
      </c>
      <c r="AR21" s="52"/>
      <c r="AS21" s="79">
        <f t="shared" si="21"/>
        <v>0</v>
      </c>
      <c r="AT21" s="52"/>
      <c r="AU21" s="79">
        <f t="shared" si="22"/>
        <v>0</v>
      </c>
      <c r="AV21" s="52"/>
      <c r="AW21" s="79">
        <f t="shared" si="23"/>
        <v>0</v>
      </c>
      <c r="AX21" s="52"/>
      <c r="AY21" s="90">
        <f t="shared" si="24"/>
        <v>0</v>
      </c>
    </row>
    <row r="22" spans="1:51" x14ac:dyDescent="0.25">
      <c r="A22" s="26" t="s">
        <v>137</v>
      </c>
      <c r="B22" s="50">
        <v>0</v>
      </c>
      <c r="C22" s="79">
        <f t="shared" si="0"/>
        <v>0</v>
      </c>
      <c r="D22" s="52"/>
      <c r="E22" s="79">
        <f t="shared" si="1"/>
        <v>0</v>
      </c>
      <c r="F22" s="52"/>
      <c r="G22" s="79">
        <f t="shared" si="2"/>
        <v>0</v>
      </c>
      <c r="H22" s="52"/>
      <c r="I22" s="79">
        <f t="shared" si="3"/>
        <v>0</v>
      </c>
      <c r="J22" s="52"/>
      <c r="K22" s="90">
        <f t="shared" si="4"/>
        <v>0</v>
      </c>
      <c r="L22" s="52"/>
      <c r="M22" s="51">
        <f t="shared" si="5"/>
        <v>0</v>
      </c>
      <c r="N22" s="52"/>
      <c r="O22" s="51">
        <f t="shared" si="6"/>
        <v>0</v>
      </c>
      <c r="P22" s="52"/>
      <c r="Q22" s="51">
        <f t="shared" si="7"/>
        <v>0</v>
      </c>
      <c r="R22" s="52"/>
      <c r="S22" s="51">
        <f t="shared" si="8"/>
        <v>0</v>
      </c>
      <c r="T22" s="52"/>
      <c r="U22" s="53">
        <f t="shared" si="9"/>
        <v>0</v>
      </c>
      <c r="V22" s="50"/>
      <c r="W22" s="51">
        <f t="shared" si="10"/>
        <v>0</v>
      </c>
      <c r="X22" s="52"/>
      <c r="Y22" s="51">
        <f t="shared" si="11"/>
        <v>0</v>
      </c>
      <c r="Z22" s="52"/>
      <c r="AA22" s="51">
        <f t="shared" si="12"/>
        <v>0</v>
      </c>
      <c r="AB22" s="52"/>
      <c r="AC22" s="51">
        <f t="shared" si="13"/>
        <v>0</v>
      </c>
      <c r="AD22" s="52"/>
      <c r="AE22" s="51">
        <f t="shared" si="14"/>
        <v>0</v>
      </c>
      <c r="AF22" s="50">
        <v>0</v>
      </c>
      <c r="AG22" s="79">
        <f t="shared" si="15"/>
        <v>0</v>
      </c>
      <c r="AH22" s="52"/>
      <c r="AI22" s="79">
        <f t="shared" si="16"/>
        <v>0</v>
      </c>
      <c r="AJ22" s="52"/>
      <c r="AK22" s="79">
        <f t="shared" si="17"/>
        <v>0</v>
      </c>
      <c r="AL22" s="52"/>
      <c r="AM22" s="79">
        <f t="shared" si="18"/>
        <v>0</v>
      </c>
      <c r="AN22" s="52"/>
      <c r="AO22" s="79">
        <f t="shared" si="19"/>
        <v>0</v>
      </c>
      <c r="AP22" s="50">
        <v>0</v>
      </c>
      <c r="AQ22" s="79">
        <f t="shared" si="20"/>
        <v>0</v>
      </c>
      <c r="AR22" s="52"/>
      <c r="AS22" s="79">
        <f t="shared" si="21"/>
        <v>0</v>
      </c>
      <c r="AT22" s="52"/>
      <c r="AU22" s="79">
        <f t="shared" si="22"/>
        <v>0</v>
      </c>
      <c r="AV22" s="52"/>
      <c r="AW22" s="79">
        <f t="shared" si="23"/>
        <v>0</v>
      </c>
      <c r="AX22" s="52"/>
      <c r="AY22" s="90">
        <f t="shared" si="24"/>
        <v>0</v>
      </c>
    </row>
    <row r="23" spans="1:51" x14ac:dyDescent="0.25">
      <c r="A23" s="26" t="s">
        <v>138</v>
      </c>
      <c r="B23" s="50">
        <v>0</v>
      </c>
      <c r="C23" s="79">
        <f t="shared" si="0"/>
        <v>0</v>
      </c>
      <c r="D23" s="52"/>
      <c r="E23" s="79">
        <f t="shared" si="1"/>
        <v>0</v>
      </c>
      <c r="F23" s="52"/>
      <c r="G23" s="79">
        <f t="shared" si="2"/>
        <v>0</v>
      </c>
      <c r="H23" s="52"/>
      <c r="I23" s="79">
        <f t="shared" si="3"/>
        <v>0</v>
      </c>
      <c r="J23" s="52"/>
      <c r="K23" s="90">
        <f t="shared" si="4"/>
        <v>0</v>
      </c>
      <c r="L23" s="52"/>
      <c r="M23" s="51">
        <f t="shared" si="5"/>
        <v>0</v>
      </c>
      <c r="N23" s="52"/>
      <c r="O23" s="51">
        <f t="shared" si="6"/>
        <v>0</v>
      </c>
      <c r="P23" s="52"/>
      <c r="Q23" s="51">
        <f t="shared" si="7"/>
        <v>0</v>
      </c>
      <c r="R23" s="52"/>
      <c r="S23" s="51">
        <f t="shared" si="8"/>
        <v>0</v>
      </c>
      <c r="T23" s="52"/>
      <c r="U23" s="53">
        <f t="shared" si="9"/>
        <v>0</v>
      </c>
      <c r="V23" s="50"/>
      <c r="W23" s="51">
        <f t="shared" si="10"/>
        <v>0</v>
      </c>
      <c r="X23" s="52"/>
      <c r="Y23" s="51">
        <f t="shared" si="11"/>
        <v>0</v>
      </c>
      <c r="Z23" s="52"/>
      <c r="AA23" s="51">
        <f t="shared" si="12"/>
        <v>0</v>
      </c>
      <c r="AB23" s="52"/>
      <c r="AC23" s="51">
        <f t="shared" si="13"/>
        <v>0</v>
      </c>
      <c r="AD23" s="52"/>
      <c r="AE23" s="51">
        <f t="shared" si="14"/>
        <v>0</v>
      </c>
      <c r="AF23" s="50">
        <v>0</v>
      </c>
      <c r="AG23" s="79">
        <f t="shared" si="15"/>
        <v>0</v>
      </c>
      <c r="AH23" s="52"/>
      <c r="AI23" s="79">
        <f t="shared" si="16"/>
        <v>0</v>
      </c>
      <c r="AJ23" s="52"/>
      <c r="AK23" s="79">
        <f t="shared" si="17"/>
        <v>0</v>
      </c>
      <c r="AL23" s="52"/>
      <c r="AM23" s="79">
        <f t="shared" si="18"/>
        <v>0</v>
      </c>
      <c r="AN23" s="52"/>
      <c r="AO23" s="79">
        <f t="shared" si="19"/>
        <v>0</v>
      </c>
      <c r="AP23" s="50">
        <v>0</v>
      </c>
      <c r="AQ23" s="79">
        <f t="shared" si="20"/>
        <v>0</v>
      </c>
      <c r="AR23" s="52"/>
      <c r="AS23" s="79">
        <f t="shared" si="21"/>
        <v>0</v>
      </c>
      <c r="AT23" s="52"/>
      <c r="AU23" s="79">
        <f t="shared" si="22"/>
        <v>0</v>
      </c>
      <c r="AV23" s="52"/>
      <c r="AW23" s="79">
        <f t="shared" si="23"/>
        <v>0</v>
      </c>
      <c r="AX23" s="52"/>
      <c r="AY23" s="90">
        <f t="shared" si="24"/>
        <v>0</v>
      </c>
    </row>
    <row r="24" spans="1:51" x14ac:dyDescent="0.25">
      <c r="A24" s="26" t="s">
        <v>139</v>
      </c>
      <c r="B24" s="50">
        <v>0</v>
      </c>
      <c r="C24" s="79">
        <f t="shared" si="0"/>
        <v>0</v>
      </c>
      <c r="D24" s="52"/>
      <c r="E24" s="79">
        <f t="shared" si="1"/>
        <v>0</v>
      </c>
      <c r="F24" s="52"/>
      <c r="G24" s="79">
        <f t="shared" si="2"/>
        <v>0</v>
      </c>
      <c r="H24" s="52"/>
      <c r="I24" s="79">
        <f t="shared" si="3"/>
        <v>0</v>
      </c>
      <c r="J24" s="52"/>
      <c r="K24" s="90">
        <f t="shared" si="4"/>
        <v>0</v>
      </c>
      <c r="L24" s="52"/>
      <c r="M24" s="51">
        <f t="shared" si="5"/>
        <v>0</v>
      </c>
      <c r="N24" s="52"/>
      <c r="O24" s="51">
        <f t="shared" si="6"/>
        <v>0</v>
      </c>
      <c r="P24" s="52"/>
      <c r="Q24" s="51">
        <f t="shared" si="7"/>
        <v>0</v>
      </c>
      <c r="R24" s="52"/>
      <c r="S24" s="51">
        <f t="shared" si="8"/>
        <v>0</v>
      </c>
      <c r="T24" s="52"/>
      <c r="U24" s="53">
        <f t="shared" si="9"/>
        <v>0</v>
      </c>
      <c r="V24" s="50"/>
      <c r="W24" s="51">
        <f t="shared" si="10"/>
        <v>0</v>
      </c>
      <c r="X24" s="52"/>
      <c r="Y24" s="51">
        <f t="shared" si="11"/>
        <v>0</v>
      </c>
      <c r="Z24" s="52"/>
      <c r="AA24" s="51">
        <f t="shared" si="12"/>
        <v>0</v>
      </c>
      <c r="AB24" s="52"/>
      <c r="AC24" s="51">
        <f t="shared" si="13"/>
        <v>0</v>
      </c>
      <c r="AD24" s="52"/>
      <c r="AE24" s="51">
        <f t="shared" si="14"/>
        <v>0</v>
      </c>
      <c r="AF24" s="50">
        <v>0.27013888888888887</v>
      </c>
      <c r="AG24" s="79">
        <f t="shared" si="15"/>
        <v>0.60216718266253899</v>
      </c>
      <c r="AH24" s="52"/>
      <c r="AI24" s="79">
        <f t="shared" si="16"/>
        <v>0</v>
      </c>
      <c r="AJ24" s="52"/>
      <c r="AK24" s="79">
        <f t="shared" si="17"/>
        <v>0</v>
      </c>
      <c r="AL24" s="52"/>
      <c r="AM24" s="79">
        <f t="shared" si="18"/>
        <v>0</v>
      </c>
      <c r="AN24" s="52"/>
      <c r="AO24" s="79">
        <f t="shared" si="19"/>
        <v>0</v>
      </c>
      <c r="AP24" s="50">
        <v>0</v>
      </c>
      <c r="AQ24" s="79">
        <f t="shared" si="20"/>
        <v>0</v>
      </c>
      <c r="AR24" s="52"/>
      <c r="AS24" s="79">
        <f t="shared" si="21"/>
        <v>0</v>
      </c>
      <c r="AT24" s="52"/>
      <c r="AU24" s="79">
        <f t="shared" si="22"/>
        <v>0</v>
      </c>
      <c r="AV24" s="52"/>
      <c r="AW24" s="79">
        <f t="shared" si="23"/>
        <v>0</v>
      </c>
      <c r="AX24" s="52"/>
      <c r="AY24" s="90">
        <f t="shared" si="24"/>
        <v>0</v>
      </c>
    </row>
    <row r="25" spans="1:51" x14ac:dyDescent="0.25">
      <c r="A25" s="26" t="s">
        <v>140</v>
      </c>
      <c r="B25" s="50">
        <v>0</v>
      </c>
      <c r="C25" s="79">
        <f t="shared" si="0"/>
        <v>0</v>
      </c>
      <c r="D25" s="52"/>
      <c r="E25" s="79">
        <f t="shared" si="1"/>
        <v>0</v>
      </c>
      <c r="F25" s="52"/>
      <c r="G25" s="79">
        <f t="shared" si="2"/>
        <v>0</v>
      </c>
      <c r="H25" s="52"/>
      <c r="I25" s="79">
        <f t="shared" si="3"/>
        <v>0</v>
      </c>
      <c r="J25" s="52"/>
      <c r="K25" s="90">
        <f t="shared" si="4"/>
        <v>0</v>
      </c>
      <c r="L25" s="52"/>
      <c r="M25" s="51">
        <f t="shared" si="5"/>
        <v>0</v>
      </c>
      <c r="N25" s="52"/>
      <c r="O25" s="51">
        <f t="shared" si="6"/>
        <v>0</v>
      </c>
      <c r="P25" s="52"/>
      <c r="Q25" s="51">
        <f t="shared" si="7"/>
        <v>0</v>
      </c>
      <c r="R25" s="52"/>
      <c r="S25" s="51">
        <f t="shared" si="8"/>
        <v>0</v>
      </c>
      <c r="T25" s="52"/>
      <c r="U25" s="53">
        <f t="shared" si="9"/>
        <v>0</v>
      </c>
      <c r="V25" s="50"/>
      <c r="W25" s="51">
        <f t="shared" si="10"/>
        <v>0</v>
      </c>
      <c r="X25" s="52"/>
      <c r="Y25" s="51">
        <f t="shared" si="11"/>
        <v>0</v>
      </c>
      <c r="Z25" s="52"/>
      <c r="AA25" s="51">
        <f t="shared" si="12"/>
        <v>0</v>
      </c>
      <c r="AB25" s="52"/>
      <c r="AC25" s="51">
        <f t="shared" si="13"/>
        <v>0</v>
      </c>
      <c r="AD25" s="52"/>
      <c r="AE25" s="51">
        <f t="shared" si="14"/>
        <v>0</v>
      </c>
      <c r="AF25" s="50">
        <v>0</v>
      </c>
      <c r="AG25" s="79">
        <f t="shared" si="15"/>
        <v>0</v>
      </c>
      <c r="AH25" s="52"/>
      <c r="AI25" s="79">
        <f t="shared" si="16"/>
        <v>0</v>
      </c>
      <c r="AJ25" s="52"/>
      <c r="AK25" s="79">
        <f t="shared" si="17"/>
        <v>0</v>
      </c>
      <c r="AL25" s="52"/>
      <c r="AM25" s="79">
        <f t="shared" si="18"/>
        <v>0</v>
      </c>
      <c r="AN25" s="52"/>
      <c r="AO25" s="79">
        <f t="shared" si="19"/>
        <v>0</v>
      </c>
      <c r="AP25" s="50">
        <v>0</v>
      </c>
      <c r="AQ25" s="79">
        <f t="shared" si="20"/>
        <v>0</v>
      </c>
      <c r="AR25" s="52"/>
      <c r="AS25" s="79">
        <f t="shared" si="21"/>
        <v>0</v>
      </c>
      <c r="AT25" s="52"/>
      <c r="AU25" s="79">
        <f t="shared" si="22"/>
        <v>0</v>
      </c>
      <c r="AV25" s="52"/>
      <c r="AW25" s="79">
        <f t="shared" si="23"/>
        <v>0</v>
      </c>
      <c r="AX25" s="52"/>
      <c r="AY25" s="90">
        <f t="shared" si="24"/>
        <v>0</v>
      </c>
    </row>
    <row r="26" spans="1:51" x14ac:dyDescent="0.25">
      <c r="A26" s="26" t="s">
        <v>141</v>
      </c>
      <c r="B26" s="50">
        <v>0</v>
      </c>
      <c r="C26" s="79">
        <f t="shared" si="0"/>
        <v>0</v>
      </c>
      <c r="D26" s="52"/>
      <c r="E26" s="79">
        <f t="shared" si="1"/>
        <v>0</v>
      </c>
      <c r="F26" s="52"/>
      <c r="G26" s="79">
        <f t="shared" si="2"/>
        <v>0</v>
      </c>
      <c r="H26" s="52"/>
      <c r="I26" s="79">
        <f t="shared" si="3"/>
        <v>0</v>
      </c>
      <c r="J26" s="52"/>
      <c r="K26" s="90">
        <f t="shared" si="4"/>
        <v>0</v>
      </c>
      <c r="L26" s="52"/>
      <c r="M26" s="51">
        <f t="shared" si="5"/>
        <v>0</v>
      </c>
      <c r="N26" s="52"/>
      <c r="O26" s="51">
        <f t="shared" si="6"/>
        <v>0</v>
      </c>
      <c r="P26" s="52"/>
      <c r="Q26" s="51">
        <f t="shared" si="7"/>
        <v>0</v>
      </c>
      <c r="R26" s="52"/>
      <c r="S26" s="51">
        <f t="shared" si="8"/>
        <v>0</v>
      </c>
      <c r="T26" s="52"/>
      <c r="U26" s="53">
        <f t="shared" si="9"/>
        <v>0</v>
      </c>
      <c r="V26" s="50"/>
      <c r="W26" s="51">
        <f t="shared" si="10"/>
        <v>0</v>
      </c>
      <c r="X26" s="52"/>
      <c r="Y26" s="51">
        <f t="shared" si="11"/>
        <v>0</v>
      </c>
      <c r="Z26" s="52"/>
      <c r="AA26" s="51">
        <f t="shared" si="12"/>
        <v>0</v>
      </c>
      <c r="AB26" s="52"/>
      <c r="AC26" s="51">
        <f t="shared" si="13"/>
        <v>0</v>
      </c>
      <c r="AD26" s="52"/>
      <c r="AE26" s="51">
        <f t="shared" si="14"/>
        <v>0</v>
      </c>
      <c r="AF26" s="50">
        <v>6.1805555555555544E-2</v>
      </c>
      <c r="AG26" s="79">
        <f t="shared" si="15"/>
        <v>0.13777089783281737</v>
      </c>
      <c r="AH26" s="52"/>
      <c r="AI26" s="79">
        <f t="shared" si="16"/>
        <v>0</v>
      </c>
      <c r="AJ26" s="52"/>
      <c r="AK26" s="79">
        <f t="shared" si="17"/>
        <v>0</v>
      </c>
      <c r="AL26" s="52"/>
      <c r="AM26" s="79">
        <f t="shared" si="18"/>
        <v>0</v>
      </c>
      <c r="AN26" s="52"/>
      <c r="AO26" s="79">
        <f t="shared" si="19"/>
        <v>0</v>
      </c>
      <c r="AP26" s="50">
        <v>0</v>
      </c>
      <c r="AQ26" s="79">
        <f t="shared" si="20"/>
        <v>0</v>
      </c>
      <c r="AR26" s="52"/>
      <c r="AS26" s="79">
        <f t="shared" si="21"/>
        <v>0</v>
      </c>
      <c r="AT26" s="52"/>
      <c r="AU26" s="79">
        <f t="shared" si="22"/>
        <v>0</v>
      </c>
      <c r="AV26" s="52"/>
      <c r="AW26" s="79">
        <f t="shared" si="23"/>
        <v>0</v>
      </c>
      <c r="AX26" s="52"/>
      <c r="AY26" s="90">
        <f t="shared" si="24"/>
        <v>0</v>
      </c>
    </row>
    <row r="27" spans="1:51" x14ac:dyDescent="0.25">
      <c r="A27" s="26" t="s">
        <v>142</v>
      </c>
      <c r="B27" s="50">
        <v>0</v>
      </c>
      <c r="C27" s="79">
        <f t="shared" si="0"/>
        <v>0</v>
      </c>
      <c r="D27" s="52"/>
      <c r="E27" s="79">
        <f t="shared" si="1"/>
        <v>0</v>
      </c>
      <c r="F27" s="52"/>
      <c r="G27" s="79">
        <f t="shared" si="2"/>
        <v>0</v>
      </c>
      <c r="H27" s="52"/>
      <c r="I27" s="79">
        <f t="shared" si="3"/>
        <v>0</v>
      </c>
      <c r="J27" s="52"/>
      <c r="K27" s="90">
        <f t="shared" si="4"/>
        <v>0</v>
      </c>
      <c r="L27" s="52"/>
      <c r="M27" s="51">
        <f t="shared" si="5"/>
        <v>0</v>
      </c>
      <c r="N27" s="52"/>
      <c r="O27" s="51">
        <f t="shared" si="6"/>
        <v>0</v>
      </c>
      <c r="P27" s="52"/>
      <c r="Q27" s="51">
        <f t="shared" si="7"/>
        <v>0</v>
      </c>
      <c r="R27" s="52"/>
      <c r="S27" s="51">
        <f t="shared" si="8"/>
        <v>0</v>
      </c>
      <c r="T27" s="52"/>
      <c r="U27" s="53">
        <f t="shared" si="9"/>
        <v>0</v>
      </c>
      <c r="V27" s="50"/>
      <c r="W27" s="51">
        <f t="shared" si="10"/>
        <v>0</v>
      </c>
      <c r="X27" s="52"/>
      <c r="Y27" s="51">
        <f t="shared" si="11"/>
        <v>0</v>
      </c>
      <c r="Z27" s="52"/>
      <c r="AA27" s="51">
        <f t="shared" si="12"/>
        <v>0</v>
      </c>
      <c r="AB27" s="52"/>
      <c r="AC27" s="51">
        <f t="shared" si="13"/>
        <v>0</v>
      </c>
      <c r="AD27" s="52"/>
      <c r="AE27" s="51">
        <f t="shared" si="14"/>
        <v>0</v>
      </c>
      <c r="AF27" s="50">
        <v>0</v>
      </c>
      <c r="AG27" s="79">
        <f t="shared" si="15"/>
        <v>0</v>
      </c>
      <c r="AH27" s="52"/>
      <c r="AI27" s="79">
        <f t="shared" si="16"/>
        <v>0</v>
      </c>
      <c r="AJ27" s="52"/>
      <c r="AK27" s="79">
        <f t="shared" si="17"/>
        <v>0</v>
      </c>
      <c r="AL27" s="52"/>
      <c r="AM27" s="79">
        <f t="shared" si="18"/>
        <v>0</v>
      </c>
      <c r="AN27" s="52"/>
      <c r="AO27" s="79">
        <f t="shared" si="19"/>
        <v>0</v>
      </c>
      <c r="AP27" s="50">
        <v>0</v>
      </c>
      <c r="AQ27" s="79">
        <f t="shared" si="20"/>
        <v>0</v>
      </c>
      <c r="AR27" s="52"/>
      <c r="AS27" s="79">
        <f t="shared" si="21"/>
        <v>0</v>
      </c>
      <c r="AT27" s="52"/>
      <c r="AU27" s="79">
        <f t="shared" si="22"/>
        <v>0</v>
      </c>
      <c r="AV27" s="52"/>
      <c r="AW27" s="79">
        <f t="shared" si="23"/>
        <v>0</v>
      </c>
      <c r="AX27" s="52"/>
      <c r="AY27" s="90">
        <f t="shared" si="24"/>
        <v>0</v>
      </c>
    </row>
    <row r="28" spans="1:51" x14ac:dyDescent="0.25">
      <c r="A28" s="26" t="s">
        <v>143</v>
      </c>
      <c r="B28" s="50">
        <v>0</v>
      </c>
      <c r="C28" s="79">
        <f t="shared" si="0"/>
        <v>0</v>
      </c>
      <c r="D28" s="52"/>
      <c r="E28" s="79">
        <f t="shared" si="1"/>
        <v>0</v>
      </c>
      <c r="F28" s="52"/>
      <c r="G28" s="79">
        <f t="shared" si="2"/>
        <v>0</v>
      </c>
      <c r="H28" s="52"/>
      <c r="I28" s="79">
        <f t="shared" si="3"/>
        <v>0</v>
      </c>
      <c r="J28" s="52"/>
      <c r="K28" s="90">
        <f t="shared" si="4"/>
        <v>0</v>
      </c>
      <c r="L28" s="52"/>
      <c r="M28" s="51">
        <f t="shared" si="5"/>
        <v>0</v>
      </c>
      <c r="N28" s="52"/>
      <c r="O28" s="51">
        <f t="shared" si="6"/>
        <v>0</v>
      </c>
      <c r="P28" s="52"/>
      <c r="Q28" s="51">
        <f t="shared" si="7"/>
        <v>0</v>
      </c>
      <c r="R28" s="52"/>
      <c r="S28" s="51">
        <f t="shared" si="8"/>
        <v>0</v>
      </c>
      <c r="T28" s="52"/>
      <c r="U28" s="53">
        <f t="shared" si="9"/>
        <v>0</v>
      </c>
      <c r="V28" s="50"/>
      <c r="W28" s="51">
        <f t="shared" si="10"/>
        <v>0</v>
      </c>
      <c r="X28" s="52"/>
      <c r="Y28" s="51">
        <f t="shared" si="11"/>
        <v>0</v>
      </c>
      <c r="Z28" s="52"/>
      <c r="AA28" s="51">
        <f t="shared" si="12"/>
        <v>0</v>
      </c>
      <c r="AB28" s="52"/>
      <c r="AC28" s="51">
        <f t="shared" si="13"/>
        <v>0</v>
      </c>
      <c r="AD28" s="52"/>
      <c r="AE28" s="51">
        <f t="shared" si="14"/>
        <v>0</v>
      </c>
      <c r="AF28" s="50">
        <v>0</v>
      </c>
      <c r="AG28" s="79">
        <f t="shared" si="15"/>
        <v>0</v>
      </c>
      <c r="AH28" s="52"/>
      <c r="AI28" s="79">
        <f t="shared" si="16"/>
        <v>0</v>
      </c>
      <c r="AJ28" s="52"/>
      <c r="AK28" s="79">
        <f t="shared" si="17"/>
        <v>0</v>
      </c>
      <c r="AL28" s="52"/>
      <c r="AM28" s="79">
        <f t="shared" si="18"/>
        <v>0</v>
      </c>
      <c r="AN28" s="52"/>
      <c r="AO28" s="79">
        <f t="shared" si="19"/>
        <v>0</v>
      </c>
      <c r="AP28" s="50">
        <v>0</v>
      </c>
      <c r="AQ28" s="79">
        <f t="shared" si="20"/>
        <v>0</v>
      </c>
      <c r="AR28" s="52"/>
      <c r="AS28" s="79">
        <f t="shared" si="21"/>
        <v>0</v>
      </c>
      <c r="AT28" s="52"/>
      <c r="AU28" s="79">
        <f t="shared" si="22"/>
        <v>0</v>
      </c>
      <c r="AV28" s="52"/>
      <c r="AW28" s="79">
        <f t="shared" si="23"/>
        <v>0</v>
      </c>
      <c r="AX28" s="52"/>
      <c r="AY28" s="90">
        <f t="shared" si="24"/>
        <v>0</v>
      </c>
    </row>
    <row r="29" spans="1:51" x14ac:dyDescent="0.25">
      <c r="A29" s="26" t="s">
        <v>192</v>
      </c>
      <c r="B29" s="50">
        <v>0</v>
      </c>
      <c r="C29" s="79">
        <f t="shared" si="0"/>
        <v>0</v>
      </c>
      <c r="D29" s="52"/>
      <c r="E29" s="79">
        <f t="shared" si="1"/>
        <v>0</v>
      </c>
      <c r="F29" s="52"/>
      <c r="G29" s="79">
        <f t="shared" si="2"/>
        <v>0</v>
      </c>
      <c r="H29" s="52"/>
      <c r="I29" s="79">
        <f t="shared" si="3"/>
        <v>0</v>
      </c>
      <c r="J29" s="52"/>
      <c r="K29" s="90">
        <f t="shared" si="4"/>
        <v>0</v>
      </c>
      <c r="L29" s="52"/>
      <c r="M29" s="51">
        <f t="shared" si="5"/>
        <v>0</v>
      </c>
      <c r="N29" s="52"/>
      <c r="O29" s="51">
        <f t="shared" si="6"/>
        <v>0</v>
      </c>
      <c r="P29" s="52"/>
      <c r="Q29" s="51">
        <f t="shared" si="7"/>
        <v>0</v>
      </c>
      <c r="R29" s="52"/>
      <c r="S29" s="51">
        <f t="shared" si="8"/>
        <v>0</v>
      </c>
      <c r="T29" s="52"/>
      <c r="U29" s="53">
        <f t="shared" si="9"/>
        <v>0</v>
      </c>
      <c r="V29" s="50"/>
      <c r="W29" s="51">
        <f t="shared" si="10"/>
        <v>0</v>
      </c>
      <c r="X29" s="52"/>
      <c r="Y29" s="51">
        <f t="shared" si="11"/>
        <v>0</v>
      </c>
      <c r="Z29" s="52"/>
      <c r="AA29" s="51">
        <f t="shared" si="12"/>
        <v>0</v>
      </c>
      <c r="AB29" s="52"/>
      <c r="AC29" s="51">
        <f t="shared" si="13"/>
        <v>0</v>
      </c>
      <c r="AD29" s="52"/>
      <c r="AE29" s="51">
        <f t="shared" si="14"/>
        <v>0</v>
      </c>
      <c r="AF29" s="50">
        <v>0</v>
      </c>
      <c r="AG29" s="79">
        <f t="shared" si="15"/>
        <v>0</v>
      </c>
      <c r="AH29" s="52"/>
      <c r="AI29" s="79">
        <f t="shared" si="16"/>
        <v>0</v>
      </c>
      <c r="AJ29" s="52"/>
      <c r="AK29" s="79">
        <f t="shared" si="17"/>
        <v>0</v>
      </c>
      <c r="AL29" s="52"/>
      <c r="AM29" s="79">
        <f t="shared" si="18"/>
        <v>0</v>
      </c>
      <c r="AN29" s="52"/>
      <c r="AO29" s="79">
        <f t="shared" si="19"/>
        <v>0</v>
      </c>
      <c r="AP29" s="50">
        <v>0</v>
      </c>
      <c r="AQ29" s="79">
        <f t="shared" si="20"/>
        <v>0</v>
      </c>
      <c r="AR29" s="52"/>
      <c r="AS29" s="79">
        <f t="shared" si="21"/>
        <v>0</v>
      </c>
      <c r="AT29" s="52"/>
      <c r="AU29" s="79">
        <f t="shared" si="22"/>
        <v>0</v>
      </c>
      <c r="AV29" s="52"/>
      <c r="AW29" s="79">
        <f t="shared" si="23"/>
        <v>0</v>
      </c>
      <c r="AX29" s="52"/>
      <c r="AY29" s="90">
        <f t="shared" si="24"/>
        <v>0</v>
      </c>
    </row>
    <row r="30" spans="1:51" x14ac:dyDescent="0.25">
      <c r="A30" s="26" t="s">
        <v>144</v>
      </c>
      <c r="B30" s="50">
        <v>0</v>
      </c>
      <c r="C30" s="79">
        <f t="shared" si="0"/>
        <v>0</v>
      </c>
      <c r="D30" s="52"/>
      <c r="E30" s="79">
        <f t="shared" si="1"/>
        <v>0</v>
      </c>
      <c r="F30" s="52"/>
      <c r="G30" s="79">
        <f t="shared" si="2"/>
        <v>0</v>
      </c>
      <c r="H30" s="52"/>
      <c r="I30" s="79">
        <f t="shared" si="3"/>
        <v>0</v>
      </c>
      <c r="J30" s="52"/>
      <c r="K30" s="90">
        <f t="shared" si="4"/>
        <v>0</v>
      </c>
      <c r="L30" s="52"/>
      <c r="M30" s="51">
        <f t="shared" si="5"/>
        <v>0</v>
      </c>
      <c r="N30" s="52"/>
      <c r="O30" s="51">
        <f t="shared" si="6"/>
        <v>0</v>
      </c>
      <c r="P30" s="52"/>
      <c r="Q30" s="51">
        <f t="shared" si="7"/>
        <v>0</v>
      </c>
      <c r="R30" s="52"/>
      <c r="S30" s="51">
        <f t="shared" si="8"/>
        <v>0</v>
      </c>
      <c r="T30" s="52"/>
      <c r="U30" s="53">
        <f t="shared" si="9"/>
        <v>0</v>
      </c>
      <c r="V30" s="50"/>
      <c r="W30" s="51">
        <f t="shared" si="10"/>
        <v>0</v>
      </c>
      <c r="X30" s="52"/>
      <c r="Y30" s="51">
        <f t="shared" si="11"/>
        <v>0</v>
      </c>
      <c r="Z30" s="52"/>
      <c r="AA30" s="51">
        <f t="shared" si="12"/>
        <v>0</v>
      </c>
      <c r="AB30" s="52"/>
      <c r="AC30" s="51">
        <f t="shared" si="13"/>
        <v>0</v>
      </c>
      <c r="AD30" s="52"/>
      <c r="AE30" s="51">
        <f t="shared" si="14"/>
        <v>0</v>
      </c>
      <c r="AF30" s="50">
        <v>0</v>
      </c>
      <c r="AG30" s="79">
        <f t="shared" si="15"/>
        <v>0</v>
      </c>
      <c r="AH30" s="52"/>
      <c r="AI30" s="79">
        <f t="shared" si="16"/>
        <v>0</v>
      </c>
      <c r="AJ30" s="52"/>
      <c r="AK30" s="79">
        <f t="shared" si="17"/>
        <v>0</v>
      </c>
      <c r="AL30" s="52"/>
      <c r="AM30" s="79">
        <f t="shared" si="18"/>
        <v>0</v>
      </c>
      <c r="AN30" s="52"/>
      <c r="AO30" s="79">
        <f t="shared" si="19"/>
        <v>0</v>
      </c>
      <c r="AP30" s="50">
        <v>0</v>
      </c>
      <c r="AQ30" s="79">
        <f t="shared" si="20"/>
        <v>0</v>
      </c>
      <c r="AR30" s="52"/>
      <c r="AS30" s="79">
        <f t="shared" si="21"/>
        <v>0</v>
      </c>
      <c r="AT30" s="52"/>
      <c r="AU30" s="79">
        <f t="shared" si="22"/>
        <v>0</v>
      </c>
      <c r="AV30" s="52"/>
      <c r="AW30" s="79">
        <f t="shared" si="23"/>
        <v>0</v>
      </c>
      <c r="AX30" s="52"/>
      <c r="AY30" s="90">
        <f t="shared" si="24"/>
        <v>0</v>
      </c>
    </row>
    <row r="31" spans="1:51" x14ac:dyDescent="0.25">
      <c r="A31" s="26" t="s">
        <v>145</v>
      </c>
      <c r="B31" s="50">
        <v>0</v>
      </c>
      <c r="C31" s="79">
        <f t="shared" si="0"/>
        <v>0</v>
      </c>
      <c r="D31" s="52"/>
      <c r="E31" s="79">
        <f t="shared" si="1"/>
        <v>0</v>
      </c>
      <c r="F31" s="52"/>
      <c r="G31" s="79">
        <f t="shared" si="2"/>
        <v>0</v>
      </c>
      <c r="H31" s="52"/>
      <c r="I31" s="79">
        <f t="shared" si="3"/>
        <v>0</v>
      </c>
      <c r="J31" s="52"/>
      <c r="K31" s="90">
        <f t="shared" si="4"/>
        <v>0</v>
      </c>
      <c r="L31" s="52"/>
      <c r="M31" s="51">
        <f t="shared" si="5"/>
        <v>0</v>
      </c>
      <c r="N31" s="52"/>
      <c r="O31" s="51">
        <f t="shared" si="6"/>
        <v>0</v>
      </c>
      <c r="P31" s="52"/>
      <c r="Q31" s="51">
        <f t="shared" si="7"/>
        <v>0</v>
      </c>
      <c r="R31" s="52"/>
      <c r="S31" s="51">
        <f t="shared" si="8"/>
        <v>0</v>
      </c>
      <c r="T31" s="52"/>
      <c r="U31" s="53">
        <f t="shared" si="9"/>
        <v>0</v>
      </c>
      <c r="V31" s="50"/>
      <c r="W31" s="51">
        <f t="shared" si="10"/>
        <v>0</v>
      </c>
      <c r="X31" s="52"/>
      <c r="Y31" s="51">
        <f t="shared" si="11"/>
        <v>0</v>
      </c>
      <c r="Z31" s="52"/>
      <c r="AA31" s="51">
        <f t="shared" si="12"/>
        <v>0</v>
      </c>
      <c r="AB31" s="52"/>
      <c r="AC31" s="51">
        <f t="shared" si="13"/>
        <v>0</v>
      </c>
      <c r="AD31" s="52"/>
      <c r="AE31" s="51">
        <f t="shared" si="14"/>
        <v>0</v>
      </c>
      <c r="AF31" s="50">
        <v>0</v>
      </c>
      <c r="AG31" s="79">
        <f t="shared" si="15"/>
        <v>0</v>
      </c>
      <c r="AH31" s="52"/>
      <c r="AI31" s="79">
        <f t="shared" si="16"/>
        <v>0</v>
      </c>
      <c r="AJ31" s="52"/>
      <c r="AK31" s="79">
        <f t="shared" si="17"/>
        <v>0</v>
      </c>
      <c r="AL31" s="52"/>
      <c r="AM31" s="79">
        <f t="shared" si="18"/>
        <v>0</v>
      </c>
      <c r="AN31" s="52"/>
      <c r="AO31" s="79">
        <f t="shared" si="19"/>
        <v>0</v>
      </c>
      <c r="AP31" s="50">
        <v>0</v>
      </c>
      <c r="AQ31" s="79">
        <f t="shared" si="20"/>
        <v>0</v>
      </c>
      <c r="AR31" s="52"/>
      <c r="AS31" s="79">
        <f t="shared" si="21"/>
        <v>0</v>
      </c>
      <c r="AT31" s="52"/>
      <c r="AU31" s="79">
        <f t="shared" si="22"/>
        <v>0</v>
      </c>
      <c r="AV31" s="52"/>
      <c r="AW31" s="79">
        <f t="shared" si="23"/>
        <v>0</v>
      </c>
      <c r="AX31" s="52"/>
      <c r="AY31" s="90">
        <f t="shared" si="24"/>
        <v>0</v>
      </c>
    </row>
    <row r="32" spans="1:51" x14ac:dyDescent="0.25">
      <c r="A32" s="26" t="s">
        <v>146</v>
      </c>
      <c r="B32" s="50">
        <v>0</v>
      </c>
      <c r="C32" s="79">
        <f t="shared" si="0"/>
        <v>0</v>
      </c>
      <c r="D32" s="52"/>
      <c r="E32" s="79">
        <f t="shared" si="1"/>
        <v>0</v>
      </c>
      <c r="F32" s="52"/>
      <c r="G32" s="79">
        <f t="shared" si="2"/>
        <v>0</v>
      </c>
      <c r="H32" s="52"/>
      <c r="I32" s="79">
        <f t="shared" si="3"/>
        <v>0</v>
      </c>
      <c r="J32" s="52"/>
      <c r="K32" s="90">
        <f t="shared" si="4"/>
        <v>0</v>
      </c>
      <c r="L32" s="52"/>
      <c r="M32" s="51">
        <f t="shared" si="5"/>
        <v>0</v>
      </c>
      <c r="N32" s="52"/>
      <c r="O32" s="51">
        <f t="shared" si="6"/>
        <v>0</v>
      </c>
      <c r="P32" s="52"/>
      <c r="Q32" s="51">
        <f t="shared" si="7"/>
        <v>0</v>
      </c>
      <c r="R32" s="52"/>
      <c r="S32" s="51">
        <f t="shared" si="8"/>
        <v>0</v>
      </c>
      <c r="T32" s="52"/>
      <c r="U32" s="53">
        <f t="shared" si="9"/>
        <v>0</v>
      </c>
      <c r="V32" s="50"/>
      <c r="W32" s="51">
        <f t="shared" si="10"/>
        <v>0</v>
      </c>
      <c r="X32" s="52"/>
      <c r="Y32" s="51">
        <f t="shared" si="11"/>
        <v>0</v>
      </c>
      <c r="Z32" s="52"/>
      <c r="AA32" s="51">
        <f t="shared" si="12"/>
        <v>0</v>
      </c>
      <c r="AB32" s="52"/>
      <c r="AC32" s="51">
        <f t="shared" si="13"/>
        <v>0</v>
      </c>
      <c r="AD32" s="52"/>
      <c r="AE32" s="51">
        <f t="shared" si="14"/>
        <v>0</v>
      </c>
      <c r="AF32" s="50">
        <v>0</v>
      </c>
      <c r="AG32" s="79">
        <f t="shared" si="15"/>
        <v>0</v>
      </c>
      <c r="AH32" s="52"/>
      <c r="AI32" s="79">
        <f t="shared" si="16"/>
        <v>0</v>
      </c>
      <c r="AJ32" s="52"/>
      <c r="AK32" s="79">
        <f t="shared" si="17"/>
        <v>0</v>
      </c>
      <c r="AL32" s="52"/>
      <c r="AM32" s="79">
        <f t="shared" si="18"/>
        <v>0</v>
      </c>
      <c r="AN32" s="52"/>
      <c r="AO32" s="79">
        <f t="shared" si="19"/>
        <v>0</v>
      </c>
      <c r="AP32" s="50">
        <v>0</v>
      </c>
      <c r="AQ32" s="79">
        <f t="shared" si="20"/>
        <v>0</v>
      </c>
      <c r="AR32" s="52"/>
      <c r="AS32" s="79">
        <f t="shared" si="21"/>
        <v>0</v>
      </c>
      <c r="AT32" s="52"/>
      <c r="AU32" s="79">
        <f t="shared" si="22"/>
        <v>0</v>
      </c>
      <c r="AV32" s="52"/>
      <c r="AW32" s="79">
        <f t="shared" si="23"/>
        <v>0</v>
      </c>
      <c r="AX32" s="52"/>
      <c r="AY32" s="90">
        <f t="shared" si="24"/>
        <v>0</v>
      </c>
    </row>
    <row r="33" spans="1:51" x14ac:dyDescent="0.25">
      <c r="A33" s="27" t="s">
        <v>72</v>
      </c>
      <c r="B33" s="50">
        <v>0</v>
      </c>
      <c r="C33" s="79">
        <f t="shared" si="0"/>
        <v>0</v>
      </c>
      <c r="D33" s="52"/>
      <c r="E33" s="79">
        <f t="shared" si="1"/>
        <v>0</v>
      </c>
      <c r="F33" s="52"/>
      <c r="G33" s="79">
        <f t="shared" si="2"/>
        <v>0</v>
      </c>
      <c r="H33" s="52"/>
      <c r="I33" s="79">
        <f t="shared" si="3"/>
        <v>0</v>
      </c>
      <c r="J33" s="52"/>
      <c r="K33" s="90">
        <f t="shared" si="4"/>
        <v>0</v>
      </c>
      <c r="L33" s="52"/>
      <c r="M33" s="51">
        <f t="shared" si="5"/>
        <v>0</v>
      </c>
      <c r="N33" s="52"/>
      <c r="O33" s="51">
        <f t="shared" si="6"/>
        <v>0</v>
      </c>
      <c r="P33" s="52"/>
      <c r="Q33" s="51">
        <f t="shared" si="7"/>
        <v>0</v>
      </c>
      <c r="R33" s="52"/>
      <c r="S33" s="51">
        <f t="shared" si="8"/>
        <v>0</v>
      </c>
      <c r="T33" s="52"/>
      <c r="U33" s="53">
        <f t="shared" si="9"/>
        <v>0</v>
      </c>
      <c r="V33" s="50"/>
      <c r="W33" s="51">
        <f t="shared" si="10"/>
        <v>0</v>
      </c>
      <c r="X33" s="52"/>
      <c r="Y33" s="51">
        <f t="shared" si="11"/>
        <v>0</v>
      </c>
      <c r="Z33" s="52"/>
      <c r="AA33" s="51">
        <f t="shared" si="12"/>
        <v>0</v>
      </c>
      <c r="AB33" s="52"/>
      <c r="AC33" s="51">
        <f t="shared" si="13"/>
        <v>0</v>
      </c>
      <c r="AD33" s="52"/>
      <c r="AE33" s="51">
        <f t="shared" si="14"/>
        <v>0</v>
      </c>
      <c r="AF33" s="50">
        <v>2.1527777777777701E-2</v>
      </c>
      <c r="AG33" s="79">
        <f t="shared" si="15"/>
        <v>4.7987616099071061E-2</v>
      </c>
      <c r="AH33" s="52"/>
      <c r="AI33" s="79">
        <f t="shared" si="16"/>
        <v>0</v>
      </c>
      <c r="AJ33" s="52"/>
      <c r="AK33" s="79">
        <f t="shared" si="17"/>
        <v>0</v>
      </c>
      <c r="AL33" s="52"/>
      <c r="AM33" s="79">
        <f t="shared" si="18"/>
        <v>0</v>
      </c>
      <c r="AN33" s="52"/>
      <c r="AO33" s="79">
        <f t="shared" si="19"/>
        <v>0</v>
      </c>
      <c r="AP33" s="50">
        <v>0</v>
      </c>
      <c r="AQ33" s="79">
        <f t="shared" si="20"/>
        <v>0</v>
      </c>
      <c r="AR33" s="52"/>
      <c r="AS33" s="79">
        <f t="shared" si="21"/>
        <v>0</v>
      </c>
      <c r="AT33" s="52"/>
      <c r="AU33" s="79">
        <f t="shared" si="22"/>
        <v>0</v>
      </c>
      <c r="AV33" s="52"/>
      <c r="AW33" s="79">
        <f t="shared" si="23"/>
        <v>0</v>
      </c>
      <c r="AX33" s="52"/>
      <c r="AY33" s="90">
        <f t="shared" si="24"/>
        <v>0</v>
      </c>
    </row>
    <row r="34" spans="1:51" x14ac:dyDescent="0.25">
      <c r="A34" s="27" t="s">
        <v>73</v>
      </c>
      <c r="B34" s="50">
        <v>0</v>
      </c>
      <c r="C34" s="79">
        <f t="shared" si="0"/>
        <v>0</v>
      </c>
      <c r="D34" s="52"/>
      <c r="E34" s="79">
        <f t="shared" si="1"/>
        <v>0</v>
      </c>
      <c r="F34" s="52"/>
      <c r="G34" s="79">
        <f t="shared" si="2"/>
        <v>0</v>
      </c>
      <c r="H34" s="52"/>
      <c r="I34" s="79">
        <f t="shared" si="3"/>
        <v>0</v>
      </c>
      <c r="J34" s="52"/>
      <c r="K34" s="90">
        <f t="shared" si="4"/>
        <v>0</v>
      </c>
      <c r="L34" s="52"/>
      <c r="M34" s="51">
        <f t="shared" si="5"/>
        <v>0</v>
      </c>
      <c r="N34" s="52"/>
      <c r="O34" s="51">
        <f t="shared" si="6"/>
        <v>0</v>
      </c>
      <c r="P34" s="52"/>
      <c r="Q34" s="51">
        <f t="shared" si="7"/>
        <v>0</v>
      </c>
      <c r="R34" s="52"/>
      <c r="S34" s="51">
        <f t="shared" si="8"/>
        <v>0</v>
      </c>
      <c r="T34" s="52"/>
      <c r="U34" s="53">
        <f t="shared" si="9"/>
        <v>0</v>
      </c>
      <c r="V34" s="50"/>
      <c r="W34" s="51">
        <f t="shared" si="10"/>
        <v>0</v>
      </c>
      <c r="X34" s="52"/>
      <c r="Y34" s="51">
        <f t="shared" si="11"/>
        <v>0</v>
      </c>
      <c r="Z34" s="52"/>
      <c r="AA34" s="51">
        <f t="shared" si="12"/>
        <v>0</v>
      </c>
      <c r="AB34" s="52"/>
      <c r="AC34" s="51">
        <f t="shared" si="13"/>
        <v>0</v>
      </c>
      <c r="AD34" s="52"/>
      <c r="AE34" s="51">
        <f t="shared" si="14"/>
        <v>0</v>
      </c>
      <c r="AF34" s="50">
        <v>0</v>
      </c>
      <c r="AG34" s="79">
        <f t="shared" si="15"/>
        <v>0</v>
      </c>
      <c r="AH34" s="52"/>
      <c r="AI34" s="79">
        <f t="shared" si="16"/>
        <v>0</v>
      </c>
      <c r="AJ34" s="52"/>
      <c r="AK34" s="79">
        <f t="shared" si="17"/>
        <v>0</v>
      </c>
      <c r="AL34" s="52"/>
      <c r="AM34" s="79">
        <f t="shared" si="18"/>
        <v>0</v>
      </c>
      <c r="AN34" s="52"/>
      <c r="AO34" s="79">
        <f t="shared" si="19"/>
        <v>0</v>
      </c>
      <c r="AP34" s="50">
        <v>0</v>
      </c>
      <c r="AQ34" s="79">
        <f t="shared" si="20"/>
        <v>0</v>
      </c>
      <c r="AR34" s="52"/>
      <c r="AS34" s="79">
        <f t="shared" si="21"/>
        <v>0</v>
      </c>
      <c r="AT34" s="52"/>
      <c r="AU34" s="79">
        <f t="shared" si="22"/>
        <v>0</v>
      </c>
      <c r="AV34" s="52"/>
      <c r="AW34" s="79">
        <f t="shared" si="23"/>
        <v>0</v>
      </c>
      <c r="AX34" s="52"/>
      <c r="AY34" s="90">
        <f t="shared" si="24"/>
        <v>0</v>
      </c>
    </row>
    <row r="35" spans="1:51" x14ac:dyDescent="0.25">
      <c r="A35" s="27" t="s">
        <v>74</v>
      </c>
      <c r="B35" s="50">
        <v>0</v>
      </c>
      <c r="C35" s="79">
        <f t="shared" si="0"/>
        <v>0</v>
      </c>
      <c r="D35" s="52"/>
      <c r="E35" s="79">
        <f t="shared" si="1"/>
        <v>0</v>
      </c>
      <c r="F35" s="52"/>
      <c r="G35" s="79">
        <f t="shared" si="2"/>
        <v>0</v>
      </c>
      <c r="H35" s="52"/>
      <c r="I35" s="79">
        <f t="shared" si="3"/>
        <v>0</v>
      </c>
      <c r="J35" s="52"/>
      <c r="K35" s="90">
        <f t="shared" si="4"/>
        <v>0</v>
      </c>
      <c r="L35" s="52"/>
      <c r="M35" s="51">
        <f t="shared" si="5"/>
        <v>0</v>
      </c>
      <c r="N35" s="52"/>
      <c r="O35" s="51">
        <f t="shared" si="6"/>
        <v>0</v>
      </c>
      <c r="P35" s="52"/>
      <c r="Q35" s="51">
        <f t="shared" si="7"/>
        <v>0</v>
      </c>
      <c r="R35" s="52"/>
      <c r="S35" s="51">
        <f t="shared" si="8"/>
        <v>0</v>
      </c>
      <c r="T35" s="52"/>
      <c r="U35" s="53">
        <f t="shared" si="9"/>
        <v>0</v>
      </c>
      <c r="V35" s="50"/>
      <c r="W35" s="51">
        <f t="shared" si="10"/>
        <v>0</v>
      </c>
      <c r="X35" s="52"/>
      <c r="Y35" s="51">
        <f t="shared" si="11"/>
        <v>0</v>
      </c>
      <c r="Z35" s="52"/>
      <c r="AA35" s="51">
        <f t="shared" si="12"/>
        <v>0</v>
      </c>
      <c r="AB35" s="52"/>
      <c r="AC35" s="51">
        <f t="shared" si="13"/>
        <v>0</v>
      </c>
      <c r="AD35" s="52"/>
      <c r="AE35" s="51">
        <f t="shared" si="14"/>
        <v>0</v>
      </c>
      <c r="AF35" s="50">
        <v>0</v>
      </c>
      <c r="AG35" s="79">
        <f t="shared" si="15"/>
        <v>0</v>
      </c>
      <c r="AH35" s="52"/>
      <c r="AI35" s="79">
        <f t="shared" si="16"/>
        <v>0</v>
      </c>
      <c r="AJ35" s="52"/>
      <c r="AK35" s="79">
        <f t="shared" si="17"/>
        <v>0</v>
      </c>
      <c r="AL35" s="52"/>
      <c r="AM35" s="79">
        <f t="shared" si="18"/>
        <v>0</v>
      </c>
      <c r="AN35" s="52"/>
      <c r="AO35" s="79">
        <f t="shared" si="19"/>
        <v>0</v>
      </c>
      <c r="AP35" s="50">
        <v>0</v>
      </c>
      <c r="AQ35" s="79">
        <f t="shared" si="20"/>
        <v>0</v>
      </c>
      <c r="AR35" s="52"/>
      <c r="AS35" s="79">
        <f t="shared" si="21"/>
        <v>0</v>
      </c>
      <c r="AT35" s="52"/>
      <c r="AU35" s="79">
        <f t="shared" si="22"/>
        <v>0</v>
      </c>
      <c r="AV35" s="52"/>
      <c r="AW35" s="79">
        <f t="shared" si="23"/>
        <v>0</v>
      </c>
      <c r="AX35" s="52"/>
      <c r="AY35" s="90">
        <f t="shared" si="24"/>
        <v>0</v>
      </c>
    </row>
    <row r="36" spans="1:51" x14ac:dyDescent="0.25">
      <c r="A36" s="27" t="s">
        <v>75</v>
      </c>
      <c r="B36" s="50">
        <v>0</v>
      </c>
      <c r="C36" s="79">
        <f t="shared" si="0"/>
        <v>0</v>
      </c>
      <c r="D36" s="52"/>
      <c r="E36" s="79">
        <f t="shared" si="1"/>
        <v>0</v>
      </c>
      <c r="F36" s="52"/>
      <c r="G36" s="79">
        <f t="shared" si="2"/>
        <v>0</v>
      </c>
      <c r="H36" s="52"/>
      <c r="I36" s="79">
        <f t="shared" si="3"/>
        <v>0</v>
      </c>
      <c r="J36" s="52"/>
      <c r="K36" s="90">
        <f t="shared" si="4"/>
        <v>0</v>
      </c>
      <c r="L36" s="52"/>
      <c r="M36" s="51">
        <f t="shared" si="5"/>
        <v>0</v>
      </c>
      <c r="N36" s="52"/>
      <c r="O36" s="51">
        <f t="shared" si="6"/>
        <v>0</v>
      </c>
      <c r="P36" s="52"/>
      <c r="Q36" s="51">
        <f t="shared" si="7"/>
        <v>0</v>
      </c>
      <c r="R36" s="52"/>
      <c r="S36" s="51">
        <f t="shared" si="8"/>
        <v>0</v>
      </c>
      <c r="T36" s="52"/>
      <c r="U36" s="53">
        <f t="shared" si="9"/>
        <v>0</v>
      </c>
      <c r="V36" s="50"/>
      <c r="W36" s="51">
        <f t="shared" si="10"/>
        <v>0</v>
      </c>
      <c r="X36" s="52"/>
      <c r="Y36" s="51">
        <f t="shared" si="11"/>
        <v>0</v>
      </c>
      <c r="Z36" s="52"/>
      <c r="AA36" s="51">
        <f t="shared" si="12"/>
        <v>0</v>
      </c>
      <c r="AB36" s="52"/>
      <c r="AC36" s="51">
        <f t="shared" si="13"/>
        <v>0</v>
      </c>
      <c r="AD36" s="52"/>
      <c r="AE36" s="51">
        <f t="shared" si="14"/>
        <v>0</v>
      </c>
      <c r="AF36" s="50">
        <v>0</v>
      </c>
      <c r="AG36" s="79">
        <f t="shared" si="15"/>
        <v>0</v>
      </c>
      <c r="AH36" s="52"/>
      <c r="AI36" s="79">
        <f t="shared" si="16"/>
        <v>0</v>
      </c>
      <c r="AJ36" s="52"/>
      <c r="AK36" s="79">
        <f t="shared" si="17"/>
        <v>0</v>
      </c>
      <c r="AL36" s="52"/>
      <c r="AM36" s="79">
        <f t="shared" si="18"/>
        <v>0</v>
      </c>
      <c r="AN36" s="52"/>
      <c r="AO36" s="79">
        <f t="shared" si="19"/>
        <v>0</v>
      </c>
      <c r="AP36" s="50">
        <v>0</v>
      </c>
      <c r="AQ36" s="79">
        <f t="shared" si="20"/>
        <v>0</v>
      </c>
      <c r="AR36" s="52"/>
      <c r="AS36" s="79">
        <f t="shared" si="21"/>
        <v>0</v>
      </c>
      <c r="AT36" s="52"/>
      <c r="AU36" s="79">
        <f t="shared" si="22"/>
        <v>0</v>
      </c>
      <c r="AV36" s="52"/>
      <c r="AW36" s="79">
        <f t="shared" si="23"/>
        <v>0</v>
      </c>
      <c r="AX36" s="52"/>
      <c r="AY36" s="90">
        <f t="shared" si="24"/>
        <v>0</v>
      </c>
    </row>
    <row r="37" spans="1:51" x14ac:dyDescent="0.25">
      <c r="A37" s="27" t="s">
        <v>76</v>
      </c>
      <c r="B37" s="50">
        <v>0.31180555555555545</v>
      </c>
      <c r="C37" s="79">
        <f t="shared" si="0"/>
        <v>0.90524193548387066</v>
      </c>
      <c r="D37" s="52"/>
      <c r="E37" s="79">
        <f t="shared" si="1"/>
        <v>0</v>
      </c>
      <c r="F37" s="52"/>
      <c r="G37" s="79">
        <f t="shared" si="2"/>
        <v>0</v>
      </c>
      <c r="H37" s="52"/>
      <c r="I37" s="79">
        <f t="shared" si="3"/>
        <v>0</v>
      </c>
      <c r="J37" s="52"/>
      <c r="K37" s="90">
        <f t="shared" si="4"/>
        <v>0</v>
      </c>
      <c r="L37" s="52"/>
      <c r="M37" s="51">
        <f t="shared" si="5"/>
        <v>0</v>
      </c>
      <c r="N37" s="52"/>
      <c r="O37" s="51">
        <f t="shared" si="6"/>
        <v>0</v>
      </c>
      <c r="P37" s="52"/>
      <c r="Q37" s="51">
        <f t="shared" si="7"/>
        <v>0</v>
      </c>
      <c r="R37" s="52"/>
      <c r="S37" s="51">
        <f t="shared" si="8"/>
        <v>0</v>
      </c>
      <c r="T37" s="52"/>
      <c r="U37" s="53">
        <f t="shared" si="9"/>
        <v>0</v>
      </c>
      <c r="V37" s="50"/>
      <c r="W37" s="51">
        <f t="shared" si="10"/>
        <v>0</v>
      </c>
      <c r="X37" s="52"/>
      <c r="Y37" s="51">
        <f t="shared" si="11"/>
        <v>0</v>
      </c>
      <c r="Z37" s="52"/>
      <c r="AA37" s="51">
        <f t="shared" si="12"/>
        <v>0</v>
      </c>
      <c r="AB37" s="52"/>
      <c r="AC37" s="51">
        <f t="shared" si="13"/>
        <v>0</v>
      </c>
      <c r="AD37" s="52"/>
      <c r="AE37" s="51">
        <f t="shared" si="14"/>
        <v>0</v>
      </c>
      <c r="AF37" s="50">
        <v>2.0833333333333259E-2</v>
      </c>
      <c r="AG37" s="79">
        <f t="shared" si="15"/>
        <v>4.6439628482971992E-2</v>
      </c>
      <c r="AH37" s="52"/>
      <c r="AI37" s="79">
        <f t="shared" si="16"/>
        <v>0</v>
      </c>
      <c r="AJ37" s="52"/>
      <c r="AK37" s="79">
        <f t="shared" si="17"/>
        <v>0</v>
      </c>
      <c r="AL37" s="52"/>
      <c r="AM37" s="79">
        <f t="shared" si="18"/>
        <v>0</v>
      </c>
      <c r="AN37" s="52"/>
      <c r="AO37" s="79">
        <f t="shared" si="19"/>
        <v>0</v>
      </c>
      <c r="AP37" s="50">
        <v>0.66111111111111098</v>
      </c>
      <c r="AQ37" s="79">
        <f t="shared" si="20"/>
        <v>0.9916666666666667</v>
      </c>
      <c r="AR37" s="52"/>
      <c r="AS37" s="79">
        <f t="shared" si="21"/>
        <v>0</v>
      </c>
      <c r="AT37" s="52"/>
      <c r="AU37" s="79">
        <f t="shared" si="22"/>
        <v>0</v>
      </c>
      <c r="AV37" s="52"/>
      <c r="AW37" s="79">
        <f t="shared" si="23"/>
        <v>0</v>
      </c>
      <c r="AX37" s="52"/>
      <c r="AY37" s="90">
        <f t="shared" si="24"/>
        <v>0</v>
      </c>
    </row>
    <row r="38" spans="1:51" ht="15.75" thickBot="1" x14ac:dyDescent="0.3">
      <c r="A38" s="27" t="s">
        <v>77</v>
      </c>
      <c r="B38" s="50">
        <v>0</v>
      </c>
      <c r="C38" s="79">
        <f t="shared" si="0"/>
        <v>0</v>
      </c>
      <c r="D38" s="52"/>
      <c r="E38" s="79">
        <f t="shared" si="1"/>
        <v>0</v>
      </c>
      <c r="F38" s="52"/>
      <c r="G38" s="79">
        <f t="shared" si="2"/>
        <v>0</v>
      </c>
      <c r="H38" s="52"/>
      <c r="I38" s="79">
        <f t="shared" si="3"/>
        <v>0</v>
      </c>
      <c r="J38" s="52"/>
      <c r="K38" s="90">
        <f t="shared" si="4"/>
        <v>0</v>
      </c>
      <c r="L38" s="56"/>
      <c r="M38" s="55">
        <f t="shared" si="5"/>
        <v>0</v>
      </c>
      <c r="N38" s="56"/>
      <c r="O38" s="55">
        <f t="shared" si="6"/>
        <v>0</v>
      </c>
      <c r="P38" s="56"/>
      <c r="Q38" s="55">
        <f t="shared" si="7"/>
        <v>0</v>
      </c>
      <c r="R38" s="56"/>
      <c r="S38" s="55">
        <f t="shared" si="8"/>
        <v>0</v>
      </c>
      <c r="T38" s="56"/>
      <c r="U38" s="57">
        <f t="shared" si="9"/>
        <v>0</v>
      </c>
      <c r="V38" s="54"/>
      <c r="W38" s="55">
        <f t="shared" si="10"/>
        <v>0</v>
      </c>
      <c r="X38" s="56"/>
      <c r="Y38" s="55">
        <f t="shared" si="11"/>
        <v>0</v>
      </c>
      <c r="Z38" s="56"/>
      <c r="AA38" s="55">
        <f t="shared" si="12"/>
        <v>0</v>
      </c>
      <c r="AB38" s="56"/>
      <c r="AC38" s="55">
        <f t="shared" si="13"/>
        <v>0</v>
      </c>
      <c r="AD38" s="56"/>
      <c r="AE38" s="55">
        <f t="shared" si="14"/>
        <v>0</v>
      </c>
      <c r="AF38" s="50">
        <v>0</v>
      </c>
      <c r="AG38" s="79">
        <f t="shared" si="15"/>
        <v>0</v>
      </c>
      <c r="AH38" s="52"/>
      <c r="AI38" s="79">
        <f t="shared" si="16"/>
        <v>0</v>
      </c>
      <c r="AJ38" s="52"/>
      <c r="AK38" s="79">
        <f t="shared" si="17"/>
        <v>0</v>
      </c>
      <c r="AL38" s="52"/>
      <c r="AM38" s="79">
        <f t="shared" si="18"/>
        <v>0</v>
      </c>
      <c r="AN38" s="52"/>
      <c r="AO38" s="79">
        <f t="shared" si="19"/>
        <v>0</v>
      </c>
      <c r="AP38" s="50">
        <v>0</v>
      </c>
      <c r="AQ38" s="79">
        <f t="shared" si="20"/>
        <v>0</v>
      </c>
      <c r="AR38" s="52"/>
      <c r="AS38" s="79">
        <f t="shared" si="21"/>
        <v>0</v>
      </c>
      <c r="AT38" s="52"/>
      <c r="AU38" s="79">
        <f t="shared" si="22"/>
        <v>0</v>
      </c>
      <c r="AV38" s="52"/>
      <c r="AW38" s="79">
        <f t="shared" si="23"/>
        <v>0</v>
      </c>
      <c r="AX38" s="52"/>
      <c r="AY38" s="90">
        <f t="shared" si="24"/>
        <v>0</v>
      </c>
    </row>
    <row r="39" spans="1:51" x14ac:dyDescent="0.25">
      <c r="A39" s="27" t="s">
        <v>78</v>
      </c>
      <c r="B39" s="50">
        <v>0</v>
      </c>
      <c r="C39" s="79">
        <f t="shared" si="0"/>
        <v>0</v>
      </c>
      <c r="D39" s="52"/>
      <c r="E39" s="79">
        <f t="shared" si="1"/>
        <v>0</v>
      </c>
      <c r="F39" s="52"/>
      <c r="G39" s="79">
        <f t="shared" si="2"/>
        <v>0</v>
      </c>
      <c r="H39" s="52"/>
      <c r="I39" s="79">
        <f t="shared" si="3"/>
        <v>0</v>
      </c>
      <c r="J39" s="52"/>
      <c r="K39" s="90">
        <f t="shared" si="4"/>
        <v>0</v>
      </c>
      <c r="L39" s="43"/>
      <c r="N39" s="43"/>
      <c r="P39" s="43"/>
      <c r="R39" s="43"/>
      <c r="T39" s="43"/>
      <c r="V39" s="43"/>
      <c r="X39" s="43"/>
      <c r="Z39" s="43"/>
      <c r="AB39" s="43"/>
      <c r="AD39" s="43"/>
      <c r="AF39" s="50">
        <v>0</v>
      </c>
      <c r="AG39" s="79">
        <f t="shared" si="15"/>
        <v>0</v>
      </c>
      <c r="AH39" s="52"/>
      <c r="AI39" s="79">
        <f t="shared" si="16"/>
        <v>0</v>
      </c>
      <c r="AJ39" s="52"/>
      <c r="AK39" s="79">
        <f t="shared" si="17"/>
        <v>0</v>
      </c>
      <c r="AL39" s="52"/>
      <c r="AM39" s="79">
        <f t="shared" si="18"/>
        <v>0</v>
      </c>
      <c r="AN39" s="52"/>
      <c r="AO39" s="79">
        <f t="shared" si="19"/>
        <v>0</v>
      </c>
      <c r="AP39" s="50">
        <v>0</v>
      </c>
      <c r="AQ39" s="79">
        <f t="shared" si="20"/>
        <v>0</v>
      </c>
      <c r="AR39" s="52"/>
      <c r="AS39" s="79">
        <f t="shared" si="21"/>
        <v>0</v>
      </c>
      <c r="AT39" s="52"/>
      <c r="AU39" s="79">
        <f t="shared" si="22"/>
        <v>0</v>
      </c>
      <c r="AV39" s="52"/>
      <c r="AW39" s="79">
        <f t="shared" si="23"/>
        <v>0</v>
      </c>
      <c r="AX39" s="52"/>
      <c r="AY39" s="90">
        <f t="shared" si="24"/>
        <v>0</v>
      </c>
    </row>
    <row r="40" spans="1:51" ht="15.75" thickBot="1" x14ac:dyDescent="0.3">
      <c r="A40" s="28" t="s">
        <v>79</v>
      </c>
      <c r="B40" s="50">
        <v>0</v>
      </c>
      <c r="C40" s="79">
        <f t="shared" si="0"/>
        <v>0</v>
      </c>
      <c r="D40" s="52"/>
      <c r="E40" s="79">
        <f t="shared" si="1"/>
        <v>0</v>
      </c>
      <c r="F40" s="52"/>
      <c r="G40" s="79">
        <f t="shared" si="2"/>
        <v>0</v>
      </c>
      <c r="H40" s="52"/>
      <c r="I40" s="79">
        <f t="shared" si="3"/>
        <v>0</v>
      </c>
      <c r="J40" s="52"/>
      <c r="K40" s="90">
        <f t="shared" si="4"/>
        <v>0</v>
      </c>
      <c r="P40" s="37">
        <v>27.6666666666667</v>
      </c>
      <c r="R40" s="37">
        <v>27.6666666666667</v>
      </c>
      <c r="Z40" s="37">
        <v>8.3666666666666707</v>
      </c>
      <c r="AB40" s="37">
        <v>8.3666666666666707</v>
      </c>
      <c r="AF40" s="50">
        <v>0</v>
      </c>
      <c r="AG40" s="79">
        <f t="shared" si="15"/>
        <v>0</v>
      </c>
      <c r="AH40" s="52"/>
      <c r="AI40" s="79">
        <f t="shared" si="16"/>
        <v>0</v>
      </c>
      <c r="AJ40" s="52"/>
      <c r="AK40" s="79">
        <f t="shared" si="17"/>
        <v>0</v>
      </c>
      <c r="AL40" s="52"/>
      <c r="AM40" s="79">
        <f t="shared" si="18"/>
        <v>0</v>
      </c>
      <c r="AN40" s="52"/>
      <c r="AO40" s="79">
        <f t="shared" si="19"/>
        <v>0</v>
      </c>
      <c r="AP40" s="50">
        <v>0</v>
      </c>
      <c r="AQ40" s="79">
        <f t="shared" si="20"/>
        <v>0</v>
      </c>
      <c r="AR40" s="52"/>
      <c r="AS40" s="79">
        <f t="shared" si="21"/>
        <v>0</v>
      </c>
      <c r="AT40" s="52"/>
      <c r="AU40" s="79">
        <f t="shared" si="22"/>
        <v>0</v>
      </c>
      <c r="AV40" s="52"/>
      <c r="AW40" s="79">
        <f t="shared" si="23"/>
        <v>0</v>
      </c>
      <c r="AX40" s="52"/>
      <c r="AY40" s="90">
        <f t="shared" si="24"/>
        <v>0</v>
      </c>
    </row>
    <row r="41" spans="1:51" ht="15.75" thickBot="1" x14ac:dyDescent="0.3">
      <c r="A41" s="28" t="s">
        <v>80</v>
      </c>
      <c r="B41" s="50">
        <v>0</v>
      </c>
      <c r="C41" s="79">
        <f t="shared" si="0"/>
        <v>0</v>
      </c>
      <c r="D41" s="52"/>
      <c r="E41" s="79">
        <f t="shared" si="1"/>
        <v>0</v>
      </c>
      <c r="F41" s="52"/>
      <c r="G41" s="79">
        <f t="shared" si="2"/>
        <v>0</v>
      </c>
      <c r="H41" s="52"/>
      <c r="I41" s="79">
        <f t="shared" si="3"/>
        <v>0</v>
      </c>
      <c r="J41" s="52"/>
      <c r="K41" s="90">
        <f t="shared" si="4"/>
        <v>0</v>
      </c>
      <c r="P41" s="37">
        <v>27.6666666666667</v>
      </c>
      <c r="R41" s="37">
        <v>27.6666666666667</v>
      </c>
      <c r="Z41" s="37">
        <v>8.3666666666666707</v>
      </c>
      <c r="AB41" s="37">
        <v>8.3666666666666707</v>
      </c>
      <c r="AF41" s="50">
        <v>0</v>
      </c>
      <c r="AG41" s="79">
        <f t="shared" si="15"/>
        <v>0</v>
      </c>
      <c r="AH41" s="52"/>
      <c r="AI41" s="79">
        <f t="shared" si="16"/>
        <v>0</v>
      </c>
      <c r="AJ41" s="52"/>
      <c r="AK41" s="79">
        <f t="shared" si="17"/>
        <v>0</v>
      </c>
      <c r="AL41" s="52"/>
      <c r="AM41" s="79">
        <f t="shared" si="18"/>
        <v>0</v>
      </c>
      <c r="AN41" s="52"/>
      <c r="AO41" s="79">
        <f t="shared" si="19"/>
        <v>0</v>
      </c>
      <c r="AP41" s="50">
        <v>0</v>
      </c>
      <c r="AQ41" s="79">
        <f t="shared" si="20"/>
        <v>0</v>
      </c>
      <c r="AR41" s="52"/>
      <c r="AS41" s="79">
        <f t="shared" si="21"/>
        <v>0</v>
      </c>
      <c r="AT41" s="52"/>
      <c r="AU41" s="79">
        <f t="shared" si="22"/>
        <v>0</v>
      </c>
      <c r="AV41" s="52"/>
      <c r="AW41" s="79">
        <f t="shared" si="23"/>
        <v>0</v>
      </c>
      <c r="AX41" s="52"/>
      <c r="AY41" s="90">
        <f t="shared" si="24"/>
        <v>0</v>
      </c>
    </row>
    <row r="42" spans="1:51" ht="15.75" thickBot="1" x14ac:dyDescent="0.3">
      <c r="A42" s="28" t="s">
        <v>227</v>
      </c>
      <c r="B42" s="54">
        <v>0</v>
      </c>
      <c r="C42" s="88">
        <f t="shared" si="0"/>
        <v>0</v>
      </c>
      <c r="D42" s="56"/>
      <c r="E42" s="88">
        <f t="shared" si="1"/>
        <v>0</v>
      </c>
      <c r="F42" s="56"/>
      <c r="G42" s="88">
        <f t="shared" si="2"/>
        <v>0</v>
      </c>
      <c r="H42" s="56"/>
      <c r="I42" s="88">
        <f t="shared" si="3"/>
        <v>0</v>
      </c>
      <c r="J42" s="56"/>
      <c r="K42" s="91">
        <f t="shared" si="4"/>
        <v>0</v>
      </c>
      <c r="AF42" s="54">
        <v>0</v>
      </c>
      <c r="AG42" s="88">
        <f t="shared" si="15"/>
        <v>0</v>
      </c>
      <c r="AH42" s="56"/>
      <c r="AI42" s="88">
        <f t="shared" si="16"/>
        <v>0</v>
      </c>
      <c r="AJ42" s="56"/>
      <c r="AK42" s="88">
        <f t="shared" si="17"/>
        <v>0</v>
      </c>
      <c r="AL42" s="56"/>
      <c r="AM42" s="88">
        <f t="shared" si="18"/>
        <v>0</v>
      </c>
      <c r="AN42" s="56"/>
      <c r="AO42" s="88">
        <f t="shared" si="19"/>
        <v>0</v>
      </c>
      <c r="AP42" s="54">
        <v>0</v>
      </c>
      <c r="AQ42" s="88">
        <f t="shared" si="20"/>
        <v>0</v>
      </c>
      <c r="AR42" s="56"/>
      <c r="AS42" s="88">
        <f t="shared" si="21"/>
        <v>0</v>
      </c>
      <c r="AT42" s="56"/>
      <c r="AU42" s="88">
        <f t="shared" si="22"/>
        <v>0</v>
      </c>
      <c r="AV42" s="56"/>
      <c r="AW42" s="88">
        <f t="shared" si="23"/>
        <v>0</v>
      </c>
      <c r="AX42" s="56"/>
      <c r="AY42" s="91">
        <f t="shared" si="24"/>
        <v>0</v>
      </c>
    </row>
    <row r="43" spans="1:51" x14ac:dyDescent="0.25">
      <c r="B43" s="77">
        <f>SUM(B4:B42)</f>
        <v>0.34444444444444444</v>
      </c>
      <c r="C43"/>
      <c r="D43" s="77">
        <f>SUM(D4:D42)</f>
        <v>0</v>
      </c>
      <c r="E43"/>
      <c r="F43" s="77">
        <f>SUM(F4:F42)</f>
        <v>0</v>
      </c>
      <c r="G43"/>
      <c r="H43" s="77">
        <f>SUM(H4:H42)</f>
        <v>0</v>
      </c>
      <c r="I43"/>
      <c r="J43" s="77">
        <f>SUM(J4:J42)</f>
        <v>0</v>
      </c>
      <c r="K43"/>
      <c r="AF43" s="77">
        <f>SUM(AF4:AF42)</f>
        <v>0.44861111111111091</v>
      </c>
      <c r="AG43"/>
      <c r="AH43" s="77">
        <f>SUM(AH4:AH42)</f>
        <v>0</v>
      </c>
      <c r="AI43"/>
      <c r="AJ43" s="77">
        <f>SUM(AJ4:AJ42)</f>
        <v>0</v>
      </c>
      <c r="AK43"/>
      <c r="AL43" s="77">
        <f>SUM(AL4:AL42)</f>
        <v>0</v>
      </c>
      <c r="AM43"/>
      <c r="AN43" s="77">
        <f>SUM(AN4:AN42)</f>
        <v>0</v>
      </c>
      <c r="AO43"/>
      <c r="AP43" s="77">
        <f>SUM(AP4:AP42)</f>
        <v>0.66666666666666652</v>
      </c>
      <c r="AQ43"/>
      <c r="AR43" s="77">
        <f>SUM(AR4:AR42)</f>
        <v>0</v>
      </c>
      <c r="AS43"/>
      <c r="AT43" s="77">
        <f>SUM(AT4:AT42)</f>
        <v>0</v>
      </c>
      <c r="AU43"/>
      <c r="AV43" s="77">
        <f>SUM(AV4:AV42)</f>
        <v>0</v>
      </c>
      <c r="AW43"/>
      <c r="AX43" s="77">
        <f>SUM(AX4:AX42)</f>
        <v>0</v>
      </c>
      <c r="AY43"/>
    </row>
    <row r="44" spans="1:51" x14ac:dyDescent="0.25">
      <c r="B44" s="37">
        <v>8.2666666666666693</v>
      </c>
      <c r="AF44" s="37">
        <v>10.766666666666699</v>
      </c>
      <c r="AP44" s="37">
        <v>16</v>
      </c>
    </row>
    <row r="45" spans="1:51" x14ac:dyDescent="0.25">
      <c r="B45" s="37">
        <v>0</v>
      </c>
      <c r="AF45" s="37">
        <v>0</v>
      </c>
      <c r="AP45" s="37">
        <v>0</v>
      </c>
    </row>
  </sheetData>
  <mergeCells count="30">
    <mergeCell ref="H2:I2"/>
    <mergeCell ref="J2:K2"/>
    <mergeCell ref="L1:U1"/>
    <mergeCell ref="L2:M2"/>
    <mergeCell ref="N2:O2"/>
    <mergeCell ref="P2:Q2"/>
    <mergeCell ref="R2:S2"/>
    <mergeCell ref="T2:U2"/>
    <mergeCell ref="B1:K1"/>
    <mergeCell ref="B2:C2"/>
    <mergeCell ref="D2:E2"/>
    <mergeCell ref="F2:G2"/>
    <mergeCell ref="V1:AE1"/>
    <mergeCell ref="V2:W2"/>
    <mergeCell ref="X2:Y2"/>
    <mergeCell ref="Z2:AA2"/>
    <mergeCell ref="AB2:AC2"/>
    <mergeCell ref="AD2:AE2"/>
    <mergeCell ref="AF1:AO1"/>
    <mergeCell ref="AF2:AG2"/>
    <mergeCell ref="AH2:AI2"/>
    <mergeCell ref="AJ2:AK2"/>
    <mergeCell ref="AL2:AM2"/>
    <mergeCell ref="AN2:AO2"/>
    <mergeCell ref="AP1:AY1"/>
    <mergeCell ref="AP2:AQ2"/>
    <mergeCell ref="AR2:AS2"/>
    <mergeCell ref="AT2:AU2"/>
    <mergeCell ref="AV2:AW2"/>
    <mergeCell ref="AX2:AY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O45"/>
  <sheetViews>
    <sheetView zoomScale="70" zoomScaleNormal="70" workbookViewId="0">
      <selection activeCell="B2" sqref="B2:DB2"/>
    </sheetView>
  </sheetViews>
  <sheetFormatPr defaultRowHeight="15" x14ac:dyDescent="0.25"/>
  <cols>
    <col min="1" max="1" width="34.28515625" style="37" bestFit="1" customWidth="1"/>
    <col min="2" max="15" width="9.140625" style="37"/>
    <col min="16" max="16" width="10.5703125" style="37" customWidth="1"/>
    <col min="17" max="17" width="9.140625" style="37"/>
    <col min="18" max="18" width="12.140625" style="37" customWidth="1"/>
    <col min="19" max="25" width="9.140625" style="37"/>
    <col min="26" max="26" width="14.85546875" style="37" bestFit="1" customWidth="1"/>
    <col min="27" max="27" width="9.140625" style="37"/>
    <col min="28" max="28" width="10.5703125" style="37" customWidth="1"/>
    <col min="29" max="37" width="9.140625" style="37"/>
    <col min="38" max="38" width="10.7109375" style="37" customWidth="1"/>
    <col min="39" max="16384" width="9.140625" style="37"/>
  </cols>
  <sheetData>
    <row r="1" spans="1:41" ht="15.75" customHeight="1" thickBot="1" x14ac:dyDescent="0.3">
      <c r="B1" s="73" t="s">
        <v>33</v>
      </c>
      <c r="C1" s="68"/>
      <c r="D1" s="68"/>
      <c r="E1" s="68"/>
      <c r="F1" s="68"/>
      <c r="G1" s="68"/>
      <c r="H1" s="68"/>
      <c r="I1" s="68"/>
      <c r="J1" s="68"/>
      <c r="K1" s="69"/>
      <c r="L1" s="73" t="s">
        <v>39</v>
      </c>
      <c r="M1" s="68"/>
      <c r="N1" s="68"/>
      <c r="O1" s="68"/>
      <c r="P1" s="68"/>
      <c r="Q1" s="68"/>
      <c r="R1" s="68"/>
      <c r="S1" s="68"/>
      <c r="T1" s="68"/>
      <c r="U1" s="69"/>
      <c r="V1" s="73" t="s">
        <v>41</v>
      </c>
      <c r="W1" s="68"/>
      <c r="X1" s="68"/>
      <c r="Y1" s="68"/>
      <c r="Z1" s="68"/>
      <c r="AA1" s="68"/>
      <c r="AB1" s="68"/>
      <c r="AC1" s="68"/>
      <c r="AD1" s="68"/>
      <c r="AE1" s="69"/>
      <c r="AF1" s="73" t="s">
        <v>60</v>
      </c>
      <c r="AG1" s="68"/>
      <c r="AH1" s="68"/>
      <c r="AI1" s="68"/>
      <c r="AJ1" s="68"/>
      <c r="AK1" s="68"/>
      <c r="AL1" s="68"/>
      <c r="AM1" s="68"/>
      <c r="AN1" s="68"/>
      <c r="AO1" s="69"/>
    </row>
    <row r="2" spans="1:41" x14ac:dyDescent="0.25">
      <c r="B2" s="65">
        <f ca="1">SunDates!$H1</f>
        <v>43134</v>
      </c>
      <c r="C2" s="66"/>
      <c r="D2" s="65">
        <f ca="1">SunDates!$H2</f>
        <v>43141</v>
      </c>
      <c r="E2" s="66"/>
      <c r="F2" s="65">
        <f ca="1">SunDates!$H3</f>
        <v>43148</v>
      </c>
      <c r="G2" s="66"/>
      <c r="H2" s="65">
        <f ca="1">SunDates!$H4</f>
        <v>43155</v>
      </c>
      <c r="I2" s="66"/>
      <c r="J2" s="65">
        <f ca="1">SunDates!$H5</f>
        <v>43159</v>
      </c>
      <c r="K2" s="66"/>
      <c r="L2" s="65">
        <f ca="1">SunDates!$H1</f>
        <v>43134</v>
      </c>
      <c r="M2" s="66"/>
      <c r="N2" s="65">
        <f ca="1">SunDates!$H2</f>
        <v>43141</v>
      </c>
      <c r="O2" s="66"/>
      <c r="P2" s="65">
        <f ca="1">SunDates!$H3</f>
        <v>43148</v>
      </c>
      <c r="Q2" s="66"/>
      <c r="R2" s="65">
        <f ca="1">SunDates!$H4</f>
        <v>43155</v>
      </c>
      <c r="S2" s="66"/>
      <c r="T2" s="65">
        <f ca="1">SunDates!$H5</f>
        <v>43159</v>
      </c>
      <c r="U2" s="66"/>
      <c r="V2" s="65">
        <f ca="1">SunDates!$H1</f>
        <v>43134</v>
      </c>
      <c r="W2" s="66"/>
      <c r="X2" s="65">
        <f ca="1">SunDates!$H2</f>
        <v>43141</v>
      </c>
      <c r="Y2" s="66"/>
      <c r="Z2" s="65">
        <f ca="1">SunDates!$H3</f>
        <v>43148</v>
      </c>
      <c r="AA2" s="66"/>
      <c r="AB2" s="65">
        <f ca="1">SunDates!$H4</f>
        <v>43155</v>
      </c>
      <c r="AC2" s="66"/>
      <c r="AD2" s="65">
        <f ca="1">SunDates!$H5</f>
        <v>43159</v>
      </c>
      <c r="AE2" s="66"/>
      <c r="AF2" s="65">
        <f ca="1">SunDates!$H1</f>
        <v>43134</v>
      </c>
      <c r="AG2" s="66"/>
      <c r="AH2" s="65">
        <f ca="1">SunDates!$H2</f>
        <v>43141</v>
      </c>
      <c r="AI2" s="66"/>
      <c r="AJ2" s="65">
        <f ca="1">SunDates!$H3</f>
        <v>43148</v>
      </c>
      <c r="AK2" s="66"/>
      <c r="AL2" s="65">
        <f ca="1">SunDates!$H4</f>
        <v>43155</v>
      </c>
      <c r="AM2" s="66"/>
      <c r="AN2" s="65">
        <f ca="1">SunDates!$H5</f>
        <v>43159</v>
      </c>
      <c r="AO2" s="66"/>
    </row>
    <row r="3" spans="1:41" ht="15.75" thickBot="1" x14ac:dyDescent="0.3">
      <c r="B3" s="85" t="s">
        <v>169</v>
      </c>
      <c r="C3" s="86" t="s">
        <v>170</v>
      </c>
      <c r="D3" s="86" t="s">
        <v>169</v>
      </c>
      <c r="E3" s="86" t="s">
        <v>170</v>
      </c>
      <c r="F3" s="86" t="s">
        <v>169</v>
      </c>
      <c r="G3" s="86" t="s">
        <v>170</v>
      </c>
      <c r="H3" s="86" t="s">
        <v>169</v>
      </c>
      <c r="I3" s="86" t="s">
        <v>170</v>
      </c>
      <c r="J3" s="86" t="s">
        <v>169</v>
      </c>
      <c r="K3" s="87" t="s">
        <v>170</v>
      </c>
      <c r="L3" s="85" t="s">
        <v>169</v>
      </c>
      <c r="M3" s="86" t="s">
        <v>170</v>
      </c>
      <c r="N3" s="86" t="s">
        <v>169</v>
      </c>
      <c r="O3" s="86" t="s">
        <v>170</v>
      </c>
      <c r="P3" s="86" t="s">
        <v>169</v>
      </c>
      <c r="Q3" s="86" t="s">
        <v>170</v>
      </c>
      <c r="R3" s="86" t="s">
        <v>169</v>
      </c>
      <c r="S3" s="86" t="s">
        <v>170</v>
      </c>
      <c r="T3" s="86" t="s">
        <v>169</v>
      </c>
      <c r="U3" s="87" t="s">
        <v>170</v>
      </c>
      <c r="V3" s="85" t="s">
        <v>169</v>
      </c>
      <c r="W3" s="86" t="s">
        <v>170</v>
      </c>
      <c r="X3" s="86" t="s">
        <v>169</v>
      </c>
      <c r="Y3" s="86" t="s">
        <v>170</v>
      </c>
      <c r="Z3" s="86" t="s">
        <v>169</v>
      </c>
      <c r="AA3" s="86" t="s">
        <v>170</v>
      </c>
      <c r="AB3" s="86" t="s">
        <v>169</v>
      </c>
      <c r="AC3" s="86" t="s">
        <v>170</v>
      </c>
      <c r="AD3" s="86" t="s">
        <v>169</v>
      </c>
      <c r="AE3" s="87" t="s">
        <v>170</v>
      </c>
      <c r="AF3" s="85" t="s">
        <v>169</v>
      </c>
      <c r="AG3" s="86" t="s">
        <v>170</v>
      </c>
      <c r="AH3" s="86" t="s">
        <v>169</v>
      </c>
      <c r="AI3" s="86" t="s">
        <v>170</v>
      </c>
      <c r="AJ3" s="86" t="s">
        <v>169</v>
      </c>
      <c r="AK3" s="86" t="s">
        <v>170</v>
      </c>
      <c r="AL3" s="86" t="s">
        <v>169</v>
      </c>
      <c r="AM3" s="86" t="s">
        <v>170</v>
      </c>
      <c r="AN3" s="86" t="s">
        <v>169</v>
      </c>
      <c r="AO3" s="87" t="s">
        <v>170</v>
      </c>
    </row>
    <row r="4" spans="1:41" x14ac:dyDescent="0.25">
      <c r="A4" s="25" t="s">
        <v>223</v>
      </c>
      <c r="B4" s="46">
        <v>0</v>
      </c>
      <c r="C4" s="78">
        <f t="shared" ref="C4:C42" si="0">IFERROR(B4/$B$43,0)</f>
        <v>0</v>
      </c>
      <c r="D4" s="48"/>
      <c r="E4" s="78">
        <f t="shared" ref="E4:E42" si="1">IFERROR(D4/$B$43,0)</f>
        <v>0</v>
      </c>
      <c r="F4" s="48"/>
      <c r="G4" s="78">
        <f t="shared" ref="G4:G42" si="2">IFERROR(F4/$B$43,0)</f>
        <v>0</v>
      </c>
      <c r="H4" s="48"/>
      <c r="I4" s="78">
        <f t="shared" ref="I4:I42" si="3">IFERROR(H4/$B$43,0)</f>
        <v>0</v>
      </c>
      <c r="J4" s="48"/>
      <c r="K4" s="78">
        <f t="shared" ref="K4:K42" si="4">IFERROR(J4/$B$43,0)</f>
        <v>0</v>
      </c>
      <c r="L4" s="46">
        <v>0</v>
      </c>
      <c r="M4" s="78">
        <f t="shared" ref="M4:M42" si="5">IFERROR(L4/$L$43,0)</f>
        <v>0</v>
      </c>
      <c r="N4" s="48"/>
      <c r="O4" s="78">
        <f t="shared" ref="O4:O42" si="6">IFERROR(N4/$L$43,0)</f>
        <v>0</v>
      </c>
      <c r="P4" s="48"/>
      <c r="Q4" s="78">
        <f t="shared" ref="Q4:Q42" si="7">IFERROR(P4/$L$43,0)</f>
        <v>0</v>
      </c>
      <c r="R4" s="48"/>
      <c r="S4" s="78">
        <f t="shared" ref="S4:S42" si="8">IFERROR(R4/$L$43,0)</f>
        <v>0</v>
      </c>
      <c r="T4" s="48"/>
      <c r="U4" s="78">
        <f t="shared" ref="U4:U42" si="9">IFERROR(T4/$L$43,0)</f>
        <v>0</v>
      </c>
      <c r="V4" s="46">
        <v>0</v>
      </c>
      <c r="W4" s="78">
        <f t="shared" ref="W4:W42" si="10">IFERROR(V4/$V$43,0)</f>
        <v>0</v>
      </c>
      <c r="X4" s="48"/>
      <c r="Y4" s="78">
        <f t="shared" ref="Y4:Y42" si="11">IFERROR(X4/$V$43,0)</f>
        <v>0</v>
      </c>
      <c r="Z4" s="48"/>
      <c r="AA4" s="78">
        <f t="shared" ref="AA4:AA42" si="12">IFERROR(Z4/$V$43,0)</f>
        <v>0</v>
      </c>
      <c r="AB4" s="48"/>
      <c r="AC4" s="78">
        <f t="shared" ref="AC4:AC42" si="13">IFERROR(AB4/$V$43,0)</f>
        <v>0</v>
      </c>
      <c r="AD4" s="48"/>
      <c r="AE4" s="78">
        <f t="shared" ref="AE4:AE42" si="14">IFERROR(AD4/$V$43,0)</f>
        <v>0</v>
      </c>
      <c r="AF4" s="46">
        <v>0</v>
      </c>
      <c r="AG4" s="78">
        <f t="shared" ref="AG4:AG42" si="15">IFERROR(AF4/$AF$43,0)</f>
        <v>0</v>
      </c>
      <c r="AH4" s="48"/>
      <c r="AI4" s="78">
        <f t="shared" ref="AI4:AI42" si="16">IFERROR(AH4/$AF$43,0)</f>
        <v>0</v>
      </c>
      <c r="AJ4" s="48"/>
      <c r="AK4" s="78">
        <f t="shared" ref="AK4:AK42" si="17">IFERROR(AJ4/$AF$43,0)</f>
        <v>0</v>
      </c>
      <c r="AL4" s="48"/>
      <c r="AM4" s="78">
        <f t="shared" ref="AM4:AM42" si="18">IFERROR(AL4/$AF$43,0)</f>
        <v>0</v>
      </c>
      <c r="AN4" s="48"/>
      <c r="AO4" s="89">
        <f t="shared" ref="AO4:AO42" si="19">IFERROR(AN4/$AF$43,0)</f>
        <v>0</v>
      </c>
    </row>
    <row r="5" spans="1:41" x14ac:dyDescent="0.25">
      <c r="A5" s="75" t="s">
        <v>224</v>
      </c>
      <c r="B5" s="50">
        <v>0</v>
      </c>
      <c r="C5" s="79">
        <f t="shared" si="0"/>
        <v>0</v>
      </c>
      <c r="D5" s="52"/>
      <c r="E5" s="79">
        <f t="shared" si="1"/>
        <v>0</v>
      </c>
      <c r="F5" s="52"/>
      <c r="G5" s="79">
        <f t="shared" si="2"/>
        <v>0</v>
      </c>
      <c r="H5" s="52"/>
      <c r="I5" s="79">
        <f t="shared" si="3"/>
        <v>0</v>
      </c>
      <c r="J5" s="52"/>
      <c r="K5" s="79">
        <f t="shared" si="4"/>
        <v>0</v>
      </c>
      <c r="L5" s="50">
        <v>0</v>
      </c>
      <c r="M5" s="79">
        <f t="shared" si="5"/>
        <v>0</v>
      </c>
      <c r="N5" s="52"/>
      <c r="O5" s="79">
        <f t="shared" si="6"/>
        <v>0</v>
      </c>
      <c r="P5" s="52"/>
      <c r="Q5" s="79">
        <f t="shared" si="7"/>
        <v>0</v>
      </c>
      <c r="R5" s="52"/>
      <c r="S5" s="79">
        <f t="shared" si="8"/>
        <v>0</v>
      </c>
      <c r="T5" s="52"/>
      <c r="U5" s="79">
        <f t="shared" si="9"/>
        <v>0</v>
      </c>
      <c r="V5" s="50">
        <v>0</v>
      </c>
      <c r="W5" s="79">
        <f t="shared" si="10"/>
        <v>0</v>
      </c>
      <c r="X5" s="52"/>
      <c r="Y5" s="79">
        <f t="shared" si="11"/>
        <v>0</v>
      </c>
      <c r="Z5" s="52"/>
      <c r="AA5" s="79">
        <f t="shared" si="12"/>
        <v>0</v>
      </c>
      <c r="AB5" s="52"/>
      <c r="AC5" s="79">
        <f t="shared" si="13"/>
        <v>0</v>
      </c>
      <c r="AD5" s="52"/>
      <c r="AE5" s="79">
        <f t="shared" si="14"/>
        <v>0</v>
      </c>
      <c r="AF5" s="50">
        <v>0</v>
      </c>
      <c r="AG5" s="79">
        <f t="shared" si="15"/>
        <v>0</v>
      </c>
      <c r="AH5" s="52"/>
      <c r="AI5" s="79">
        <f t="shared" si="16"/>
        <v>0</v>
      </c>
      <c r="AJ5" s="52"/>
      <c r="AK5" s="79">
        <f t="shared" si="17"/>
        <v>0</v>
      </c>
      <c r="AL5" s="52"/>
      <c r="AM5" s="79">
        <f t="shared" si="18"/>
        <v>0</v>
      </c>
      <c r="AN5" s="52"/>
      <c r="AO5" s="90">
        <f t="shared" si="19"/>
        <v>0</v>
      </c>
    </row>
    <row r="6" spans="1:41" x14ac:dyDescent="0.25">
      <c r="A6" s="75" t="s">
        <v>225</v>
      </c>
      <c r="B6" s="50">
        <v>0</v>
      </c>
      <c r="C6" s="79">
        <f t="shared" si="0"/>
        <v>0</v>
      </c>
      <c r="D6" s="52"/>
      <c r="E6" s="79">
        <f t="shared" si="1"/>
        <v>0</v>
      </c>
      <c r="F6" s="52"/>
      <c r="G6" s="79">
        <f t="shared" si="2"/>
        <v>0</v>
      </c>
      <c r="H6" s="52"/>
      <c r="I6" s="79">
        <f t="shared" si="3"/>
        <v>0</v>
      </c>
      <c r="J6" s="52"/>
      <c r="K6" s="79">
        <f t="shared" si="4"/>
        <v>0</v>
      </c>
      <c r="L6" s="50">
        <v>0</v>
      </c>
      <c r="M6" s="79">
        <f t="shared" si="5"/>
        <v>0</v>
      </c>
      <c r="N6" s="52"/>
      <c r="O6" s="79">
        <f t="shared" si="6"/>
        <v>0</v>
      </c>
      <c r="P6" s="52"/>
      <c r="Q6" s="79">
        <f t="shared" si="7"/>
        <v>0</v>
      </c>
      <c r="R6" s="52"/>
      <c r="S6" s="79">
        <f t="shared" si="8"/>
        <v>0</v>
      </c>
      <c r="T6" s="52"/>
      <c r="U6" s="79">
        <f t="shared" si="9"/>
        <v>0</v>
      </c>
      <c r="V6" s="50">
        <v>0</v>
      </c>
      <c r="W6" s="79">
        <f t="shared" si="10"/>
        <v>0</v>
      </c>
      <c r="X6" s="52"/>
      <c r="Y6" s="79">
        <f t="shared" si="11"/>
        <v>0</v>
      </c>
      <c r="Z6" s="52"/>
      <c r="AA6" s="79">
        <f t="shared" si="12"/>
        <v>0</v>
      </c>
      <c r="AB6" s="52"/>
      <c r="AC6" s="79">
        <f t="shared" si="13"/>
        <v>0</v>
      </c>
      <c r="AD6" s="52"/>
      <c r="AE6" s="79">
        <f t="shared" si="14"/>
        <v>0</v>
      </c>
      <c r="AF6" s="50">
        <v>0</v>
      </c>
      <c r="AG6" s="79">
        <f t="shared" si="15"/>
        <v>0</v>
      </c>
      <c r="AH6" s="52"/>
      <c r="AI6" s="79">
        <f t="shared" si="16"/>
        <v>0</v>
      </c>
      <c r="AJ6" s="52"/>
      <c r="AK6" s="79">
        <f t="shared" si="17"/>
        <v>0</v>
      </c>
      <c r="AL6" s="52"/>
      <c r="AM6" s="79">
        <f t="shared" si="18"/>
        <v>0</v>
      </c>
      <c r="AN6" s="52"/>
      <c r="AO6" s="90">
        <f t="shared" si="19"/>
        <v>0</v>
      </c>
    </row>
    <row r="7" spans="1:41" x14ac:dyDescent="0.25">
      <c r="A7" s="75" t="s">
        <v>226</v>
      </c>
      <c r="B7" s="50">
        <v>0</v>
      </c>
      <c r="C7" s="79">
        <f t="shared" si="0"/>
        <v>0</v>
      </c>
      <c r="D7" s="52"/>
      <c r="E7" s="79">
        <f t="shared" si="1"/>
        <v>0</v>
      </c>
      <c r="F7" s="52"/>
      <c r="G7" s="79">
        <f t="shared" si="2"/>
        <v>0</v>
      </c>
      <c r="H7" s="52"/>
      <c r="I7" s="79">
        <f t="shared" si="3"/>
        <v>0</v>
      </c>
      <c r="J7" s="52"/>
      <c r="K7" s="79">
        <f t="shared" si="4"/>
        <v>0</v>
      </c>
      <c r="L7" s="50">
        <v>0</v>
      </c>
      <c r="M7" s="79">
        <f t="shared" si="5"/>
        <v>0</v>
      </c>
      <c r="N7" s="52"/>
      <c r="O7" s="79">
        <f t="shared" si="6"/>
        <v>0</v>
      </c>
      <c r="P7" s="52"/>
      <c r="Q7" s="79">
        <f t="shared" si="7"/>
        <v>0</v>
      </c>
      <c r="R7" s="52"/>
      <c r="S7" s="79">
        <f t="shared" si="8"/>
        <v>0</v>
      </c>
      <c r="T7" s="52"/>
      <c r="U7" s="79">
        <f t="shared" si="9"/>
        <v>0</v>
      </c>
      <c r="V7" s="50">
        <v>0</v>
      </c>
      <c r="W7" s="79">
        <f t="shared" si="10"/>
        <v>0</v>
      </c>
      <c r="X7" s="52"/>
      <c r="Y7" s="79">
        <f t="shared" si="11"/>
        <v>0</v>
      </c>
      <c r="Z7" s="52"/>
      <c r="AA7" s="79">
        <f t="shared" si="12"/>
        <v>0</v>
      </c>
      <c r="AB7" s="52"/>
      <c r="AC7" s="79">
        <f t="shared" si="13"/>
        <v>0</v>
      </c>
      <c r="AD7" s="52"/>
      <c r="AE7" s="79">
        <f t="shared" si="14"/>
        <v>0</v>
      </c>
      <c r="AF7" s="50">
        <v>0</v>
      </c>
      <c r="AG7" s="79">
        <f t="shared" si="15"/>
        <v>0</v>
      </c>
      <c r="AH7" s="52"/>
      <c r="AI7" s="79">
        <f t="shared" si="16"/>
        <v>0</v>
      </c>
      <c r="AJ7" s="52"/>
      <c r="AK7" s="79">
        <f t="shared" si="17"/>
        <v>0</v>
      </c>
      <c r="AL7" s="52"/>
      <c r="AM7" s="79">
        <f t="shared" si="18"/>
        <v>0</v>
      </c>
      <c r="AN7" s="52"/>
      <c r="AO7" s="90">
        <f t="shared" si="19"/>
        <v>0</v>
      </c>
    </row>
    <row r="8" spans="1:41" x14ac:dyDescent="0.25">
      <c r="A8" s="26" t="s">
        <v>63</v>
      </c>
      <c r="B8" s="50">
        <v>0</v>
      </c>
      <c r="C8" s="79">
        <f t="shared" si="0"/>
        <v>0</v>
      </c>
      <c r="D8" s="52"/>
      <c r="E8" s="79">
        <f t="shared" si="1"/>
        <v>0</v>
      </c>
      <c r="F8" s="52"/>
      <c r="G8" s="79">
        <f t="shared" si="2"/>
        <v>0</v>
      </c>
      <c r="H8" s="52"/>
      <c r="I8" s="79">
        <f t="shared" si="3"/>
        <v>0</v>
      </c>
      <c r="J8" s="52"/>
      <c r="K8" s="79">
        <f t="shared" si="4"/>
        <v>0</v>
      </c>
      <c r="L8" s="50">
        <v>2.430555555555558E-2</v>
      </c>
      <c r="M8" s="79">
        <f t="shared" si="5"/>
        <v>3.2110091743119296E-2</v>
      </c>
      <c r="N8" s="52"/>
      <c r="O8" s="79">
        <f t="shared" si="6"/>
        <v>0</v>
      </c>
      <c r="P8" s="52"/>
      <c r="Q8" s="79">
        <f t="shared" si="7"/>
        <v>0</v>
      </c>
      <c r="R8" s="52"/>
      <c r="S8" s="79">
        <f t="shared" si="8"/>
        <v>0</v>
      </c>
      <c r="T8" s="52"/>
      <c r="U8" s="79">
        <f t="shared" si="9"/>
        <v>0</v>
      </c>
      <c r="V8" s="50">
        <v>2.2222222222222254E-2</v>
      </c>
      <c r="W8" s="79">
        <f t="shared" si="10"/>
        <v>2.8094820017559308E-2</v>
      </c>
      <c r="X8" s="52"/>
      <c r="Y8" s="79">
        <f t="shared" si="11"/>
        <v>0</v>
      </c>
      <c r="Z8" s="52"/>
      <c r="AA8" s="79">
        <f t="shared" si="12"/>
        <v>0</v>
      </c>
      <c r="AB8" s="52"/>
      <c r="AC8" s="79">
        <f t="shared" si="13"/>
        <v>0</v>
      </c>
      <c r="AD8" s="52"/>
      <c r="AE8" s="79">
        <f t="shared" si="14"/>
        <v>0</v>
      </c>
      <c r="AF8" s="50">
        <v>0</v>
      </c>
      <c r="AG8" s="79">
        <f t="shared" si="15"/>
        <v>0</v>
      </c>
      <c r="AH8" s="52"/>
      <c r="AI8" s="79">
        <f t="shared" si="16"/>
        <v>0</v>
      </c>
      <c r="AJ8" s="52"/>
      <c r="AK8" s="79">
        <f t="shared" si="17"/>
        <v>0</v>
      </c>
      <c r="AL8" s="52"/>
      <c r="AM8" s="79">
        <f t="shared" si="18"/>
        <v>0</v>
      </c>
      <c r="AN8" s="52"/>
      <c r="AO8" s="90">
        <f t="shared" si="19"/>
        <v>0</v>
      </c>
    </row>
    <row r="9" spans="1:41" x14ac:dyDescent="0.25">
      <c r="A9" s="26" t="s">
        <v>64</v>
      </c>
      <c r="B9" s="50">
        <v>0</v>
      </c>
      <c r="C9" s="79">
        <f t="shared" si="0"/>
        <v>0</v>
      </c>
      <c r="D9" s="52"/>
      <c r="E9" s="79">
        <f t="shared" si="1"/>
        <v>0</v>
      </c>
      <c r="F9" s="52"/>
      <c r="G9" s="79">
        <f t="shared" si="2"/>
        <v>0</v>
      </c>
      <c r="H9" s="52"/>
      <c r="I9" s="79">
        <f t="shared" si="3"/>
        <v>0</v>
      </c>
      <c r="J9" s="52"/>
      <c r="K9" s="79">
        <f t="shared" si="4"/>
        <v>0</v>
      </c>
      <c r="L9" s="50">
        <v>0</v>
      </c>
      <c r="M9" s="79">
        <f t="shared" si="5"/>
        <v>0</v>
      </c>
      <c r="N9" s="52"/>
      <c r="O9" s="79">
        <f t="shared" si="6"/>
        <v>0</v>
      </c>
      <c r="P9" s="52"/>
      <c r="Q9" s="79">
        <f t="shared" si="7"/>
        <v>0</v>
      </c>
      <c r="R9" s="52"/>
      <c r="S9" s="79">
        <f t="shared" si="8"/>
        <v>0</v>
      </c>
      <c r="T9" s="52"/>
      <c r="U9" s="79">
        <f t="shared" si="9"/>
        <v>0</v>
      </c>
      <c r="V9" s="50">
        <v>0</v>
      </c>
      <c r="W9" s="79">
        <f t="shared" si="10"/>
        <v>0</v>
      </c>
      <c r="X9" s="52"/>
      <c r="Y9" s="79">
        <f t="shared" si="11"/>
        <v>0</v>
      </c>
      <c r="Z9" s="52"/>
      <c r="AA9" s="79">
        <f t="shared" si="12"/>
        <v>0</v>
      </c>
      <c r="AB9" s="52"/>
      <c r="AC9" s="79">
        <f t="shared" si="13"/>
        <v>0</v>
      </c>
      <c r="AD9" s="52"/>
      <c r="AE9" s="79">
        <f t="shared" si="14"/>
        <v>0</v>
      </c>
      <c r="AF9" s="50">
        <v>0</v>
      </c>
      <c r="AG9" s="79">
        <f t="shared" si="15"/>
        <v>0</v>
      </c>
      <c r="AH9" s="52"/>
      <c r="AI9" s="79">
        <f t="shared" si="16"/>
        <v>0</v>
      </c>
      <c r="AJ9" s="52"/>
      <c r="AK9" s="79">
        <f t="shared" si="17"/>
        <v>0</v>
      </c>
      <c r="AL9" s="52"/>
      <c r="AM9" s="79">
        <f t="shared" si="18"/>
        <v>0</v>
      </c>
      <c r="AN9" s="52"/>
      <c r="AO9" s="90">
        <f t="shared" si="19"/>
        <v>0</v>
      </c>
    </row>
    <row r="10" spans="1:41" x14ac:dyDescent="0.25">
      <c r="A10" s="26" t="s">
        <v>65</v>
      </c>
      <c r="B10" s="50">
        <v>0</v>
      </c>
      <c r="C10" s="79">
        <f t="shared" si="0"/>
        <v>0</v>
      </c>
      <c r="D10" s="52"/>
      <c r="E10" s="79">
        <f t="shared" si="1"/>
        <v>0</v>
      </c>
      <c r="F10" s="52"/>
      <c r="G10" s="79">
        <f t="shared" si="2"/>
        <v>0</v>
      </c>
      <c r="H10" s="52"/>
      <c r="I10" s="79">
        <f t="shared" si="3"/>
        <v>0</v>
      </c>
      <c r="J10" s="52"/>
      <c r="K10" s="79">
        <f t="shared" si="4"/>
        <v>0</v>
      </c>
      <c r="L10" s="50">
        <v>0</v>
      </c>
      <c r="M10" s="79">
        <f t="shared" si="5"/>
        <v>0</v>
      </c>
      <c r="N10" s="52"/>
      <c r="O10" s="79">
        <f t="shared" si="6"/>
        <v>0</v>
      </c>
      <c r="P10" s="52"/>
      <c r="Q10" s="79">
        <f t="shared" si="7"/>
        <v>0</v>
      </c>
      <c r="R10" s="52"/>
      <c r="S10" s="79">
        <f t="shared" si="8"/>
        <v>0</v>
      </c>
      <c r="T10" s="52"/>
      <c r="U10" s="79">
        <f t="shared" si="9"/>
        <v>0</v>
      </c>
      <c r="V10" s="50">
        <v>0</v>
      </c>
      <c r="W10" s="79">
        <f t="shared" si="10"/>
        <v>0</v>
      </c>
      <c r="X10" s="52"/>
      <c r="Y10" s="79">
        <f t="shared" si="11"/>
        <v>0</v>
      </c>
      <c r="Z10" s="52"/>
      <c r="AA10" s="79">
        <f t="shared" si="12"/>
        <v>0</v>
      </c>
      <c r="AB10" s="52"/>
      <c r="AC10" s="79">
        <f t="shared" si="13"/>
        <v>0</v>
      </c>
      <c r="AD10" s="52"/>
      <c r="AE10" s="79">
        <f t="shared" si="14"/>
        <v>0</v>
      </c>
      <c r="AF10" s="50">
        <v>0</v>
      </c>
      <c r="AG10" s="79">
        <f t="shared" si="15"/>
        <v>0</v>
      </c>
      <c r="AH10" s="52"/>
      <c r="AI10" s="79">
        <f t="shared" si="16"/>
        <v>0</v>
      </c>
      <c r="AJ10" s="52"/>
      <c r="AK10" s="79">
        <f t="shared" si="17"/>
        <v>0</v>
      </c>
      <c r="AL10" s="52"/>
      <c r="AM10" s="79">
        <f t="shared" si="18"/>
        <v>0</v>
      </c>
      <c r="AN10" s="52"/>
      <c r="AO10" s="90">
        <f t="shared" si="19"/>
        <v>0</v>
      </c>
    </row>
    <row r="11" spans="1:41" x14ac:dyDescent="0.25">
      <c r="A11" s="26" t="s">
        <v>66</v>
      </c>
      <c r="B11" s="50">
        <v>0</v>
      </c>
      <c r="C11" s="79">
        <f t="shared" si="0"/>
        <v>0</v>
      </c>
      <c r="D11" s="52"/>
      <c r="E11" s="79">
        <f t="shared" si="1"/>
        <v>0</v>
      </c>
      <c r="F11" s="52"/>
      <c r="G11" s="79">
        <f t="shared" si="2"/>
        <v>0</v>
      </c>
      <c r="H11" s="52"/>
      <c r="I11" s="79">
        <f t="shared" si="3"/>
        <v>0</v>
      </c>
      <c r="J11" s="52"/>
      <c r="K11" s="79">
        <f t="shared" si="4"/>
        <v>0</v>
      </c>
      <c r="L11" s="50">
        <v>0</v>
      </c>
      <c r="M11" s="79">
        <f t="shared" si="5"/>
        <v>0</v>
      </c>
      <c r="N11" s="52"/>
      <c r="O11" s="79">
        <f t="shared" si="6"/>
        <v>0</v>
      </c>
      <c r="P11" s="52"/>
      <c r="Q11" s="79">
        <f t="shared" si="7"/>
        <v>0</v>
      </c>
      <c r="R11" s="52"/>
      <c r="S11" s="79">
        <f t="shared" si="8"/>
        <v>0</v>
      </c>
      <c r="T11" s="52"/>
      <c r="U11" s="79">
        <f t="shared" si="9"/>
        <v>0</v>
      </c>
      <c r="V11" s="50">
        <v>0</v>
      </c>
      <c r="W11" s="79">
        <f t="shared" si="10"/>
        <v>0</v>
      </c>
      <c r="X11" s="52"/>
      <c r="Y11" s="79">
        <f t="shared" si="11"/>
        <v>0</v>
      </c>
      <c r="Z11" s="52"/>
      <c r="AA11" s="79">
        <f t="shared" si="12"/>
        <v>0</v>
      </c>
      <c r="AB11" s="52"/>
      <c r="AC11" s="79">
        <f t="shared" si="13"/>
        <v>0</v>
      </c>
      <c r="AD11" s="52"/>
      <c r="AE11" s="79">
        <f t="shared" si="14"/>
        <v>0</v>
      </c>
      <c r="AF11" s="50">
        <v>0</v>
      </c>
      <c r="AG11" s="79">
        <f t="shared" si="15"/>
        <v>0</v>
      </c>
      <c r="AH11" s="52"/>
      <c r="AI11" s="79">
        <f t="shared" si="16"/>
        <v>0</v>
      </c>
      <c r="AJ11" s="52"/>
      <c r="AK11" s="79">
        <f t="shared" si="17"/>
        <v>0</v>
      </c>
      <c r="AL11" s="52"/>
      <c r="AM11" s="79">
        <f t="shared" si="18"/>
        <v>0</v>
      </c>
      <c r="AN11" s="52"/>
      <c r="AO11" s="90">
        <f t="shared" si="19"/>
        <v>0</v>
      </c>
    </row>
    <row r="12" spans="1:41" x14ac:dyDescent="0.25">
      <c r="A12" s="26" t="s">
        <v>67</v>
      </c>
      <c r="B12" s="50">
        <v>0</v>
      </c>
      <c r="C12" s="79">
        <f t="shared" si="0"/>
        <v>0</v>
      </c>
      <c r="D12" s="52"/>
      <c r="E12" s="79">
        <f t="shared" si="1"/>
        <v>0</v>
      </c>
      <c r="F12" s="52"/>
      <c r="G12" s="79">
        <f t="shared" si="2"/>
        <v>0</v>
      </c>
      <c r="H12" s="52"/>
      <c r="I12" s="79">
        <f t="shared" si="3"/>
        <v>0</v>
      </c>
      <c r="J12" s="52"/>
      <c r="K12" s="79">
        <f t="shared" si="4"/>
        <v>0</v>
      </c>
      <c r="L12" s="50">
        <v>0</v>
      </c>
      <c r="M12" s="79">
        <f t="shared" si="5"/>
        <v>0</v>
      </c>
      <c r="N12" s="52"/>
      <c r="O12" s="79">
        <f t="shared" si="6"/>
        <v>0</v>
      </c>
      <c r="P12" s="52"/>
      <c r="Q12" s="79">
        <f t="shared" si="7"/>
        <v>0</v>
      </c>
      <c r="R12" s="52"/>
      <c r="S12" s="79">
        <f t="shared" si="8"/>
        <v>0</v>
      </c>
      <c r="T12" s="52"/>
      <c r="U12" s="79">
        <f t="shared" si="9"/>
        <v>0</v>
      </c>
      <c r="V12" s="50">
        <v>0</v>
      </c>
      <c r="W12" s="79">
        <f t="shared" si="10"/>
        <v>0</v>
      </c>
      <c r="X12" s="52"/>
      <c r="Y12" s="79">
        <f t="shared" si="11"/>
        <v>0</v>
      </c>
      <c r="Z12" s="52"/>
      <c r="AA12" s="79">
        <f t="shared" si="12"/>
        <v>0</v>
      </c>
      <c r="AB12" s="52"/>
      <c r="AC12" s="79">
        <f t="shared" si="13"/>
        <v>0</v>
      </c>
      <c r="AD12" s="52"/>
      <c r="AE12" s="79">
        <f t="shared" si="14"/>
        <v>0</v>
      </c>
      <c r="AF12" s="50">
        <v>0</v>
      </c>
      <c r="AG12" s="79">
        <f t="shared" si="15"/>
        <v>0</v>
      </c>
      <c r="AH12" s="52"/>
      <c r="AI12" s="79">
        <f t="shared" si="16"/>
        <v>0</v>
      </c>
      <c r="AJ12" s="52"/>
      <c r="AK12" s="79">
        <f t="shared" si="17"/>
        <v>0</v>
      </c>
      <c r="AL12" s="52"/>
      <c r="AM12" s="79">
        <f t="shared" si="18"/>
        <v>0</v>
      </c>
      <c r="AN12" s="52"/>
      <c r="AO12" s="90">
        <f t="shared" si="19"/>
        <v>0</v>
      </c>
    </row>
    <row r="13" spans="1:41" x14ac:dyDescent="0.25">
      <c r="A13" s="26" t="s">
        <v>68</v>
      </c>
      <c r="B13" s="50">
        <v>0</v>
      </c>
      <c r="C13" s="79">
        <f t="shared" si="0"/>
        <v>0</v>
      </c>
      <c r="D13" s="52"/>
      <c r="E13" s="79">
        <f t="shared" si="1"/>
        <v>0</v>
      </c>
      <c r="F13" s="52"/>
      <c r="G13" s="79">
        <f t="shared" si="2"/>
        <v>0</v>
      </c>
      <c r="H13" s="52"/>
      <c r="I13" s="79">
        <f t="shared" si="3"/>
        <v>0</v>
      </c>
      <c r="J13" s="52"/>
      <c r="K13" s="79">
        <f t="shared" si="4"/>
        <v>0</v>
      </c>
      <c r="L13" s="50">
        <v>4.1666666666667074E-3</v>
      </c>
      <c r="M13" s="79">
        <f t="shared" si="5"/>
        <v>5.504587155963356E-3</v>
      </c>
      <c r="N13" s="52"/>
      <c r="O13" s="79">
        <f t="shared" si="6"/>
        <v>0</v>
      </c>
      <c r="P13" s="52"/>
      <c r="Q13" s="79">
        <f t="shared" si="7"/>
        <v>0</v>
      </c>
      <c r="R13" s="52"/>
      <c r="S13" s="79">
        <f t="shared" si="8"/>
        <v>0</v>
      </c>
      <c r="T13" s="52"/>
      <c r="U13" s="79">
        <f t="shared" si="9"/>
        <v>0</v>
      </c>
      <c r="V13" s="50">
        <v>1.6666666666666663E-2</v>
      </c>
      <c r="W13" s="79">
        <f t="shared" si="10"/>
        <v>2.1071115013169446E-2</v>
      </c>
      <c r="X13" s="52"/>
      <c r="Y13" s="79">
        <f t="shared" si="11"/>
        <v>0</v>
      </c>
      <c r="Z13" s="52"/>
      <c r="AA13" s="79">
        <f t="shared" si="12"/>
        <v>0</v>
      </c>
      <c r="AB13" s="52"/>
      <c r="AC13" s="79">
        <f t="shared" si="13"/>
        <v>0</v>
      </c>
      <c r="AD13" s="52"/>
      <c r="AE13" s="79">
        <f t="shared" si="14"/>
        <v>0</v>
      </c>
      <c r="AF13" s="50">
        <v>6.9444444444443088E-3</v>
      </c>
      <c r="AG13" s="79">
        <f t="shared" si="15"/>
        <v>1.0416666666666465E-2</v>
      </c>
      <c r="AH13" s="52"/>
      <c r="AI13" s="79">
        <f t="shared" si="16"/>
        <v>0</v>
      </c>
      <c r="AJ13" s="52"/>
      <c r="AK13" s="79">
        <f t="shared" si="17"/>
        <v>0</v>
      </c>
      <c r="AL13" s="52"/>
      <c r="AM13" s="79">
        <f t="shared" si="18"/>
        <v>0</v>
      </c>
      <c r="AN13" s="52"/>
      <c r="AO13" s="90">
        <f t="shared" si="19"/>
        <v>0</v>
      </c>
    </row>
    <row r="14" spans="1:41" x14ac:dyDescent="0.25">
      <c r="A14" s="26" t="s">
        <v>69</v>
      </c>
      <c r="B14" s="50">
        <v>0</v>
      </c>
      <c r="C14" s="79">
        <f t="shared" si="0"/>
        <v>0</v>
      </c>
      <c r="D14" s="52"/>
      <c r="E14" s="79">
        <f t="shared" si="1"/>
        <v>0</v>
      </c>
      <c r="F14" s="52"/>
      <c r="G14" s="79">
        <f t="shared" si="2"/>
        <v>0</v>
      </c>
      <c r="H14" s="52"/>
      <c r="I14" s="79">
        <f t="shared" si="3"/>
        <v>0</v>
      </c>
      <c r="J14" s="52"/>
      <c r="K14" s="79">
        <f t="shared" si="4"/>
        <v>0</v>
      </c>
      <c r="L14" s="50">
        <v>0</v>
      </c>
      <c r="M14" s="79">
        <f t="shared" si="5"/>
        <v>0</v>
      </c>
      <c r="N14" s="52"/>
      <c r="O14" s="79">
        <f t="shared" si="6"/>
        <v>0</v>
      </c>
      <c r="P14" s="52"/>
      <c r="Q14" s="79">
        <f t="shared" si="7"/>
        <v>0</v>
      </c>
      <c r="R14" s="52"/>
      <c r="S14" s="79">
        <f t="shared" si="8"/>
        <v>0</v>
      </c>
      <c r="T14" s="52"/>
      <c r="U14" s="79">
        <f t="shared" si="9"/>
        <v>0</v>
      </c>
      <c r="V14" s="50">
        <v>0</v>
      </c>
      <c r="W14" s="79">
        <f t="shared" si="10"/>
        <v>0</v>
      </c>
      <c r="X14" s="52"/>
      <c r="Y14" s="79">
        <f t="shared" si="11"/>
        <v>0</v>
      </c>
      <c r="Z14" s="52"/>
      <c r="AA14" s="79">
        <f t="shared" si="12"/>
        <v>0</v>
      </c>
      <c r="AB14" s="52"/>
      <c r="AC14" s="79">
        <f t="shared" si="13"/>
        <v>0</v>
      </c>
      <c r="AD14" s="52"/>
      <c r="AE14" s="79">
        <f t="shared" si="14"/>
        <v>0</v>
      </c>
      <c r="AF14" s="50">
        <v>0</v>
      </c>
      <c r="AG14" s="79">
        <f t="shared" si="15"/>
        <v>0</v>
      </c>
      <c r="AH14" s="52"/>
      <c r="AI14" s="79">
        <f t="shared" si="16"/>
        <v>0</v>
      </c>
      <c r="AJ14" s="52"/>
      <c r="AK14" s="79">
        <f t="shared" si="17"/>
        <v>0</v>
      </c>
      <c r="AL14" s="52"/>
      <c r="AM14" s="79">
        <f t="shared" si="18"/>
        <v>0</v>
      </c>
      <c r="AN14" s="52"/>
      <c r="AO14" s="90">
        <f t="shared" si="19"/>
        <v>0</v>
      </c>
    </row>
    <row r="15" spans="1:41" x14ac:dyDescent="0.25">
      <c r="A15" s="26" t="s">
        <v>131</v>
      </c>
      <c r="B15" s="50">
        <v>0</v>
      </c>
      <c r="C15" s="79">
        <f t="shared" si="0"/>
        <v>0</v>
      </c>
      <c r="D15" s="52"/>
      <c r="E15" s="79">
        <f t="shared" si="1"/>
        <v>0</v>
      </c>
      <c r="F15" s="52"/>
      <c r="G15" s="79">
        <f t="shared" si="2"/>
        <v>0</v>
      </c>
      <c r="H15" s="52"/>
      <c r="I15" s="79">
        <f t="shared" si="3"/>
        <v>0</v>
      </c>
      <c r="J15" s="52"/>
      <c r="K15" s="79">
        <f t="shared" si="4"/>
        <v>0</v>
      </c>
      <c r="L15" s="50">
        <v>3.0555555555555447E-2</v>
      </c>
      <c r="M15" s="79">
        <f t="shared" si="5"/>
        <v>4.036697247706407E-2</v>
      </c>
      <c r="N15" s="52"/>
      <c r="O15" s="79">
        <f t="shared" si="6"/>
        <v>0</v>
      </c>
      <c r="P15" s="52"/>
      <c r="Q15" s="79">
        <f t="shared" si="7"/>
        <v>0</v>
      </c>
      <c r="R15" s="52"/>
      <c r="S15" s="79">
        <f t="shared" si="8"/>
        <v>0</v>
      </c>
      <c r="T15" s="52"/>
      <c r="U15" s="79">
        <f t="shared" si="9"/>
        <v>0</v>
      </c>
      <c r="V15" s="50">
        <v>4.9305555555555602E-2</v>
      </c>
      <c r="W15" s="79">
        <f t="shared" si="10"/>
        <v>6.2335381913959681E-2</v>
      </c>
      <c r="X15" s="52"/>
      <c r="Y15" s="79">
        <f t="shared" si="11"/>
        <v>0</v>
      </c>
      <c r="Z15" s="52"/>
      <c r="AA15" s="79">
        <f t="shared" si="12"/>
        <v>0</v>
      </c>
      <c r="AB15" s="52"/>
      <c r="AC15" s="79">
        <f t="shared" si="13"/>
        <v>0</v>
      </c>
      <c r="AD15" s="52"/>
      <c r="AE15" s="79">
        <f t="shared" si="14"/>
        <v>0</v>
      </c>
      <c r="AF15" s="50">
        <v>2.430555555555558E-2</v>
      </c>
      <c r="AG15" s="79">
        <f t="shared" si="15"/>
        <v>3.6458333333333377E-2</v>
      </c>
      <c r="AH15" s="52"/>
      <c r="AI15" s="79">
        <f t="shared" si="16"/>
        <v>0</v>
      </c>
      <c r="AJ15" s="52"/>
      <c r="AK15" s="79">
        <f t="shared" si="17"/>
        <v>0</v>
      </c>
      <c r="AL15" s="52"/>
      <c r="AM15" s="79">
        <f t="shared" si="18"/>
        <v>0</v>
      </c>
      <c r="AN15" s="52"/>
      <c r="AO15" s="90">
        <f t="shared" si="19"/>
        <v>0</v>
      </c>
    </row>
    <row r="16" spans="1:41" x14ac:dyDescent="0.25">
      <c r="A16" s="26" t="s">
        <v>132</v>
      </c>
      <c r="B16" s="50">
        <v>0</v>
      </c>
      <c r="C16" s="79">
        <f t="shared" si="0"/>
        <v>0</v>
      </c>
      <c r="D16" s="52"/>
      <c r="E16" s="79">
        <f t="shared" si="1"/>
        <v>0</v>
      </c>
      <c r="F16" s="52"/>
      <c r="G16" s="79">
        <f t="shared" si="2"/>
        <v>0</v>
      </c>
      <c r="H16" s="52"/>
      <c r="I16" s="79">
        <f t="shared" si="3"/>
        <v>0</v>
      </c>
      <c r="J16" s="52"/>
      <c r="K16" s="79">
        <f t="shared" si="4"/>
        <v>0</v>
      </c>
      <c r="L16" s="50">
        <v>2.6388888888888906E-2</v>
      </c>
      <c r="M16" s="79">
        <f t="shared" si="5"/>
        <v>3.4862385321100933E-2</v>
      </c>
      <c r="N16" s="52"/>
      <c r="O16" s="79">
        <f t="shared" si="6"/>
        <v>0</v>
      </c>
      <c r="P16" s="52"/>
      <c r="Q16" s="79">
        <f t="shared" si="7"/>
        <v>0</v>
      </c>
      <c r="R16" s="52"/>
      <c r="S16" s="79">
        <f t="shared" si="8"/>
        <v>0</v>
      </c>
      <c r="T16" s="52"/>
      <c r="U16" s="79">
        <f t="shared" si="9"/>
        <v>0</v>
      </c>
      <c r="V16" s="50">
        <v>0</v>
      </c>
      <c r="W16" s="79">
        <f t="shared" si="10"/>
        <v>0</v>
      </c>
      <c r="X16" s="52"/>
      <c r="Y16" s="79">
        <f t="shared" si="11"/>
        <v>0</v>
      </c>
      <c r="Z16" s="52"/>
      <c r="AA16" s="79">
        <f t="shared" si="12"/>
        <v>0</v>
      </c>
      <c r="AB16" s="52"/>
      <c r="AC16" s="79">
        <f t="shared" si="13"/>
        <v>0</v>
      </c>
      <c r="AD16" s="52"/>
      <c r="AE16" s="79">
        <f t="shared" si="14"/>
        <v>0</v>
      </c>
      <c r="AF16" s="50">
        <v>3.8194444444444531E-2</v>
      </c>
      <c r="AG16" s="79">
        <f t="shared" si="15"/>
        <v>5.729166666666681E-2</v>
      </c>
      <c r="AH16" s="52"/>
      <c r="AI16" s="79">
        <f t="shared" si="16"/>
        <v>0</v>
      </c>
      <c r="AJ16" s="52"/>
      <c r="AK16" s="79">
        <f t="shared" si="17"/>
        <v>0</v>
      </c>
      <c r="AL16" s="52"/>
      <c r="AM16" s="79">
        <f t="shared" si="18"/>
        <v>0</v>
      </c>
      <c r="AN16" s="52"/>
      <c r="AO16" s="90">
        <f t="shared" si="19"/>
        <v>0</v>
      </c>
    </row>
    <row r="17" spans="1:41" s="38" customFormat="1" x14ac:dyDescent="0.25">
      <c r="A17" s="26" t="s">
        <v>133</v>
      </c>
      <c r="B17" s="50">
        <v>0</v>
      </c>
      <c r="C17" s="79">
        <f t="shared" si="0"/>
        <v>0</v>
      </c>
      <c r="D17" s="52"/>
      <c r="E17" s="79">
        <f t="shared" si="1"/>
        <v>0</v>
      </c>
      <c r="F17" s="52"/>
      <c r="G17" s="79">
        <f t="shared" si="2"/>
        <v>0</v>
      </c>
      <c r="H17" s="52"/>
      <c r="I17" s="79">
        <f t="shared" si="3"/>
        <v>0</v>
      </c>
      <c r="J17" s="52"/>
      <c r="K17" s="79">
        <f t="shared" si="4"/>
        <v>0</v>
      </c>
      <c r="L17" s="50">
        <v>0</v>
      </c>
      <c r="M17" s="79">
        <f t="shared" si="5"/>
        <v>0</v>
      </c>
      <c r="N17" s="52"/>
      <c r="O17" s="79">
        <f t="shared" si="6"/>
        <v>0</v>
      </c>
      <c r="P17" s="52"/>
      <c r="Q17" s="79">
        <f t="shared" si="7"/>
        <v>0</v>
      </c>
      <c r="R17" s="52"/>
      <c r="S17" s="79">
        <f t="shared" si="8"/>
        <v>0</v>
      </c>
      <c r="T17" s="52"/>
      <c r="U17" s="79">
        <f t="shared" si="9"/>
        <v>0</v>
      </c>
      <c r="V17" s="50">
        <v>0</v>
      </c>
      <c r="W17" s="79">
        <f t="shared" si="10"/>
        <v>0</v>
      </c>
      <c r="X17" s="52"/>
      <c r="Y17" s="79">
        <f t="shared" si="11"/>
        <v>0</v>
      </c>
      <c r="Z17" s="52"/>
      <c r="AA17" s="79">
        <f t="shared" si="12"/>
        <v>0</v>
      </c>
      <c r="AB17" s="52"/>
      <c r="AC17" s="79">
        <f t="shared" si="13"/>
        <v>0</v>
      </c>
      <c r="AD17" s="52"/>
      <c r="AE17" s="79">
        <f t="shared" si="14"/>
        <v>0</v>
      </c>
      <c r="AF17" s="50">
        <v>0</v>
      </c>
      <c r="AG17" s="79">
        <f t="shared" si="15"/>
        <v>0</v>
      </c>
      <c r="AH17" s="52"/>
      <c r="AI17" s="79">
        <f t="shared" si="16"/>
        <v>0</v>
      </c>
      <c r="AJ17" s="52"/>
      <c r="AK17" s="79">
        <f t="shared" si="17"/>
        <v>0</v>
      </c>
      <c r="AL17" s="52"/>
      <c r="AM17" s="79">
        <f t="shared" si="18"/>
        <v>0</v>
      </c>
      <c r="AN17" s="52"/>
      <c r="AO17" s="90">
        <f t="shared" si="19"/>
        <v>0</v>
      </c>
    </row>
    <row r="18" spans="1:41" x14ac:dyDescent="0.25">
      <c r="A18" s="26" t="s">
        <v>134</v>
      </c>
      <c r="B18" s="50">
        <v>0</v>
      </c>
      <c r="C18" s="79">
        <f t="shared" si="0"/>
        <v>0</v>
      </c>
      <c r="D18" s="52"/>
      <c r="E18" s="79">
        <f t="shared" si="1"/>
        <v>0</v>
      </c>
      <c r="F18" s="52"/>
      <c r="G18" s="79">
        <f t="shared" si="2"/>
        <v>0</v>
      </c>
      <c r="H18" s="52"/>
      <c r="I18" s="79">
        <f t="shared" si="3"/>
        <v>0</v>
      </c>
      <c r="J18" s="52"/>
      <c r="K18" s="79">
        <f t="shared" si="4"/>
        <v>0</v>
      </c>
      <c r="L18" s="50">
        <v>0</v>
      </c>
      <c r="M18" s="79">
        <f t="shared" si="5"/>
        <v>0</v>
      </c>
      <c r="N18" s="52"/>
      <c r="O18" s="79">
        <f t="shared" si="6"/>
        <v>0</v>
      </c>
      <c r="P18" s="52"/>
      <c r="Q18" s="79">
        <f t="shared" si="7"/>
        <v>0</v>
      </c>
      <c r="R18" s="52"/>
      <c r="S18" s="79">
        <f t="shared" si="8"/>
        <v>0</v>
      </c>
      <c r="T18" s="52"/>
      <c r="U18" s="79">
        <f t="shared" si="9"/>
        <v>0</v>
      </c>
      <c r="V18" s="50">
        <v>0</v>
      </c>
      <c r="W18" s="79">
        <f t="shared" si="10"/>
        <v>0</v>
      </c>
      <c r="X18" s="52"/>
      <c r="Y18" s="79">
        <f t="shared" si="11"/>
        <v>0</v>
      </c>
      <c r="Z18" s="52"/>
      <c r="AA18" s="79">
        <f t="shared" si="12"/>
        <v>0</v>
      </c>
      <c r="AB18" s="52"/>
      <c r="AC18" s="79">
        <f t="shared" si="13"/>
        <v>0</v>
      </c>
      <c r="AD18" s="52"/>
      <c r="AE18" s="79">
        <f t="shared" si="14"/>
        <v>0</v>
      </c>
      <c r="AF18" s="50">
        <v>0</v>
      </c>
      <c r="AG18" s="79">
        <f t="shared" si="15"/>
        <v>0</v>
      </c>
      <c r="AH18" s="52"/>
      <c r="AI18" s="79">
        <f t="shared" si="16"/>
        <v>0</v>
      </c>
      <c r="AJ18" s="52"/>
      <c r="AK18" s="79">
        <f t="shared" si="17"/>
        <v>0</v>
      </c>
      <c r="AL18" s="52"/>
      <c r="AM18" s="79">
        <f t="shared" si="18"/>
        <v>0</v>
      </c>
      <c r="AN18" s="52"/>
      <c r="AO18" s="90">
        <f t="shared" si="19"/>
        <v>0</v>
      </c>
    </row>
    <row r="19" spans="1:41" s="38" customFormat="1" x14ac:dyDescent="0.25">
      <c r="A19" s="26" t="s">
        <v>191</v>
      </c>
      <c r="B19" s="50">
        <v>0</v>
      </c>
      <c r="C19" s="79">
        <f t="shared" si="0"/>
        <v>0</v>
      </c>
      <c r="D19" s="52"/>
      <c r="E19" s="79">
        <f t="shared" si="1"/>
        <v>0</v>
      </c>
      <c r="F19" s="52"/>
      <c r="G19" s="79">
        <f t="shared" si="2"/>
        <v>0</v>
      </c>
      <c r="H19" s="52"/>
      <c r="I19" s="79">
        <f t="shared" si="3"/>
        <v>0</v>
      </c>
      <c r="J19" s="52"/>
      <c r="K19" s="79">
        <f t="shared" si="4"/>
        <v>0</v>
      </c>
      <c r="L19" s="50">
        <v>0</v>
      </c>
      <c r="M19" s="79">
        <f t="shared" si="5"/>
        <v>0</v>
      </c>
      <c r="N19" s="52"/>
      <c r="O19" s="79">
        <f t="shared" si="6"/>
        <v>0</v>
      </c>
      <c r="P19" s="52"/>
      <c r="Q19" s="79">
        <f t="shared" si="7"/>
        <v>0</v>
      </c>
      <c r="R19" s="52"/>
      <c r="S19" s="79">
        <f t="shared" si="8"/>
        <v>0</v>
      </c>
      <c r="T19" s="52"/>
      <c r="U19" s="79">
        <f t="shared" si="9"/>
        <v>0</v>
      </c>
      <c r="V19" s="50">
        <v>0</v>
      </c>
      <c r="W19" s="79">
        <f t="shared" si="10"/>
        <v>0</v>
      </c>
      <c r="X19" s="52"/>
      <c r="Y19" s="79">
        <f t="shared" si="11"/>
        <v>0</v>
      </c>
      <c r="Z19" s="52"/>
      <c r="AA19" s="79">
        <f t="shared" si="12"/>
        <v>0</v>
      </c>
      <c r="AB19" s="52"/>
      <c r="AC19" s="79">
        <f t="shared" si="13"/>
        <v>0</v>
      </c>
      <c r="AD19" s="52"/>
      <c r="AE19" s="79">
        <f t="shared" si="14"/>
        <v>0</v>
      </c>
      <c r="AF19" s="50">
        <v>0</v>
      </c>
      <c r="AG19" s="79">
        <f t="shared" si="15"/>
        <v>0</v>
      </c>
      <c r="AH19" s="52"/>
      <c r="AI19" s="79">
        <f t="shared" si="16"/>
        <v>0</v>
      </c>
      <c r="AJ19" s="52"/>
      <c r="AK19" s="79">
        <f t="shared" si="17"/>
        <v>0</v>
      </c>
      <c r="AL19" s="52"/>
      <c r="AM19" s="79">
        <f t="shared" si="18"/>
        <v>0</v>
      </c>
      <c r="AN19" s="52"/>
      <c r="AO19" s="90">
        <f t="shared" si="19"/>
        <v>0</v>
      </c>
    </row>
    <row r="20" spans="1:41" x14ac:dyDescent="0.25">
      <c r="A20" s="26" t="s">
        <v>135</v>
      </c>
      <c r="B20" s="50">
        <v>0</v>
      </c>
      <c r="C20" s="79">
        <f t="shared" si="0"/>
        <v>0</v>
      </c>
      <c r="D20" s="52"/>
      <c r="E20" s="79">
        <f t="shared" si="1"/>
        <v>0</v>
      </c>
      <c r="F20" s="52"/>
      <c r="G20" s="79">
        <f t="shared" si="2"/>
        <v>0</v>
      </c>
      <c r="H20" s="52"/>
      <c r="I20" s="79">
        <f t="shared" si="3"/>
        <v>0</v>
      </c>
      <c r="J20" s="52"/>
      <c r="K20" s="79">
        <f t="shared" si="4"/>
        <v>0</v>
      </c>
      <c r="L20" s="50">
        <v>0</v>
      </c>
      <c r="M20" s="79">
        <f t="shared" si="5"/>
        <v>0</v>
      </c>
      <c r="N20" s="52"/>
      <c r="O20" s="79">
        <f t="shared" si="6"/>
        <v>0</v>
      </c>
      <c r="P20" s="52"/>
      <c r="Q20" s="79">
        <f t="shared" si="7"/>
        <v>0</v>
      </c>
      <c r="R20" s="52"/>
      <c r="S20" s="79">
        <f t="shared" si="8"/>
        <v>0</v>
      </c>
      <c r="T20" s="52"/>
      <c r="U20" s="79">
        <f t="shared" si="9"/>
        <v>0</v>
      </c>
      <c r="V20" s="50">
        <v>0</v>
      </c>
      <c r="W20" s="79">
        <f t="shared" si="10"/>
        <v>0</v>
      </c>
      <c r="X20" s="52"/>
      <c r="Y20" s="79">
        <f t="shared" si="11"/>
        <v>0</v>
      </c>
      <c r="Z20" s="52"/>
      <c r="AA20" s="79">
        <f t="shared" si="12"/>
        <v>0</v>
      </c>
      <c r="AB20" s="52"/>
      <c r="AC20" s="79">
        <f t="shared" si="13"/>
        <v>0</v>
      </c>
      <c r="AD20" s="52"/>
      <c r="AE20" s="79">
        <f t="shared" si="14"/>
        <v>0</v>
      </c>
      <c r="AF20" s="50">
        <v>0</v>
      </c>
      <c r="AG20" s="79">
        <f t="shared" si="15"/>
        <v>0</v>
      </c>
      <c r="AH20" s="52"/>
      <c r="AI20" s="79">
        <f t="shared" si="16"/>
        <v>0</v>
      </c>
      <c r="AJ20" s="52"/>
      <c r="AK20" s="79">
        <f t="shared" si="17"/>
        <v>0</v>
      </c>
      <c r="AL20" s="52"/>
      <c r="AM20" s="79">
        <f t="shared" si="18"/>
        <v>0</v>
      </c>
      <c r="AN20" s="52"/>
      <c r="AO20" s="90">
        <f t="shared" si="19"/>
        <v>0</v>
      </c>
    </row>
    <row r="21" spans="1:41" x14ac:dyDescent="0.25">
      <c r="A21" s="26" t="s">
        <v>136</v>
      </c>
      <c r="B21" s="50">
        <v>0</v>
      </c>
      <c r="C21" s="79">
        <f t="shared" si="0"/>
        <v>0</v>
      </c>
      <c r="D21" s="52"/>
      <c r="E21" s="79">
        <f t="shared" si="1"/>
        <v>0</v>
      </c>
      <c r="F21" s="52"/>
      <c r="G21" s="79">
        <f t="shared" si="2"/>
        <v>0</v>
      </c>
      <c r="H21" s="52"/>
      <c r="I21" s="79">
        <f t="shared" si="3"/>
        <v>0</v>
      </c>
      <c r="J21" s="52"/>
      <c r="K21" s="79">
        <f t="shared" si="4"/>
        <v>0</v>
      </c>
      <c r="L21" s="50">
        <v>0</v>
      </c>
      <c r="M21" s="79">
        <f t="shared" si="5"/>
        <v>0</v>
      </c>
      <c r="N21" s="52"/>
      <c r="O21" s="79">
        <f t="shared" si="6"/>
        <v>0</v>
      </c>
      <c r="P21" s="52"/>
      <c r="Q21" s="79">
        <f t="shared" si="7"/>
        <v>0</v>
      </c>
      <c r="R21" s="52"/>
      <c r="S21" s="79">
        <f t="shared" si="8"/>
        <v>0</v>
      </c>
      <c r="T21" s="52"/>
      <c r="U21" s="79">
        <f t="shared" si="9"/>
        <v>0</v>
      </c>
      <c r="V21" s="50">
        <v>0</v>
      </c>
      <c r="W21" s="79">
        <f t="shared" si="10"/>
        <v>0</v>
      </c>
      <c r="X21" s="52"/>
      <c r="Y21" s="79">
        <f t="shared" si="11"/>
        <v>0</v>
      </c>
      <c r="Z21" s="52"/>
      <c r="AA21" s="79">
        <f t="shared" si="12"/>
        <v>0</v>
      </c>
      <c r="AB21" s="52"/>
      <c r="AC21" s="79">
        <f t="shared" si="13"/>
        <v>0</v>
      </c>
      <c r="AD21" s="52"/>
      <c r="AE21" s="79">
        <f t="shared" si="14"/>
        <v>0</v>
      </c>
      <c r="AF21" s="50">
        <v>0</v>
      </c>
      <c r="AG21" s="79">
        <f t="shared" si="15"/>
        <v>0</v>
      </c>
      <c r="AH21" s="52"/>
      <c r="AI21" s="79">
        <f t="shared" si="16"/>
        <v>0</v>
      </c>
      <c r="AJ21" s="52"/>
      <c r="AK21" s="79">
        <f t="shared" si="17"/>
        <v>0</v>
      </c>
      <c r="AL21" s="52"/>
      <c r="AM21" s="79">
        <f t="shared" si="18"/>
        <v>0</v>
      </c>
      <c r="AN21" s="52"/>
      <c r="AO21" s="90">
        <f t="shared" si="19"/>
        <v>0</v>
      </c>
    </row>
    <row r="22" spans="1:41" x14ac:dyDescent="0.25">
      <c r="A22" s="26" t="s">
        <v>137</v>
      </c>
      <c r="B22" s="50">
        <v>0</v>
      </c>
      <c r="C22" s="79">
        <f t="shared" si="0"/>
        <v>0</v>
      </c>
      <c r="D22" s="52"/>
      <c r="E22" s="79">
        <f t="shared" si="1"/>
        <v>0</v>
      </c>
      <c r="F22" s="52"/>
      <c r="G22" s="79">
        <f t="shared" si="2"/>
        <v>0</v>
      </c>
      <c r="H22" s="52"/>
      <c r="I22" s="79">
        <f t="shared" si="3"/>
        <v>0</v>
      </c>
      <c r="J22" s="52"/>
      <c r="K22" s="79">
        <f t="shared" si="4"/>
        <v>0</v>
      </c>
      <c r="L22" s="50">
        <v>0</v>
      </c>
      <c r="M22" s="79">
        <f t="shared" si="5"/>
        <v>0</v>
      </c>
      <c r="N22" s="52"/>
      <c r="O22" s="79">
        <f t="shared" si="6"/>
        <v>0</v>
      </c>
      <c r="P22" s="52"/>
      <c r="Q22" s="79">
        <f t="shared" si="7"/>
        <v>0</v>
      </c>
      <c r="R22" s="52"/>
      <c r="S22" s="79">
        <f t="shared" si="8"/>
        <v>0</v>
      </c>
      <c r="T22" s="52"/>
      <c r="U22" s="79">
        <f t="shared" si="9"/>
        <v>0</v>
      </c>
      <c r="V22" s="50">
        <v>0</v>
      </c>
      <c r="W22" s="79">
        <f t="shared" si="10"/>
        <v>0</v>
      </c>
      <c r="X22" s="52"/>
      <c r="Y22" s="79">
        <f t="shared" si="11"/>
        <v>0</v>
      </c>
      <c r="Z22" s="52"/>
      <c r="AA22" s="79">
        <f t="shared" si="12"/>
        <v>0</v>
      </c>
      <c r="AB22" s="52"/>
      <c r="AC22" s="79">
        <f t="shared" si="13"/>
        <v>0</v>
      </c>
      <c r="AD22" s="52"/>
      <c r="AE22" s="79">
        <f t="shared" si="14"/>
        <v>0</v>
      </c>
      <c r="AF22" s="50">
        <v>0</v>
      </c>
      <c r="AG22" s="79">
        <f t="shared" si="15"/>
        <v>0</v>
      </c>
      <c r="AH22" s="52"/>
      <c r="AI22" s="79">
        <f t="shared" si="16"/>
        <v>0</v>
      </c>
      <c r="AJ22" s="52"/>
      <c r="AK22" s="79">
        <f t="shared" si="17"/>
        <v>0</v>
      </c>
      <c r="AL22" s="52"/>
      <c r="AM22" s="79">
        <f t="shared" si="18"/>
        <v>0</v>
      </c>
      <c r="AN22" s="52"/>
      <c r="AO22" s="90">
        <f t="shared" si="19"/>
        <v>0</v>
      </c>
    </row>
    <row r="23" spans="1:41" x14ac:dyDescent="0.25">
      <c r="A23" s="26" t="s">
        <v>138</v>
      </c>
      <c r="B23" s="50">
        <v>0</v>
      </c>
      <c r="C23" s="79">
        <f t="shared" si="0"/>
        <v>0</v>
      </c>
      <c r="D23" s="52"/>
      <c r="E23" s="79">
        <f t="shared" si="1"/>
        <v>0</v>
      </c>
      <c r="F23" s="52"/>
      <c r="G23" s="79">
        <f t="shared" si="2"/>
        <v>0</v>
      </c>
      <c r="H23" s="52"/>
      <c r="I23" s="79">
        <f t="shared" si="3"/>
        <v>0</v>
      </c>
      <c r="J23" s="52"/>
      <c r="K23" s="79">
        <f t="shared" si="4"/>
        <v>0</v>
      </c>
      <c r="L23" s="50">
        <v>0</v>
      </c>
      <c r="M23" s="79">
        <f t="shared" si="5"/>
        <v>0</v>
      </c>
      <c r="N23" s="52"/>
      <c r="O23" s="79">
        <f t="shared" si="6"/>
        <v>0</v>
      </c>
      <c r="P23" s="52"/>
      <c r="Q23" s="79">
        <f t="shared" si="7"/>
        <v>0</v>
      </c>
      <c r="R23" s="52"/>
      <c r="S23" s="79">
        <f t="shared" si="8"/>
        <v>0</v>
      </c>
      <c r="T23" s="52"/>
      <c r="U23" s="79">
        <f t="shared" si="9"/>
        <v>0</v>
      </c>
      <c r="V23" s="50">
        <v>0</v>
      </c>
      <c r="W23" s="79">
        <f t="shared" si="10"/>
        <v>0</v>
      </c>
      <c r="X23" s="52"/>
      <c r="Y23" s="79">
        <f t="shared" si="11"/>
        <v>0</v>
      </c>
      <c r="Z23" s="52"/>
      <c r="AA23" s="79">
        <f t="shared" si="12"/>
        <v>0</v>
      </c>
      <c r="AB23" s="52"/>
      <c r="AC23" s="79">
        <f t="shared" si="13"/>
        <v>0</v>
      </c>
      <c r="AD23" s="52"/>
      <c r="AE23" s="79">
        <f t="shared" si="14"/>
        <v>0</v>
      </c>
      <c r="AF23" s="50">
        <v>0</v>
      </c>
      <c r="AG23" s="79">
        <f t="shared" si="15"/>
        <v>0</v>
      </c>
      <c r="AH23" s="52"/>
      <c r="AI23" s="79">
        <f t="shared" si="16"/>
        <v>0</v>
      </c>
      <c r="AJ23" s="52"/>
      <c r="AK23" s="79">
        <f t="shared" si="17"/>
        <v>0</v>
      </c>
      <c r="AL23" s="52"/>
      <c r="AM23" s="79">
        <f t="shared" si="18"/>
        <v>0</v>
      </c>
      <c r="AN23" s="52"/>
      <c r="AO23" s="90">
        <f t="shared" si="19"/>
        <v>0</v>
      </c>
    </row>
    <row r="24" spans="1:41" x14ac:dyDescent="0.25">
      <c r="A24" s="26" t="s">
        <v>139</v>
      </c>
      <c r="B24" s="50">
        <v>0</v>
      </c>
      <c r="C24" s="79">
        <f t="shared" si="0"/>
        <v>0</v>
      </c>
      <c r="D24" s="52"/>
      <c r="E24" s="79">
        <f t="shared" si="1"/>
        <v>0</v>
      </c>
      <c r="F24" s="52"/>
      <c r="G24" s="79">
        <f t="shared" si="2"/>
        <v>0</v>
      </c>
      <c r="H24" s="52"/>
      <c r="I24" s="79">
        <f t="shared" si="3"/>
        <v>0</v>
      </c>
      <c r="J24" s="52"/>
      <c r="K24" s="79">
        <f t="shared" si="4"/>
        <v>0</v>
      </c>
      <c r="L24" s="50">
        <v>0</v>
      </c>
      <c r="M24" s="79">
        <f t="shared" si="5"/>
        <v>0</v>
      </c>
      <c r="N24" s="52"/>
      <c r="O24" s="79">
        <f t="shared" si="6"/>
        <v>0</v>
      </c>
      <c r="P24" s="52"/>
      <c r="Q24" s="79">
        <f t="shared" si="7"/>
        <v>0</v>
      </c>
      <c r="R24" s="52"/>
      <c r="S24" s="79">
        <f t="shared" si="8"/>
        <v>0</v>
      </c>
      <c r="T24" s="52"/>
      <c r="U24" s="79">
        <f t="shared" si="9"/>
        <v>0</v>
      </c>
      <c r="V24" s="50">
        <v>0</v>
      </c>
      <c r="W24" s="79">
        <f t="shared" si="10"/>
        <v>0</v>
      </c>
      <c r="X24" s="52"/>
      <c r="Y24" s="79">
        <f t="shared" si="11"/>
        <v>0</v>
      </c>
      <c r="Z24" s="52"/>
      <c r="AA24" s="79">
        <f t="shared" si="12"/>
        <v>0</v>
      </c>
      <c r="AB24" s="52"/>
      <c r="AC24" s="79">
        <f t="shared" si="13"/>
        <v>0</v>
      </c>
      <c r="AD24" s="52"/>
      <c r="AE24" s="79">
        <f t="shared" si="14"/>
        <v>0</v>
      </c>
      <c r="AF24" s="50">
        <v>0</v>
      </c>
      <c r="AG24" s="79">
        <f t="shared" si="15"/>
        <v>0</v>
      </c>
      <c r="AH24" s="52"/>
      <c r="AI24" s="79">
        <f t="shared" si="16"/>
        <v>0</v>
      </c>
      <c r="AJ24" s="52"/>
      <c r="AK24" s="79">
        <f t="shared" si="17"/>
        <v>0</v>
      </c>
      <c r="AL24" s="52"/>
      <c r="AM24" s="79">
        <f t="shared" si="18"/>
        <v>0</v>
      </c>
      <c r="AN24" s="52"/>
      <c r="AO24" s="90">
        <f t="shared" si="19"/>
        <v>0</v>
      </c>
    </row>
    <row r="25" spans="1:41" x14ac:dyDescent="0.25">
      <c r="A25" s="26" t="s">
        <v>140</v>
      </c>
      <c r="B25" s="50">
        <v>0</v>
      </c>
      <c r="C25" s="79">
        <f t="shared" si="0"/>
        <v>0</v>
      </c>
      <c r="D25" s="52"/>
      <c r="E25" s="79">
        <f t="shared" si="1"/>
        <v>0</v>
      </c>
      <c r="F25" s="52"/>
      <c r="G25" s="79">
        <f t="shared" si="2"/>
        <v>0</v>
      </c>
      <c r="H25" s="52"/>
      <c r="I25" s="79">
        <f t="shared" si="3"/>
        <v>0</v>
      </c>
      <c r="J25" s="52"/>
      <c r="K25" s="79">
        <f t="shared" si="4"/>
        <v>0</v>
      </c>
      <c r="L25" s="50">
        <v>0</v>
      </c>
      <c r="M25" s="79">
        <f t="shared" si="5"/>
        <v>0</v>
      </c>
      <c r="N25" s="52"/>
      <c r="O25" s="79">
        <f t="shared" si="6"/>
        <v>0</v>
      </c>
      <c r="P25" s="52"/>
      <c r="Q25" s="79">
        <f t="shared" si="7"/>
        <v>0</v>
      </c>
      <c r="R25" s="52"/>
      <c r="S25" s="79">
        <f t="shared" si="8"/>
        <v>0</v>
      </c>
      <c r="T25" s="52"/>
      <c r="U25" s="79">
        <f t="shared" si="9"/>
        <v>0</v>
      </c>
      <c r="V25" s="50">
        <v>0</v>
      </c>
      <c r="W25" s="79">
        <f t="shared" si="10"/>
        <v>0</v>
      </c>
      <c r="X25" s="52"/>
      <c r="Y25" s="79">
        <f t="shared" si="11"/>
        <v>0</v>
      </c>
      <c r="Z25" s="52"/>
      <c r="AA25" s="79">
        <f t="shared" si="12"/>
        <v>0</v>
      </c>
      <c r="AB25" s="52"/>
      <c r="AC25" s="79">
        <f t="shared" si="13"/>
        <v>0</v>
      </c>
      <c r="AD25" s="52"/>
      <c r="AE25" s="79">
        <f t="shared" si="14"/>
        <v>0</v>
      </c>
      <c r="AF25" s="50">
        <v>0</v>
      </c>
      <c r="AG25" s="79">
        <f t="shared" si="15"/>
        <v>0</v>
      </c>
      <c r="AH25" s="52"/>
      <c r="AI25" s="79">
        <f t="shared" si="16"/>
        <v>0</v>
      </c>
      <c r="AJ25" s="52"/>
      <c r="AK25" s="79">
        <f t="shared" si="17"/>
        <v>0</v>
      </c>
      <c r="AL25" s="52"/>
      <c r="AM25" s="79">
        <f t="shared" si="18"/>
        <v>0</v>
      </c>
      <c r="AN25" s="52"/>
      <c r="AO25" s="90">
        <f t="shared" si="19"/>
        <v>0</v>
      </c>
    </row>
    <row r="26" spans="1:41" x14ac:dyDescent="0.25">
      <c r="A26" s="26" t="s">
        <v>141</v>
      </c>
      <c r="B26" s="50">
        <v>0</v>
      </c>
      <c r="C26" s="79">
        <f t="shared" si="0"/>
        <v>0</v>
      </c>
      <c r="D26" s="52"/>
      <c r="E26" s="79">
        <f t="shared" si="1"/>
        <v>0</v>
      </c>
      <c r="F26" s="52"/>
      <c r="G26" s="79">
        <f t="shared" si="2"/>
        <v>0</v>
      </c>
      <c r="H26" s="52"/>
      <c r="I26" s="79">
        <f t="shared" si="3"/>
        <v>0</v>
      </c>
      <c r="J26" s="52"/>
      <c r="K26" s="79">
        <f t="shared" si="4"/>
        <v>0</v>
      </c>
      <c r="L26" s="50">
        <v>0</v>
      </c>
      <c r="M26" s="79">
        <f t="shared" si="5"/>
        <v>0</v>
      </c>
      <c r="N26" s="52"/>
      <c r="O26" s="79">
        <f t="shared" si="6"/>
        <v>0</v>
      </c>
      <c r="P26" s="52"/>
      <c r="Q26" s="79">
        <f t="shared" si="7"/>
        <v>0</v>
      </c>
      <c r="R26" s="52"/>
      <c r="S26" s="79">
        <f t="shared" si="8"/>
        <v>0</v>
      </c>
      <c r="T26" s="52"/>
      <c r="U26" s="79">
        <f t="shared" si="9"/>
        <v>0</v>
      </c>
      <c r="V26" s="50">
        <v>0</v>
      </c>
      <c r="W26" s="79">
        <f t="shared" si="10"/>
        <v>0</v>
      </c>
      <c r="X26" s="52"/>
      <c r="Y26" s="79">
        <f t="shared" si="11"/>
        <v>0</v>
      </c>
      <c r="Z26" s="52"/>
      <c r="AA26" s="79">
        <f t="shared" si="12"/>
        <v>0</v>
      </c>
      <c r="AB26" s="52"/>
      <c r="AC26" s="79">
        <f t="shared" si="13"/>
        <v>0</v>
      </c>
      <c r="AD26" s="52"/>
      <c r="AE26" s="79">
        <f t="shared" si="14"/>
        <v>0</v>
      </c>
      <c r="AF26" s="50">
        <v>0</v>
      </c>
      <c r="AG26" s="79">
        <f t="shared" si="15"/>
        <v>0</v>
      </c>
      <c r="AH26" s="52"/>
      <c r="AI26" s="79">
        <f t="shared" si="16"/>
        <v>0</v>
      </c>
      <c r="AJ26" s="52"/>
      <c r="AK26" s="79">
        <f t="shared" si="17"/>
        <v>0</v>
      </c>
      <c r="AL26" s="52"/>
      <c r="AM26" s="79">
        <f t="shared" si="18"/>
        <v>0</v>
      </c>
      <c r="AN26" s="52"/>
      <c r="AO26" s="90">
        <f t="shared" si="19"/>
        <v>0</v>
      </c>
    </row>
    <row r="27" spans="1:41" x14ac:dyDescent="0.25">
      <c r="A27" s="26" t="s">
        <v>142</v>
      </c>
      <c r="B27" s="50">
        <v>0</v>
      </c>
      <c r="C27" s="79">
        <f t="shared" si="0"/>
        <v>0</v>
      </c>
      <c r="D27" s="52"/>
      <c r="E27" s="79">
        <f t="shared" si="1"/>
        <v>0</v>
      </c>
      <c r="F27" s="52"/>
      <c r="G27" s="79">
        <f t="shared" si="2"/>
        <v>0</v>
      </c>
      <c r="H27" s="52"/>
      <c r="I27" s="79">
        <f t="shared" si="3"/>
        <v>0</v>
      </c>
      <c r="J27" s="52"/>
      <c r="K27" s="79">
        <f t="shared" si="4"/>
        <v>0</v>
      </c>
      <c r="L27" s="50">
        <v>0</v>
      </c>
      <c r="M27" s="79">
        <f t="shared" si="5"/>
        <v>0</v>
      </c>
      <c r="N27" s="52"/>
      <c r="O27" s="79">
        <f t="shared" si="6"/>
        <v>0</v>
      </c>
      <c r="P27" s="52"/>
      <c r="Q27" s="79">
        <f t="shared" si="7"/>
        <v>0</v>
      </c>
      <c r="R27" s="52"/>
      <c r="S27" s="79">
        <f t="shared" si="8"/>
        <v>0</v>
      </c>
      <c r="T27" s="52"/>
      <c r="U27" s="79">
        <f t="shared" si="9"/>
        <v>0</v>
      </c>
      <c r="V27" s="50">
        <v>0</v>
      </c>
      <c r="W27" s="79">
        <f t="shared" si="10"/>
        <v>0</v>
      </c>
      <c r="X27" s="52"/>
      <c r="Y27" s="79">
        <f t="shared" si="11"/>
        <v>0</v>
      </c>
      <c r="Z27" s="52"/>
      <c r="AA27" s="79">
        <f t="shared" si="12"/>
        <v>0</v>
      </c>
      <c r="AB27" s="52"/>
      <c r="AC27" s="79">
        <f t="shared" si="13"/>
        <v>0</v>
      </c>
      <c r="AD27" s="52"/>
      <c r="AE27" s="79">
        <f t="shared" si="14"/>
        <v>0</v>
      </c>
      <c r="AF27" s="50">
        <v>0</v>
      </c>
      <c r="AG27" s="79">
        <f t="shared" si="15"/>
        <v>0</v>
      </c>
      <c r="AH27" s="52"/>
      <c r="AI27" s="79">
        <f t="shared" si="16"/>
        <v>0</v>
      </c>
      <c r="AJ27" s="52"/>
      <c r="AK27" s="79">
        <f t="shared" si="17"/>
        <v>0</v>
      </c>
      <c r="AL27" s="52"/>
      <c r="AM27" s="79">
        <f t="shared" si="18"/>
        <v>0</v>
      </c>
      <c r="AN27" s="52"/>
      <c r="AO27" s="90">
        <f t="shared" si="19"/>
        <v>0</v>
      </c>
    </row>
    <row r="28" spans="1:41" x14ac:dyDescent="0.25">
      <c r="A28" s="26" t="s">
        <v>143</v>
      </c>
      <c r="B28" s="50">
        <v>0</v>
      </c>
      <c r="C28" s="79">
        <f t="shared" si="0"/>
        <v>0</v>
      </c>
      <c r="D28" s="52"/>
      <c r="E28" s="79">
        <f t="shared" si="1"/>
        <v>0</v>
      </c>
      <c r="F28" s="52"/>
      <c r="G28" s="79">
        <f t="shared" si="2"/>
        <v>0</v>
      </c>
      <c r="H28" s="52"/>
      <c r="I28" s="79">
        <f t="shared" si="3"/>
        <v>0</v>
      </c>
      <c r="J28" s="52"/>
      <c r="K28" s="79">
        <f t="shared" si="4"/>
        <v>0</v>
      </c>
      <c r="L28" s="50">
        <v>0.62638888888888899</v>
      </c>
      <c r="M28" s="79">
        <f t="shared" si="5"/>
        <v>0.8275229357798165</v>
      </c>
      <c r="N28" s="52"/>
      <c r="O28" s="79">
        <f t="shared" si="6"/>
        <v>0</v>
      </c>
      <c r="P28" s="52"/>
      <c r="Q28" s="79">
        <f t="shared" si="7"/>
        <v>0</v>
      </c>
      <c r="R28" s="52"/>
      <c r="S28" s="79">
        <f t="shared" si="8"/>
        <v>0</v>
      </c>
      <c r="T28" s="52"/>
      <c r="U28" s="79">
        <f t="shared" si="9"/>
        <v>0</v>
      </c>
      <c r="V28" s="50">
        <v>0.6513888888888888</v>
      </c>
      <c r="W28" s="79">
        <f t="shared" si="10"/>
        <v>0.82352941176470595</v>
      </c>
      <c r="X28" s="52"/>
      <c r="Y28" s="79">
        <f t="shared" si="11"/>
        <v>0</v>
      </c>
      <c r="Z28" s="52"/>
      <c r="AA28" s="79">
        <f t="shared" si="12"/>
        <v>0</v>
      </c>
      <c r="AB28" s="52"/>
      <c r="AC28" s="79">
        <f t="shared" si="13"/>
        <v>0</v>
      </c>
      <c r="AD28" s="52"/>
      <c r="AE28" s="79">
        <f t="shared" si="14"/>
        <v>0</v>
      </c>
      <c r="AF28" s="50">
        <v>0.5972222222222221</v>
      </c>
      <c r="AG28" s="79">
        <f t="shared" si="15"/>
        <v>0.89583333333333337</v>
      </c>
      <c r="AH28" s="52"/>
      <c r="AI28" s="79">
        <f t="shared" si="16"/>
        <v>0</v>
      </c>
      <c r="AJ28" s="52"/>
      <c r="AK28" s="79">
        <f t="shared" si="17"/>
        <v>0</v>
      </c>
      <c r="AL28" s="52"/>
      <c r="AM28" s="79">
        <f t="shared" si="18"/>
        <v>0</v>
      </c>
      <c r="AN28" s="52"/>
      <c r="AO28" s="90">
        <f t="shared" si="19"/>
        <v>0</v>
      </c>
    </row>
    <row r="29" spans="1:41" x14ac:dyDescent="0.25">
      <c r="A29" s="26" t="s">
        <v>192</v>
      </c>
      <c r="B29" s="50">
        <v>0</v>
      </c>
      <c r="C29" s="79">
        <f t="shared" si="0"/>
        <v>0</v>
      </c>
      <c r="D29" s="52"/>
      <c r="E29" s="79">
        <f t="shared" si="1"/>
        <v>0</v>
      </c>
      <c r="F29" s="52"/>
      <c r="G29" s="79">
        <f t="shared" si="2"/>
        <v>0</v>
      </c>
      <c r="H29" s="52"/>
      <c r="I29" s="79">
        <f t="shared" si="3"/>
        <v>0</v>
      </c>
      <c r="J29" s="52"/>
      <c r="K29" s="79">
        <f t="shared" si="4"/>
        <v>0</v>
      </c>
      <c r="L29" s="50">
        <v>0</v>
      </c>
      <c r="M29" s="79">
        <f t="shared" si="5"/>
        <v>0</v>
      </c>
      <c r="N29" s="52"/>
      <c r="O29" s="79">
        <f t="shared" si="6"/>
        <v>0</v>
      </c>
      <c r="P29" s="52"/>
      <c r="Q29" s="79">
        <f t="shared" si="7"/>
        <v>0</v>
      </c>
      <c r="R29" s="52"/>
      <c r="S29" s="79">
        <f t="shared" si="8"/>
        <v>0</v>
      </c>
      <c r="T29" s="52"/>
      <c r="U29" s="79">
        <f t="shared" si="9"/>
        <v>0</v>
      </c>
      <c r="V29" s="50">
        <v>0</v>
      </c>
      <c r="W29" s="79">
        <f t="shared" si="10"/>
        <v>0</v>
      </c>
      <c r="X29" s="52"/>
      <c r="Y29" s="79">
        <f t="shared" si="11"/>
        <v>0</v>
      </c>
      <c r="Z29" s="52"/>
      <c r="AA29" s="79">
        <f t="shared" si="12"/>
        <v>0</v>
      </c>
      <c r="AB29" s="52"/>
      <c r="AC29" s="79">
        <f t="shared" si="13"/>
        <v>0</v>
      </c>
      <c r="AD29" s="52"/>
      <c r="AE29" s="79">
        <f t="shared" si="14"/>
        <v>0</v>
      </c>
      <c r="AF29" s="50">
        <v>0</v>
      </c>
      <c r="AG29" s="79">
        <f t="shared" si="15"/>
        <v>0</v>
      </c>
      <c r="AH29" s="52"/>
      <c r="AI29" s="79">
        <f t="shared" si="16"/>
        <v>0</v>
      </c>
      <c r="AJ29" s="52"/>
      <c r="AK29" s="79">
        <f t="shared" si="17"/>
        <v>0</v>
      </c>
      <c r="AL29" s="52"/>
      <c r="AM29" s="79">
        <f t="shared" si="18"/>
        <v>0</v>
      </c>
      <c r="AN29" s="52"/>
      <c r="AO29" s="90">
        <f t="shared" si="19"/>
        <v>0</v>
      </c>
    </row>
    <row r="30" spans="1:41" x14ac:dyDescent="0.25">
      <c r="A30" s="26" t="s">
        <v>144</v>
      </c>
      <c r="B30" s="50">
        <v>0</v>
      </c>
      <c r="C30" s="79">
        <f t="shared" si="0"/>
        <v>0</v>
      </c>
      <c r="D30" s="52"/>
      <c r="E30" s="79">
        <f t="shared" si="1"/>
        <v>0</v>
      </c>
      <c r="F30" s="52"/>
      <c r="G30" s="79">
        <f t="shared" si="2"/>
        <v>0</v>
      </c>
      <c r="H30" s="52"/>
      <c r="I30" s="79">
        <f t="shared" si="3"/>
        <v>0</v>
      </c>
      <c r="J30" s="52"/>
      <c r="K30" s="79">
        <f t="shared" si="4"/>
        <v>0</v>
      </c>
      <c r="L30" s="50">
        <v>0</v>
      </c>
      <c r="M30" s="79">
        <f t="shared" si="5"/>
        <v>0</v>
      </c>
      <c r="N30" s="52"/>
      <c r="O30" s="79">
        <f t="shared" si="6"/>
        <v>0</v>
      </c>
      <c r="P30" s="52"/>
      <c r="Q30" s="79">
        <f t="shared" si="7"/>
        <v>0</v>
      </c>
      <c r="R30" s="52"/>
      <c r="S30" s="79">
        <f t="shared" si="8"/>
        <v>0</v>
      </c>
      <c r="T30" s="52"/>
      <c r="U30" s="79">
        <f t="shared" si="9"/>
        <v>0</v>
      </c>
      <c r="V30" s="50">
        <v>0</v>
      </c>
      <c r="W30" s="79">
        <f t="shared" si="10"/>
        <v>0</v>
      </c>
      <c r="X30" s="52"/>
      <c r="Y30" s="79">
        <f t="shared" si="11"/>
        <v>0</v>
      </c>
      <c r="Z30" s="52"/>
      <c r="AA30" s="79">
        <f t="shared" si="12"/>
        <v>0</v>
      </c>
      <c r="AB30" s="52"/>
      <c r="AC30" s="79">
        <f t="shared" si="13"/>
        <v>0</v>
      </c>
      <c r="AD30" s="52"/>
      <c r="AE30" s="79">
        <f t="shared" si="14"/>
        <v>0</v>
      </c>
      <c r="AF30" s="50">
        <v>0</v>
      </c>
      <c r="AG30" s="79">
        <f t="shared" si="15"/>
        <v>0</v>
      </c>
      <c r="AH30" s="52"/>
      <c r="AI30" s="79">
        <f t="shared" si="16"/>
        <v>0</v>
      </c>
      <c r="AJ30" s="52"/>
      <c r="AK30" s="79">
        <f t="shared" si="17"/>
        <v>0</v>
      </c>
      <c r="AL30" s="52"/>
      <c r="AM30" s="79">
        <f t="shared" si="18"/>
        <v>0</v>
      </c>
      <c r="AN30" s="52"/>
      <c r="AO30" s="90">
        <f t="shared" si="19"/>
        <v>0</v>
      </c>
    </row>
    <row r="31" spans="1:41" x14ac:dyDescent="0.25">
      <c r="A31" s="26" t="s">
        <v>145</v>
      </c>
      <c r="B31" s="50">
        <v>0</v>
      </c>
      <c r="C31" s="79">
        <f t="shared" si="0"/>
        <v>0</v>
      </c>
      <c r="D31" s="52"/>
      <c r="E31" s="79">
        <f t="shared" si="1"/>
        <v>0</v>
      </c>
      <c r="F31" s="52"/>
      <c r="G31" s="79">
        <f t="shared" si="2"/>
        <v>0</v>
      </c>
      <c r="H31" s="52"/>
      <c r="I31" s="79">
        <f t="shared" si="3"/>
        <v>0</v>
      </c>
      <c r="J31" s="52"/>
      <c r="K31" s="79">
        <f t="shared" si="4"/>
        <v>0</v>
      </c>
      <c r="L31" s="50">
        <v>0</v>
      </c>
      <c r="M31" s="79">
        <f t="shared" si="5"/>
        <v>0</v>
      </c>
      <c r="N31" s="52"/>
      <c r="O31" s="79">
        <f t="shared" si="6"/>
        <v>0</v>
      </c>
      <c r="P31" s="52"/>
      <c r="Q31" s="79">
        <f t="shared" si="7"/>
        <v>0</v>
      </c>
      <c r="R31" s="52"/>
      <c r="S31" s="79">
        <f t="shared" si="8"/>
        <v>0</v>
      </c>
      <c r="T31" s="52"/>
      <c r="U31" s="79">
        <f t="shared" si="9"/>
        <v>0</v>
      </c>
      <c r="V31" s="50">
        <v>0</v>
      </c>
      <c r="W31" s="79">
        <f t="shared" si="10"/>
        <v>0</v>
      </c>
      <c r="X31" s="52"/>
      <c r="Y31" s="79">
        <f t="shared" si="11"/>
        <v>0</v>
      </c>
      <c r="Z31" s="52"/>
      <c r="AA31" s="79">
        <f t="shared" si="12"/>
        <v>0</v>
      </c>
      <c r="AB31" s="52"/>
      <c r="AC31" s="79">
        <f t="shared" si="13"/>
        <v>0</v>
      </c>
      <c r="AD31" s="52"/>
      <c r="AE31" s="79">
        <f t="shared" si="14"/>
        <v>0</v>
      </c>
      <c r="AF31" s="50">
        <v>0</v>
      </c>
      <c r="AG31" s="79">
        <f t="shared" si="15"/>
        <v>0</v>
      </c>
      <c r="AH31" s="52"/>
      <c r="AI31" s="79">
        <f t="shared" si="16"/>
        <v>0</v>
      </c>
      <c r="AJ31" s="52"/>
      <c r="AK31" s="79">
        <f t="shared" si="17"/>
        <v>0</v>
      </c>
      <c r="AL31" s="52"/>
      <c r="AM31" s="79">
        <f t="shared" si="18"/>
        <v>0</v>
      </c>
      <c r="AN31" s="52"/>
      <c r="AO31" s="90">
        <f t="shared" si="19"/>
        <v>0</v>
      </c>
    </row>
    <row r="32" spans="1:41" x14ac:dyDescent="0.25">
      <c r="A32" s="26" t="s">
        <v>146</v>
      </c>
      <c r="B32" s="50">
        <v>0</v>
      </c>
      <c r="C32" s="79">
        <f t="shared" si="0"/>
        <v>0</v>
      </c>
      <c r="D32" s="52"/>
      <c r="E32" s="79">
        <f t="shared" si="1"/>
        <v>0</v>
      </c>
      <c r="F32" s="52"/>
      <c r="G32" s="79">
        <f t="shared" si="2"/>
        <v>0</v>
      </c>
      <c r="H32" s="52"/>
      <c r="I32" s="79">
        <f t="shared" si="3"/>
        <v>0</v>
      </c>
      <c r="J32" s="52"/>
      <c r="K32" s="79">
        <f t="shared" si="4"/>
        <v>0</v>
      </c>
      <c r="L32" s="50">
        <v>0</v>
      </c>
      <c r="M32" s="79">
        <f t="shared" si="5"/>
        <v>0</v>
      </c>
      <c r="N32" s="52"/>
      <c r="O32" s="79">
        <f t="shared" si="6"/>
        <v>0</v>
      </c>
      <c r="P32" s="52"/>
      <c r="Q32" s="79">
        <f t="shared" si="7"/>
        <v>0</v>
      </c>
      <c r="R32" s="52"/>
      <c r="S32" s="79">
        <f t="shared" si="8"/>
        <v>0</v>
      </c>
      <c r="T32" s="52"/>
      <c r="U32" s="79">
        <f t="shared" si="9"/>
        <v>0</v>
      </c>
      <c r="V32" s="50">
        <v>0</v>
      </c>
      <c r="W32" s="79">
        <f t="shared" si="10"/>
        <v>0</v>
      </c>
      <c r="X32" s="52"/>
      <c r="Y32" s="79">
        <f t="shared" si="11"/>
        <v>0</v>
      </c>
      <c r="Z32" s="52"/>
      <c r="AA32" s="79">
        <f t="shared" si="12"/>
        <v>0</v>
      </c>
      <c r="AB32" s="52"/>
      <c r="AC32" s="79">
        <f t="shared" si="13"/>
        <v>0</v>
      </c>
      <c r="AD32" s="52"/>
      <c r="AE32" s="79">
        <f t="shared" si="14"/>
        <v>0</v>
      </c>
      <c r="AF32" s="50">
        <v>0</v>
      </c>
      <c r="AG32" s="79">
        <f t="shared" si="15"/>
        <v>0</v>
      </c>
      <c r="AH32" s="52"/>
      <c r="AI32" s="79">
        <f t="shared" si="16"/>
        <v>0</v>
      </c>
      <c r="AJ32" s="52"/>
      <c r="AK32" s="79">
        <f t="shared" si="17"/>
        <v>0</v>
      </c>
      <c r="AL32" s="52"/>
      <c r="AM32" s="79">
        <f t="shared" si="18"/>
        <v>0</v>
      </c>
      <c r="AN32" s="52"/>
      <c r="AO32" s="90">
        <f t="shared" si="19"/>
        <v>0</v>
      </c>
    </row>
    <row r="33" spans="1:41" x14ac:dyDescent="0.25">
      <c r="A33" s="27" t="s">
        <v>72</v>
      </c>
      <c r="B33" s="50">
        <v>0</v>
      </c>
      <c r="C33" s="79">
        <f t="shared" si="0"/>
        <v>0</v>
      </c>
      <c r="D33" s="52"/>
      <c r="E33" s="79">
        <f t="shared" si="1"/>
        <v>0</v>
      </c>
      <c r="F33" s="52"/>
      <c r="G33" s="79">
        <f t="shared" si="2"/>
        <v>0</v>
      </c>
      <c r="H33" s="52"/>
      <c r="I33" s="79">
        <f t="shared" si="3"/>
        <v>0</v>
      </c>
      <c r="J33" s="52"/>
      <c r="K33" s="79">
        <f t="shared" si="4"/>
        <v>0</v>
      </c>
      <c r="L33" s="50">
        <v>2.430555555555558E-2</v>
      </c>
      <c r="M33" s="79">
        <f t="shared" si="5"/>
        <v>3.2110091743119296E-2</v>
      </c>
      <c r="N33" s="52"/>
      <c r="O33" s="79">
        <f t="shared" si="6"/>
        <v>0</v>
      </c>
      <c r="P33" s="52"/>
      <c r="Q33" s="79">
        <f t="shared" si="7"/>
        <v>0</v>
      </c>
      <c r="R33" s="52"/>
      <c r="S33" s="79">
        <f t="shared" si="8"/>
        <v>0</v>
      </c>
      <c r="T33" s="52"/>
      <c r="U33" s="79">
        <f t="shared" si="9"/>
        <v>0</v>
      </c>
      <c r="V33" s="50">
        <v>0</v>
      </c>
      <c r="W33" s="79">
        <f t="shared" si="10"/>
        <v>0</v>
      </c>
      <c r="X33" s="52"/>
      <c r="Y33" s="79">
        <f t="shared" si="11"/>
        <v>0</v>
      </c>
      <c r="Z33" s="52"/>
      <c r="AA33" s="79">
        <f t="shared" si="12"/>
        <v>0</v>
      </c>
      <c r="AB33" s="52"/>
      <c r="AC33" s="79">
        <f t="shared" si="13"/>
        <v>0</v>
      </c>
      <c r="AD33" s="52"/>
      <c r="AE33" s="79">
        <f t="shared" si="14"/>
        <v>0</v>
      </c>
      <c r="AF33" s="50">
        <v>0</v>
      </c>
      <c r="AG33" s="79">
        <f t="shared" si="15"/>
        <v>0</v>
      </c>
      <c r="AH33" s="52"/>
      <c r="AI33" s="79">
        <f t="shared" si="16"/>
        <v>0</v>
      </c>
      <c r="AJ33" s="52"/>
      <c r="AK33" s="79">
        <f t="shared" si="17"/>
        <v>0</v>
      </c>
      <c r="AL33" s="52"/>
      <c r="AM33" s="79">
        <f t="shared" si="18"/>
        <v>0</v>
      </c>
      <c r="AN33" s="52"/>
      <c r="AO33" s="90">
        <f t="shared" si="19"/>
        <v>0</v>
      </c>
    </row>
    <row r="34" spans="1:41" x14ac:dyDescent="0.25">
      <c r="A34" s="27" t="s">
        <v>73</v>
      </c>
      <c r="B34" s="50">
        <v>0</v>
      </c>
      <c r="C34" s="79">
        <f t="shared" si="0"/>
        <v>0</v>
      </c>
      <c r="D34" s="52"/>
      <c r="E34" s="79">
        <f t="shared" si="1"/>
        <v>0</v>
      </c>
      <c r="F34" s="52"/>
      <c r="G34" s="79">
        <f t="shared" si="2"/>
        <v>0</v>
      </c>
      <c r="H34" s="52"/>
      <c r="I34" s="79">
        <f t="shared" si="3"/>
        <v>0</v>
      </c>
      <c r="J34" s="52"/>
      <c r="K34" s="79">
        <f t="shared" si="4"/>
        <v>0</v>
      </c>
      <c r="L34" s="50">
        <v>0</v>
      </c>
      <c r="M34" s="79">
        <f t="shared" si="5"/>
        <v>0</v>
      </c>
      <c r="N34" s="52"/>
      <c r="O34" s="79">
        <f t="shared" si="6"/>
        <v>0</v>
      </c>
      <c r="P34" s="52"/>
      <c r="Q34" s="79">
        <f t="shared" si="7"/>
        <v>0</v>
      </c>
      <c r="R34" s="52"/>
      <c r="S34" s="79">
        <f t="shared" si="8"/>
        <v>0</v>
      </c>
      <c r="T34" s="52"/>
      <c r="U34" s="79">
        <f t="shared" si="9"/>
        <v>0</v>
      </c>
      <c r="V34" s="50">
        <v>0</v>
      </c>
      <c r="W34" s="79">
        <f t="shared" si="10"/>
        <v>0</v>
      </c>
      <c r="X34" s="52"/>
      <c r="Y34" s="79">
        <f t="shared" si="11"/>
        <v>0</v>
      </c>
      <c r="Z34" s="52"/>
      <c r="AA34" s="79">
        <f t="shared" si="12"/>
        <v>0</v>
      </c>
      <c r="AB34" s="52"/>
      <c r="AC34" s="79">
        <f t="shared" si="13"/>
        <v>0</v>
      </c>
      <c r="AD34" s="52"/>
      <c r="AE34" s="79">
        <f t="shared" si="14"/>
        <v>0</v>
      </c>
      <c r="AF34" s="50">
        <v>0</v>
      </c>
      <c r="AG34" s="79">
        <f t="shared" si="15"/>
        <v>0</v>
      </c>
      <c r="AH34" s="52"/>
      <c r="AI34" s="79">
        <f t="shared" si="16"/>
        <v>0</v>
      </c>
      <c r="AJ34" s="52"/>
      <c r="AK34" s="79">
        <f t="shared" si="17"/>
        <v>0</v>
      </c>
      <c r="AL34" s="52"/>
      <c r="AM34" s="79">
        <f t="shared" si="18"/>
        <v>0</v>
      </c>
      <c r="AN34" s="52"/>
      <c r="AO34" s="90">
        <f t="shared" si="19"/>
        <v>0</v>
      </c>
    </row>
    <row r="35" spans="1:41" x14ac:dyDescent="0.25">
      <c r="A35" s="27" t="s">
        <v>74</v>
      </c>
      <c r="B35" s="50">
        <v>0</v>
      </c>
      <c r="C35" s="79">
        <f t="shared" si="0"/>
        <v>0</v>
      </c>
      <c r="D35" s="52"/>
      <c r="E35" s="79">
        <f t="shared" si="1"/>
        <v>0</v>
      </c>
      <c r="F35" s="52"/>
      <c r="G35" s="79">
        <f t="shared" si="2"/>
        <v>0</v>
      </c>
      <c r="H35" s="52"/>
      <c r="I35" s="79">
        <f t="shared" si="3"/>
        <v>0</v>
      </c>
      <c r="J35" s="52"/>
      <c r="K35" s="79">
        <f t="shared" si="4"/>
        <v>0</v>
      </c>
      <c r="L35" s="50">
        <v>0</v>
      </c>
      <c r="M35" s="79">
        <f t="shared" si="5"/>
        <v>0</v>
      </c>
      <c r="N35" s="52"/>
      <c r="O35" s="79">
        <f t="shared" si="6"/>
        <v>0</v>
      </c>
      <c r="P35" s="52"/>
      <c r="Q35" s="79">
        <f t="shared" si="7"/>
        <v>0</v>
      </c>
      <c r="R35" s="52"/>
      <c r="S35" s="79">
        <f t="shared" si="8"/>
        <v>0</v>
      </c>
      <c r="T35" s="52"/>
      <c r="U35" s="79">
        <f t="shared" si="9"/>
        <v>0</v>
      </c>
      <c r="V35" s="50">
        <v>0</v>
      </c>
      <c r="W35" s="79">
        <f t="shared" si="10"/>
        <v>0</v>
      </c>
      <c r="X35" s="52"/>
      <c r="Y35" s="79">
        <f t="shared" si="11"/>
        <v>0</v>
      </c>
      <c r="Z35" s="52"/>
      <c r="AA35" s="79">
        <f t="shared" si="12"/>
        <v>0</v>
      </c>
      <c r="AB35" s="52"/>
      <c r="AC35" s="79">
        <f t="shared" si="13"/>
        <v>0</v>
      </c>
      <c r="AD35" s="52"/>
      <c r="AE35" s="79">
        <f t="shared" si="14"/>
        <v>0</v>
      </c>
      <c r="AF35" s="50">
        <v>0</v>
      </c>
      <c r="AG35" s="79">
        <f t="shared" si="15"/>
        <v>0</v>
      </c>
      <c r="AH35" s="52"/>
      <c r="AI35" s="79">
        <f t="shared" si="16"/>
        <v>0</v>
      </c>
      <c r="AJ35" s="52"/>
      <c r="AK35" s="79">
        <f t="shared" si="17"/>
        <v>0</v>
      </c>
      <c r="AL35" s="52"/>
      <c r="AM35" s="79">
        <f t="shared" si="18"/>
        <v>0</v>
      </c>
      <c r="AN35" s="52"/>
      <c r="AO35" s="90">
        <f t="shared" si="19"/>
        <v>0</v>
      </c>
    </row>
    <row r="36" spans="1:41" x14ac:dyDescent="0.25">
      <c r="A36" s="27" t="s">
        <v>75</v>
      </c>
      <c r="B36" s="50">
        <v>0</v>
      </c>
      <c r="C36" s="79">
        <f t="shared" si="0"/>
        <v>0</v>
      </c>
      <c r="D36" s="52"/>
      <c r="E36" s="79">
        <f t="shared" si="1"/>
        <v>0</v>
      </c>
      <c r="F36" s="52"/>
      <c r="G36" s="79">
        <f t="shared" si="2"/>
        <v>0</v>
      </c>
      <c r="H36" s="52"/>
      <c r="I36" s="79">
        <f t="shared" si="3"/>
        <v>0</v>
      </c>
      <c r="J36" s="52"/>
      <c r="K36" s="79">
        <f t="shared" si="4"/>
        <v>0</v>
      </c>
      <c r="L36" s="50">
        <v>0</v>
      </c>
      <c r="M36" s="79">
        <f t="shared" si="5"/>
        <v>0</v>
      </c>
      <c r="N36" s="52"/>
      <c r="O36" s="79">
        <f t="shared" si="6"/>
        <v>0</v>
      </c>
      <c r="P36" s="52"/>
      <c r="Q36" s="79">
        <f t="shared" si="7"/>
        <v>0</v>
      </c>
      <c r="R36" s="52"/>
      <c r="S36" s="79">
        <f t="shared" si="8"/>
        <v>0</v>
      </c>
      <c r="T36" s="52"/>
      <c r="U36" s="79">
        <f t="shared" si="9"/>
        <v>0</v>
      </c>
      <c r="V36" s="50">
        <v>0</v>
      </c>
      <c r="W36" s="79">
        <f t="shared" si="10"/>
        <v>0</v>
      </c>
      <c r="X36" s="52"/>
      <c r="Y36" s="79">
        <f t="shared" si="11"/>
        <v>0</v>
      </c>
      <c r="Z36" s="52"/>
      <c r="AA36" s="79">
        <f t="shared" si="12"/>
        <v>0</v>
      </c>
      <c r="AB36" s="52"/>
      <c r="AC36" s="79">
        <f t="shared" si="13"/>
        <v>0</v>
      </c>
      <c r="AD36" s="52"/>
      <c r="AE36" s="79">
        <f t="shared" si="14"/>
        <v>0</v>
      </c>
      <c r="AF36" s="50">
        <v>0</v>
      </c>
      <c r="AG36" s="79">
        <f t="shared" si="15"/>
        <v>0</v>
      </c>
      <c r="AH36" s="52"/>
      <c r="AI36" s="79">
        <f t="shared" si="16"/>
        <v>0</v>
      </c>
      <c r="AJ36" s="52"/>
      <c r="AK36" s="79">
        <f t="shared" si="17"/>
        <v>0</v>
      </c>
      <c r="AL36" s="52"/>
      <c r="AM36" s="79">
        <f t="shared" si="18"/>
        <v>0</v>
      </c>
      <c r="AN36" s="52"/>
      <c r="AO36" s="90">
        <f t="shared" si="19"/>
        <v>0</v>
      </c>
    </row>
    <row r="37" spans="1:41" x14ac:dyDescent="0.25">
      <c r="A37" s="27" t="s">
        <v>76</v>
      </c>
      <c r="B37" s="50">
        <v>0</v>
      </c>
      <c r="C37" s="79">
        <f t="shared" si="0"/>
        <v>0</v>
      </c>
      <c r="D37" s="52"/>
      <c r="E37" s="79">
        <f t="shared" si="1"/>
        <v>0</v>
      </c>
      <c r="F37" s="52"/>
      <c r="G37" s="79">
        <f t="shared" si="2"/>
        <v>0</v>
      </c>
      <c r="H37" s="52"/>
      <c r="I37" s="79">
        <f t="shared" si="3"/>
        <v>0</v>
      </c>
      <c r="J37" s="52"/>
      <c r="K37" s="79">
        <f t="shared" si="4"/>
        <v>0</v>
      </c>
      <c r="L37" s="50">
        <v>0</v>
      </c>
      <c r="M37" s="79">
        <f t="shared" si="5"/>
        <v>0</v>
      </c>
      <c r="N37" s="52"/>
      <c r="O37" s="79">
        <f t="shared" si="6"/>
        <v>0</v>
      </c>
      <c r="P37" s="52"/>
      <c r="Q37" s="79">
        <f t="shared" si="7"/>
        <v>0</v>
      </c>
      <c r="R37" s="52"/>
      <c r="S37" s="79">
        <f t="shared" si="8"/>
        <v>0</v>
      </c>
      <c r="T37" s="52"/>
      <c r="U37" s="79">
        <f t="shared" si="9"/>
        <v>0</v>
      </c>
      <c r="V37" s="50">
        <v>0</v>
      </c>
      <c r="W37" s="79">
        <f t="shared" si="10"/>
        <v>0</v>
      </c>
      <c r="X37" s="52"/>
      <c r="Y37" s="79">
        <f t="shared" si="11"/>
        <v>0</v>
      </c>
      <c r="Z37" s="52"/>
      <c r="AA37" s="79">
        <f t="shared" si="12"/>
        <v>0</v>
      </c>
      <c r="AB37" s="52"/>
      <c r="AC37" s="79">
        <f t="shared" si="13"/>
        <v>0</v>
      </c>
      <c r="AD37" s="52"/>
      <c r="AE37" s="79">
        <f t="shared" si="14"/>
        <v>0</v>
      </c>
      <c r="AF37" s="50">
        <v>0</v>
      </c>
      <c r="AG37" s="79">
        <f t="shared" si="15"/>
        <v>0</v>
      </c>
      <c r="AH37" s="52"/>
      <c r="AI37" s="79">
        <f t="shared" si="16"/>
        <v>0</v>
      </c>
      <c r="AJ37" s="52"/>
      <c r="AK37" s="79">
        <f t="shared" si="17"/>
        <v>0</v>
      </c>
      <c r="AL37" s="52"/>
      <c r="AM37" s="79">
        <f t="shared" si="18"/>
        <v>0</v>
      </c>
      <c r="AN37" s="52"/>
      <c r="AO37" s="90">
        <f t="shared" si="19"/>
        <v>0</v>
      </c>
    </row>
    <row r="38" spans="1:41" x14ac:dyDescent="0.25">
      <c r="A38" s="27" t="s">
        <v>77</v>
      </c>
      <c r="B38" s="50">
        <v>0</v>
      </c>
      <c r="C38" s="79">
        <f t="shared" si="0"/>
        <v>0</v>
      </c>
      <c r="D38" s="52"/>
      <c r="E38" s="79">
        <f t="shared" si="1"/>
        <v>0</v>
      </c>
      <c r="F38" s="52"/>
      <c r="G38" s="79">
        <f t="shared" si="2"/>
        <v>0</v>
      </c>
      <c r="H38" s="52"/>
      <c r="I38" s="79">
        <f t="shared" si="3"/>
        <v>0</v>
      </c>
      <c r="J38" s="52"/>
      <c r="K38" s="79">
        <f t="shared" si="4"/>
        <v>0</v>
      </c>
      <c r="L38" s="50">
        <v>2.083333333333337E-2</v>
      </c>
      <c r="M38" s="79">
        <f t="shared" si="5"/>
        <v>2.752293577981656E-2</v>
      </c>
      <c r="N38" s="52"/>
      <c r="O38" s="79">
        <f t="shared" si="6"/>
        <v>0</v>
      </c>
      <c r="P38" s="52"/>
      <c r="Q38" s="79">
        <f t="shared" si="7"/>
        <v>0</v>
      </c>
      <c r="R38" s="52"/>
      <c r="S38" s="79">
        <f t="shared" si="8"/>
        <v>0</v>
      </c>
      <c r="T38" s="52"/>
      <c r="U38" s="79">
        <f t="shared" si="9"/>
        <v>0</v>
      </c>
      <c r="V38" s="50">
        <v>0</v>
      </c>
      <c r="W38" s="79">
        <f t="shared" si="10"/>
        <v>0</v>
      </c>
      <c r="X38" s="52"/>
      <c r="Y38" s="79">
        <f t="shared" si="11"/>
        <v>0</v>
      </c>
      <c r="Z38" s="52"/>
      <c r="AA38" s="79">
        <f t="shared" si="12"/>
        <v>0</v>
      </c>
      <c r="AB38" s="52"/>
      <c r="AC38" s="79">
        <f t="shared" si="13"/>
        <v>0</v>
      </c>
      <c r="AD38" s="52"/>
      <c r="AE38" s="79">
        <f t="shared" si="14"/>
        <v>0</v>
      </c>
      <c r="AF38" s="50">
        <v>0</v>
      </c>
      <c r="AG38" s="79">
        <f t="shared" si="15"/>
        <v>0</v>
      </c>
      <c r="AH38" s="52"/>
      <c r="AI38" s="79">
        <f t="shared" si="16"/>
        <v>0</v>
      </c>
      <c r="AJ38" s="52"/>
      <c r="AK38" s="79">
        <f t="shared" si="17"/>
        <v>0</v>
      </c>
      <c r="AL38" s="52"/>
      <c r="AM38" s="79">
        <f t="shared" si="18"/>
        <v>0</v>
      </c>
      <c r="AN38" s="52"/>
      <c r="AO38" s="90">
        <f t="shared" si="19"/>
        <v>0</v>
      </c>
    </row>
    <row r="39" spans="1:41" x14ac:dyDescent="0.25">
      <c r="A39" s="27" t="s">
        <v>78</v>
      </c>
      <c r="B39" s="50">
        <v>0</v>
      </c>
      <c r="C39" s="79">
        <f t="shared" si="0"/>
        <v>0</v>
      </c>
      <c r="D39" s="52"/>
      <c r="E39" s="79">
        <f t="shared" si="1"/>
        <v>0</v>
      </c>
      <c r="F39" s="52"/>
      <c r="G39" s="79">
        <f t="shared" si="2"/>
        <v>0</v>
      </c>
      <c r="H39" s="52"/>
      <c r="I39" s="79">
        <f t="shared" si="3"/>
        <v>0</v>
      </c>
      <c r="J39" s="52"/>
      <c r="K39" s="79">
        <f t="shared" si="4"/>
        <v>0</v>
      </c>
      <c r="L39" s="50">
        <v>0</v>
      </c>
      <c r="M39" s="79">
        <f t="shared" si="5"/>
        <v>0</v>
      </c>
      <c r="N39" s="52"/>
      <c r="O39" s="79">
        <f t="shared" si="6"/>
        <v>0</v>
      </c>
      <c r="P39" s="52"/>
      <c r="Q39" s="79">
        <f t="shared" si="7"/>
        <v>0</v>
      </c>
      <c r="R39" s="52"/>
      <c r="S39" s="79">
        <f t="shared" si="8"/>
        <v>0</v>
      </c>
      <c r="T39" s="52"/>
      <c r="U39" s="79">
        <f t="shared" si="9"/>
        <v>0</v>
      </c>
      <c r="V39" s="50">
        <v>0</v>
      </c>
      <c r="W39" s="79">
        <f t="shared" si="10"/>
        <v>0</v>
      </c>
      <c r="X39" s="52"/>
      <c r="Y39" s="79">
        <f t="shared" si="11"/>
        <v>0</v>
      </c>
      <c r="Z39" s="52"/>
      <c r="AA39" s="79">
        <f t="shared" si="12"/>
        <v>0</v>
      </c>
      <c r="AB39" s="52"/>
      <c r="AC39" s="79">
        <f t="shared" si="13"/>
        <v>0</v>
      </c>
      <c r="AD39" s="52"/>
      <c r="AE39" s="79">
        <f t="shared" si="14"/>
        <v>0</v>
      </c>
      <c r="AF39" s="50">
        <v>0</v>
      </c>
      <c r="AG39" s="79">
        <f t="shared" si="15"/>
        <v>0</v>
      </c>
      <c r="AH39" s="52"/>
      <c r="AI39" s="79">
        <f t="shared" si="16"/>
        <v>0</v>
      </c>
      <c r="AJ39" s="52"/>
      <c r="AK39" s="79">
        <f t="shared" si="17"/>
        <v>0</v>
      </c>
      <c r="AL39" s="52"/>
      <c r="AM39" s="79">
        <f t="shared" si="18"/>
        <v>0</v>
      </c>
      <c r="AN39" s="52"/>
      <c r="AO39" s="90">
        <f t="shared" si="19"/>
        <v>0</v>
      </c>
    </row>
    <row r="40" spans="1:41" ht="15.75" thickBot="1" x14ac:dyDescent="0.3">
      <c r="A40" s="28" t="s">
        <v>79</v>
      </c>
      <c r="B40" s="50">
        <v>0</v>
      </c>
      <c r="C40" s="79">
        <f t="shared" si="0"/>
        <v>0</v>
      </c>
      <c r="D40" s="52"/>
      <c r="E40" s="79">
        <f t="shared" si="1"/>
        <v>0</v>
      </c>
      <c r="F40" s="52"/>
      <c r="G40" s="79">
        <f t="shared" si="2"/>
        <v>0</v>
      </c>
      <c r="H40" s="52"/>
      <c r="I40" s="79">
        <f t="shared" si="3"/>
        <v>0</v>
      </c>
      <c r="J40" s="52"/>
      <c r="K40" s="79">
        <f t="shared" si="4"/>
        <v>0</v>
      </c>
      <c r="L40" s="50">
        <v>0</v>
      </c>
      <c r="M40" s="79">
        <f t="shared" si="5"/>
        <v>0</v>
      </c>
      <c r="N40" s="52"/>
      <c r="O40" s="79">
        <f t="shared" si="6"/>
        <v>0</v>
      </c>
      <c r="P40" s="52"/>
      <c r="Q40" s="79">
        <f t="shared" si="7"/>
        <v>0</v>
      </c>
      <c r="R40" s="52"/>
      <c r="S40" s="79">
        <f t="shared" si="8"/>
        <v>0</v>
      </c>
      <c r="T40" s="52"/>
      <c r="U40" s="79">
        <f t="shared" si="9"/>
        <v>0</v>
      </c>
      <c r="V40" s="50">
        <v>0</v>
      </c>
      <c r="W40" s="79">
        <f t="shared" si="10"/>
        <v>0</v>
      </c>
      <c r="X40" s="52"/>
      <c r="Y40" s="79">
        <f t="shared" si="11"/>
        <v>0</v>
      </c>
      <c r="Z40" s="52"/>
      <c r="AA40" s="79">
        <f t="shared" si="12"/>
        <v>0</v>
      </c>
      <c r="AB40" s="52"/>
      <c r="AC40" s="79">
        <f t="shared" si="13"/>
        <v>0</v>
      </c>
      <c r="AD40" s="52"/>
      <c r="AE40" s="79">
        <f t="shared" si="14"/>
        <v>0</v>
      </c>
      <c r="AF40" s="50">
        <v>0</v>
      </c>
      <c r="AG40" s="79">
        <f t="shared" si="15"/>
        <v>0</v>
      </c>
      <c r="AH40" s="52"/>
      <c r="AI40" s="79">
        <f t="shared" si="16"/>
        <v>0</v>
      </c>
      <c r="AJ40" s="52"/>
      <c r="AK40" s="79">
        <f t="shared" si="17"/>
        <v>0</v>
      </c>
      <c r="AL40" s="52"/>
      <c r="AM40" s="79">
        <f t="shared" si="18"/>
        <v>0</v>
      </c>
      <c r="AN40" s="52"/>
      <c r="AO40" s="90">
        <f t="shared" si="19"/>
        <v>0</v>
      </c>
    </row>
    <row r="41" spans="1:41" ht="15.75" thickBot="1" x14ac:dyDescent="0.3">
      <c r="A41" s="28" t="s">
        <v>80</v>
      </c>
      <c r="B41" s="50">
        <v>0</v>
      </c>
      <c r="C41" s="79">
        <f t="shared" si="0"/>
        <v>0</v>
      </c>
      <c r="D41" s="52"/>
      <c r="E41" s="79">
        <f t="shared" si="1"/>
        <v>0</v>
      </c>
      <c r="F41" s="52"/>
      <c r="G41" s="79">
        <f t="shared" si="2"/>
        <v>0</v>
      </c>
      <c r="H41" s="52"/>
      <c r="I41" s="79">
        <f t="shared" si="3"/>
        <v>0</v>
      </c>
      <c r="J41" s="52"/>
      <c r="K41" s="79">
        <f t="shared" si="4"/>
        <v>0</v>
      </c>
      <c r="L41" s="50">
        <v>0</v>
      </c>
      <c r="M41" s="79">
        <f t="shared" si="5"/>
        <v>0</v>
      </c>
      <c r="N41" s="52"/>
      <c r="O41" s="79">
        <f t="shared" si="6"/>
        <v>0</v>
      </c>
      <c r="P41" s="52"/>
      <c r="Q41" s="79">
        <f t="shared" si="7"/>
        <v>0</v>
      </c>
      <c r="R41" s="52"/>
      <c r="S41" s="79">
        <f t="shared" si="8"/>
        <v>0</v>
      </c>
      <c r="T41" s="52"/>
      <c r="U41" s="79">
        <f t="shared" si="9"/>
        <v>0</v>
      </c>
      <c r="V41" s="50">
        <v>5.1388888888888817E-2</v>
      </c>
      <c r="W41" s="79">
        <f t="shared" si="10"/>
        <v>6.4969271290605715E-2</v>
      </c>
      <c r="X41" s="52"/>
      <c r="Y41" s="79">
        <f t="shared" si="11"/>
        <v>0</v>
      </c>
      <c r="Z41" s="52"/>
      <c r="AA41" s="79">
        <f t="shared" si="12"/>
        <v>0</v>
      </c>
      <c r="AB41" s="52"/>
      <c r="AC41" s="79">
        <f t="shared" si="13"/>
        <v>0</v>
      </c>
      <c r="AD41" s="52"/>
      <c r="AE41" s="79">
        <f t="shared" si="14"/>
        <v>0</v>
      </c>
      <c r="AF41" s="50">
        <v>0</v>
      </c>
      <c r="AG41" s="79">
        <f t="shared" si="15"/>
        <v>0</v>
      </c>
      <c r="AH41" s="52"/>
      <c r="AI41" s="79">
        <f t="shared" si="16"/>
        <v>0</v>
      </c>
      <c r="AJ41" s="52"/>
      <c r="AK41" s="79">
        <f t="shared" si="17"/>
        <v>0</v>
      </c>
      <c r="AL41" s="52"/>
      <c r="AM41" s="79">
        <f t="shared" si="18"/>
        <v>0</v>
      </c>
      <c r="AN41" s="52"/>
      <c r="AO41" s="90">
        <f t="shared" si="19"/>
        <v>0</v>
      </c>
    </row>
    <row r="42" spans="1:41" ht="15.75" thickBot="1" x14ac:dyDescent="0.3">
      <c r="A42" s="28" t="s">
        <v>227</v>
      </c>
      <c r="B42" s="54">
        <v>0</v>
      </c>
      <c r="C42" s="88">
        <f t="shared" si="0"/>
        <v>0</v>
      </c>
      <c r="D42" s="56"/>
      <c r="E42" s="88">
        <f t="shared" si="1"/>
        <v>0</v>
      </c>
      <c r="F42" s="56"/>
      <c r="G42" s="88">
        <f t="shared" si="2"/>
        <v>0</v>
      </c>
      <c r="H42" s="56"/>
      <c r="I42" s="88">
        <f t="shared" si="3"/>
        <v>0</v>
      </c>
      <c r="J42" s="56"/>
      <c r="K42" s="88">
        <f t="shared" si="4"/>
        <v>0</v>
      </c>
      <c r="L42" s="54">
        <v>0</v>
      </c>
      <c r="M42" s="88">
        <f t="shared" si="5"/>
        <v>0</v>
      </c>
      <c r="N42" s="56"/>
      <c r="O42" s="88">
        <f t="shared" si="6"/>
        <v>0</v>
      </c>
      <c r="P42" s="56"/>
      <c r="Q42" s="88">
        <f t="shared" si="7"/>
        <v>0</v>
      </c>
      <c r="R42" s="56"/>
      <c r="S42" s="88">
        <f t="shared" si="8"/>
        <v>0</v>
      </c>
      <c r="T42" s="56"/>
      <c r="U42" s="88">
        <f t="shared" si="9"/>
        <v>0</v>
      </c>
      <c r="V42" s="54">
        <v>0</v>
      </c>
      <c r="W42" s="88">
        <f t="shared" si="10"/>
        <v>0</v>
      </c>
      <c r="X42" s="56"/>
      <c r="Y42" s="88">
        <f t="shared" si="11"/>
        <v>0</v>
      </c>
      <c r="Z42" s="56"/>
      <c r="AA42" s="88">
        <f t="shared" si="12"/>
        <v>0</v>
      </c>
      <c r="AB42" s="56"/>
      <c r="AC42" s="88">
        <f t="shared" si="13"/>
        <v>0</v>
      </c>
      <c r="AD42" s="56"/>
      <c r="AE42" s="88">
        <f t="shared" si="14"/>
        <v>0</v>
      </c>
      <c r="AF42" s="54">
        <v>0</v>
      </c>
      <c r="AG42" s="88">
        <f t="shared" si="15"/>
        <v>0</v>
      </c>
      <c r="AH42" s="56"/>
      <c r="AI42" s="88">
        <f t="shared" si="16"/>
        <v>0</v>
      </c>
      <c r="AJ42" s="56"/>
      <c r="AK42" s="88">
        <f t="shared" si="17"/>
        <v>0</v>
      </c>
      <c r="AL42" s="56"/>
      <c r="AM42" s="88">
        <f t="shared" si="18"/>
        <v>0</v>
      </c>
      <c r="AN42" s="56"/>
      <c r="AO42" s="91">
        <f t="shared" si="19"/>
        <v>0</v>
      </c>
    </row>
    <row r="43" spans="1:41" x14ac:dyDescent="0.25">
      <c r="B43" s="77">
        <f>SUM(B4:B42)</f>
        <v>0</v>
      </c>
      <c r="C43"/>
      <c r="D43" s="77">
        <f>SUM(D4:D42)</f>
        <v>0</v>
      </c>
      <c r="E43"/>
      <c r="F43" s="77">
        <f>SUM(F4:F42)</f>
        <v>0</v>
      </c>
      <c r="G43"/>
      <c r="H43" s="77">
        <f>SUM(H4:H42)</f>
        <v>0</v>
      </c>
      <c r="I43"/>
      <c r="J43" s="77">
        <f>SUM(J4:J42)</f>
        <v>0</v>
      </c>
      <c r="K43"/>
      <c r="L43" s="77">
        <f>SUM(L4:L42)</f>
        <v>0.75694444444444453</v>
      </c>
      <c r="M43"/>
      <c r="N43" s="77">
        <f>SUM(N4:N42)</f>
        <v>0</v>
      </c>
      <c r="O43"/>
      <c r="P43" s="77">
        <f>SUM(P4:P42)</f>
        <v>0</v>
      </c>
      <c r="Q43"/>
      <c r="R43" s="77">
        <f>SUM(R4:R42)</f>
        <v>0</v>
      </c>
      <c r="S43"/>
      <c r="T43" s="77">
        <f>SUM(T4:T42)</f>
        <v>0</v>
      </c>
      <c r="U43"/>
      <c r="V43" s="77">
        <f>SUM(V4:V42)</f>
        <v>0.79097222222222208</v>
      </c>
      <c r="W43"/>
      <c r="X43" s="77">
        <f>SUM(X4:X42)</f>
        <v>0</v>
      </c>
      <c r="Y43"/>
      <c r="Z43" s="77">
        <f>SUM(Z4:Z42)</f>
        <v>0</v>
      </c>
      <c r="AA43"/>
      <c r="AB43" s="77">
        <f>SUM(AB4:AB42)</f>
        <v>0</v>
      </c>
      <c r="AC43"/>
      <c r="AD43" s="77">
        <f>SUM(AD4:AD42)</f>
        <v>0</v>
      </c>
      <c r="AE43"/>
      <c r="AF43" s="77">
        <f>SUM(AF4:AF42)</f>
        <v>0.66666666666666652</v>
      </c>
      <c r="AG43"/>
      <c r="AH43" s="77">
        <f>SUM(AH4:AH42)</f>
        <v>0</v>
      </c>
      <c r="AI43"/>
      <c r="AJ43" s="77">
        <f>SUM(AJ4:AJ42)</f>
        <v>0</v>
      </c>
      <c r="AK43"/>
      <c r="AL43" s="77">
        <f>SUM(AL4:AL42)</f>
        <v>0</v>
      </c>
      <c r="AM43"/>
      <c r="AN43" s="77">
        <f>SUM(AN4:AN42)</f>
        <v>0</v>
      </c>
      <c r="AO43"/>
    </row>
    <row r="44" spans="1:41" x14ac:dyDescent="0.25">
      <c r="B44" s="37">
        <v>22.866666666666699</v>
      </c>
      <c r="L44" s="37">
        <v>18.1666666666667</v>
      </c>
      <c r="V44" s="37">
        <v>18.983333333333299</v>
      </c>
      <c r="AF44" s="37">
        <v>16</v>
      </c>
    </row>
    <row r="45" spans="1:41" x14ac:dyDescent="0.25">
      <c r="B45" s="37">
        <v>0</v>
      </c>
      <c r="L45" s="37">
        <v>0</v>
      </c>
      <c r="V45" s="37">
        <v>0</v>
      </c>
      <c r="AF45" s="37">
        <v>0</v>
      </c>
    </row>
  </sheetData>
  <mergeCells count="24">
    <mergeCell ref="V2:W2"/>
    <mergeCell ref="B1:K1"/>
    <mergeCell ref="L1:U1"/>
    <mergeCell ref="V1:AE1"/>
    <mergeCell ref="AF1:AO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AJ2:AK2"/>
    <mergeCell ref="AL2:AM2"/>
    <mergeCell ref="AN2:AO2"/>
    <mergeCell ref="X2:Y2"/>
    <mergeCell ref="Z2:AA2"/>
    <mergeCell ref="AB2:AC2"/>
    <mergeCell ref="AD2:AE2"/>
    <mergeCell ref="AF2:AG2"/>
    <mergeCell ref="AH2:AI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O45"/>
  <sheetViews>
    <sheetView zoomScale="55" zoomScaleNormal="55" workbookViewId="0">
      <selection activeCell="B2" sqref="B2:DB2"/>
    </sheetView>
  </sheetViews>
  <sheetFormatPr defaultRowHeight="15" x14ac:dyDescent="0.25"/>
  <cols>
    <col min="1" max="1" width="34.28515625" style="37" bestFit="1" customWidth="1"/>
    <col min="2" max="3" width="9.140625" style="37"/>
    <col min="4" max="4" width="10" style="37" customWidth="1"/>
    <col min="5" max="5" width="9.140625" style="37" customWidth="1"/>
    <col min="6" max="6" width="11.28515625" style="37" customWidth="1"/>
    <col min="7" max="13" width="9.140625" style="37"/>
    <col min="14" max="14" width="12.140625" style="37" customWidth="1"/>
    <col min="15" max="15" width="9.140625" style="37"/>
    <col min="16" max="16" width="12.5703125" style="37" bestFit="1" customWidth="1"/>
    <col min="17" max="17" width="9.140625" style="37"/>
    <col min="18" max="18" width="11.85546875" style="37" customWidth="1"/>
    <col min="19" max="23" width="9.140625" style="37"/>
    <col min="24" max="24" width="10.5703125" style="37" customWidth="1"/>
    <col min="25" max="16384" width="9.140625" style="37"/>
  </cols>
  <sheetData>
    <row r="1" spans="1:41" ht="15.75" customHeight="1" thickBot="1" x14ac:dyDescent="0.3">
      <c r="B1" s="73" t="s">
        <v>17</v>
      </c>
      <c r="C1" s="68"/>
      <c r="D1" s="68"/>
      <c r="E1" s="68"/>
      <c r="F1" s="68"/>
      <c r="G1" s="68"/>
      <c r="H1" s="68"/>
      <c r="I1" s="68"/>
      <c r="J1" s="68"/>
      <c r="K1" s="69"/>
      <c r="L1" s="73" t="s">
        <v>21</v>
      </c>
      <c r="M1" s="68"/>
      <c r="N1" s="68"/>
      <c r="O1" s="68"/>
      <c r="P1" s="68"/>
      <c r="Q1" s="68"/>
      <c r="R1" s="68"/>
      <c r="S1" s="68"/>
      <c r="T1" s="68"/>
      <c r="U1" s="69"/>
      <c r="V1" s="73" t="s">
        <v>26</v>
      </c>
      <c r="W1" s="68"/>
      <c r="X1" s="68"/>
      <c r="Y1" s="68"/>
      <c r="Z1" s="68"/>
      <c r="AA1" s="68"/>
      <c r="AB1" s="68"/>
      <c r="AC1" s="68"/>
      <c r="AD1" s="68"/>
      <c r="AE1" s="69"/>
      <c r="AF1" s="73" t="s">
        <v>58</v>
      </c>
      <c r="AG1" s="68"/>
      <c r="AH1" s="68"/>
      <c r="AI1" s="68"/>
      <c r="AJ1" s="68"/>
      <c r="AK1" s="68"/>
      <c r="AL1" s="68"/>
      <c r="AM1" s="68"/>
      <c r="AN1" s="68"/>
      <c r="AO1" s="69"/>
    </row>
    <row r="2" spans="1:41" x14ac:dyDescent="0.25">
      <c r="B2" s="65">
        <f ca="1">SunDates!$H1</f>
        <v>43134</v>
      </c>
      <c r="C2" s="66"/>
      <c r="D2" s="65">
        <f ca="1">SunDates!$H2</f>
        <v>43141</v>
      </c>
      <c r="E2" s="66"/>
      <c r="F2" s="65">
        <f ca="1">SunDates!$H3</f>
        <v>43148</v>
      </c>
      <c r="G2" s="66"/>
      <c r="H2" s="65">
        <f ca="1">SunDates!$H4</f>
        <v>43155</v>
      </c>
      <c r="I2" s="66"/>
      <c r="J2" s="65">
        <f ca="1">SunDates!$H5</f>
        <v>43159</v>
      </c>
      <c r="K2" s="66"/>
      <c r="L2" s="65">
        <f ca="1">SunDates!$H1</f>
        <v>43134</v>
      </c>
      <c r="M2" s="66"/>
      <c r="N2" s="65">
        <f ca="1">SunDates!$H2</f>
        <v>43141</v>
      </c>
      <c r="O2" s="66"/>
      <c r="P2" s="65">
        <f ca="1">SunDates!$H3</f>
        <v>43148</v>
      </c>
      <c r="Q2" s="66"/>
      <c r="R2" s="65">
        <f ca="1">SunDates!$H4</f>
        <v>43155</v>
      </c>
      <c r="S2" s="66"/>
      <c r="T2" s="65">
        <f ca="1">SunDates!$H5</f>
        <v>43159</v>
      </c>
      <c r="U2" s="66"/>
      <c r="V2" s="65">
        <f ca="1">SunDates!$H1</f>
        <v>43134</v>
      </c>
      <c r="W2" s="66"/>
      <c r="X2" s="65">
        <f ca="1">SunDates!$H2</f>
        <v>43141</v>
      </c>
      <c r="Y2" s="66"/>
      <c r="Z2" s="65">
        <f ca="1">SunDates!$H3</f>
        <v>43148</v>
      </c>
      <c r="AA2" s="66"/>
      <c r="AB2" s="65">
        <f ca="1">SunDates!$H4</f>
        <v>43155</v>
      </c>
      <c r="AC2" s="66"/>
      <c r="AD2" s="65">
        <f ca="1">SunDates!$H5</f>
        <v>43159</v>
      </c>
      <c r="AE2" s="66"/>
      <c r="AF2" s="65">
        <f ca="1">SunDates!$H1</f>
        <v>43134</v>
      </c>
      <c r="AG2" s="66"/>
      <c r="AH2" s="65">
        <f ca="1">SunDates!$H2</f>
        <v>43141</v>
      </c>
      <c r="AI2" s="66"/>
      <c r="AJ2" s="65">
        <f ca="1">SunDates!$H3</f>
        <v>43148</v>
      </c>
      <c r="AK2" s="66"/>
      <c r="AL2" s="65">
        <f ca="1">SunDates!$H4</f>
        <v>43155</v>
      </c>
      <c r="AM2" s="66"/>
      <c r="AN2" s="65">
        <f ca="1">SunDates!$H5</f>
        <v>43159</v>
      </c>
      <c r="AO2" s="66"/>
    </row>
    <row r="3" spans="1:41" ht="15.75" thickBot="1" x14ac:dyDescent="0.3">
      <c r="B3" s="85" t="s">
        <v>169</v>
      </c>
      <c r="C3" s="86" t="s">
        <v>170</v>
      </c>
      <c r="D3" s="86" t="s">
        <v>169</v>
      </c>
      <c r="E3" s="86" t="s">
        <v>170</v>
      </c>
      <c r="F3" s="86" t="s">
        <v>169</v>
      </c>
      <c r="G3" s="86" t="s">
        <v>170</v>
      </c>
      <c r="H3" s="86" t="s">
        <v>169</v>
      </c>
      <c r="I3" s="86" t="s">
        <v>170</v>
      </c>
      <c r="J3" s="86" t="s">
        <v>169</v>
      </c>
      <c r="K3" s="87" t="s">
        <v>170</v>
      </c>
      <c r="L3" s="40" t="s">
        <v>169</v>
      </c>
      <c r="M3" s="41" t="s">
        <v>170</v>
      </c>
      <c r="N3" s="41" t="s">
        <v>169</v>
      </c>
      <c r="O3" s="41" t="s">
        <v>170</v>
      </c>
      <c r="P3" s="41" t="s">
        <v>169</v>
      </c>
      <c r="Q3" s="41" t="s">
        <v>170</v>
      </c>
      <c r="R3" s="41" t="s">
        <v>169</v>
      </c>
      <c r="S3" s="41" t="s">
        <v>170</v>
      </c>
      <c r="T3" s="41" t="s">
        <v>169</v>
      </c>
      <c r="U3" s="42" t="s">
        <v>170</v>
      </c>
      <c r="V3" s="40" t="s">
        <v>169</v>
      </c>
      <c r="W3" s="41" t="s">
        <v>170</v>
      </c>
      <c r="X3" s="41" t="s">
        <v>169</v>
      </c>
      <c r="Y3" s="41" t="s">
        <v>170</v>
      </c>
      <c r="Z3" s="41" t="s">
        <v>169</v>
      </c>
      <c r="AA3" s="41" t="s">
        <v>170</v>
      </c>
      <c r="AB3" s="41" t="s">
        <v>169</v>
      </c>
      <c r="AC3" s="41" t="s">
        <v>170</v>
      </c>
      <c r="AD3" s="41" t="s">
        <v>169</v>
      </c>
      <c r="AE3" s="42" t="s">
        <v>170</v>
      </c>
      <c r="AF3" s="85" t="s">
        <v>169</v>
      </c>
      <c r="AG3" s="86" t="s">
        <v>170</v>
      </c>
      <c r="AH3" s="86" t="s">
        <v>169</v>
      </c>
      <c r="AI3" s="86" t="s">
        <v>170</v>
      </c>
      <c r="AJ3" s="86" t="s">
        <v>169</v>
      </c>
      <c r="AK3" s="86" t="s">
        <v>170</v>
      </c>
      <c r="AL3" s="86" t="s">
        <v>169</v>
      </c>
      <c r="AM3" s="86" t="s">
        <v>170</v>
      </c>
      <c r="AN3" s="86" t="s">
        <v>169</v>
      </c>
      <c r="AO3" s="87" t="s">
        <v>170</v>
      </c>
    </row>
    <row r="4" spans="1:41" x14ac:dyDescent="0.25">
      <c r="A4" s="25" t="s">
        <v>223</v>
      </c>
      <c r="B4" s="46">
        <v>0.31597222222222215</v>
      </c>
      <c r="C4" s="78">
        <f t="shared" ref="C4:C42" si="0">IFERROR(B4/$B$43,0)</f>
        <v>0.77777777777777768</v>
      </c>
      <c r="D4" s="48"/>
      <c r="E4" s="78">
        <f t="shared" ref="E4:E42" si="1">IFERROR(D4/$B$43,0)</f>
        <v>0</v>
      </c>
      <c r="F4" s="48"/>
      <c r="G4" s="78">
        <f t="shared" ref="G4:G42" si="2">IFERROR(F4/$B$43,0)</f>
        <v>0</v>
      </c>
      <c r="H4" s="48"/>
      <c r="I4" s="78">
        <f t="shared" ref="I4:I42" si="3">IFERROR(H4/$B$43,0)</f>
        <v>0</v>
      </c>
      <c r="J4" s="48"/>
      <c r="K4" s="89">
        <f t="shared" ref="K4:K42" si="4">IFERROR(J4/$B$43,0)</f>
        <v>0</v>
      </c>
      <c r="L4" s="48"/>
      <c r="M4" s="47">
        <f t="shared" ref="M4:M38" si="5">IFERROR(L4/L$39,0%)</f>
        <v>0</v>
      </c>
      <c r="N4" s="48"/>
      <c r="O4" s="47">
        <f t="shared" ref="O4:O38" si="6">IFERROR(N4/N$39,0%)</f>
        <v>0</v>
      </c>
      <c r="P4" s="48"/>
      <c r="Q4" s="47">
        <f t="shared" ref="Q4:Q38" si="7">IFERROR(P4/P$39,0%)</f>
        <v>0</v>
      </c>
      <c r="R4" s="48"/>
      <c r="S4" s="47">
        <f t="shared" ref="S4:S38" si="8">IFERROR(R4/R$39,0%)</f>
        <v>0</v>
      </c>
      <c r="T4" s="48"/>
      <c r="U4" s="49">
        <f t="shared" ref="U4:U38" si="9">IFERROR(T4/T$39,0%)</f>
        <v>0</v>
      </c>
      <c r="V4" s="46"/>
      <c r="W4" s="47">
        <f t="shared" ref="W4:W38" si="10">IFERROR(V4/V$39,0%)</f>
        <v>0</v>
      </c>
      <c r="X4" s="48"/>
      <c r="Y4" s="47">
        <f t="shared" ref="Y4:Y38" si="11">IFERROR(X4/X$39,0%)</f>
        <v>0</v>
      </c>
      <c r="Z4" s="48"/>
      <c r="AA4" s="47">
        <f t="shared" ref="AA4:AA38" si="12">IFERROR(Z4/Z$39,0%)</f>
        <v>0</v>
      </c>
      <c r="AB4" s="48"/>
      <c r="AC4" s="47">
        <f t="shared" ref="AC4:AC38" si="13">IFERROR(AB4/AB$39,0%)</f>
        <v>0</v>
      </c>
      <c r="AD4" s="48"/>
      <c r="AE4" s="47">
        <f t="shared" ref="AE4:AE38" si="14">IFERROR(AD4/AD$39,0%)</f>
        <v>0</v>
      </c>
      <c r="AF4" s="46">
        <v>0.20833333333333331</v>
      </c>
      <c r="AG4" s="78">
        <f t="shared" ref="AG4:AG42" si="15">IFERROR(AF4/$AF$43,0)</f>
        <v>0.58365758754863784</v>
      </c>
      <c r="AH4" s="48"/>
      <c r="AI4" s="78">
        <f t="shared" ref="AI4:AI42" si="16">IFERROR(AH4/$AF$43,0)</f>
        <v>0</v>
      </c>
      <c r="AJ4" s="48"/>
      <c r="AK4" s="78">
        <f t="shared" ref="AK4:AK42" si="17">IFERROR(AJ4/$AF$43,0)</f>
        <v>0</v>
      </c>
      <c r="AL4" s="48"/>
      <c r="AM4" s="78">
        <f t="shared" ref="AM4:AM42" si="18">IFERROR(AL4/$AF$43,0)</f>
        <v>0</v>
      </c>
      <c r="AN4" s="48"/>
      <c r="AO4" s="89">
        <f t="shared" ref="AO4:AO42" si="19">IFERROR(AN4/$AF$43,0)</f>
        <v>0</v>
      </c>
    </row>
    <row r="5" spans="1:41" x14ac:dyDescent="0.25">
      <c r="A5" s="75" t="s">
        <v>224</v>
      </c>
      <c r="B5" s="50">
        <v>3.4722222222222376E-3</v>
      </c>
      <c r="C5" s="79">
        <f t="shared" si="0"/>
        <v>8.547008547008586E-3</v>
      </c>
      <c r="D5" s="52"/>
      <c r="E5" s="79">
        <f t="shared" si="1"/>
        <v>0</v>
      </c>
      <c r="F5" s="52"/>
      <c r="G5" s="79">
        <f t="shared" si="2"/>
        <v>0</v>
      </c>
      <c r="H5" s="52"/>
      <c r="I5" s="79">
        <f t="shared" si="3"/>
        <v>0</v>
      </c>
      <c r="J5" s="52"/>
      <c r="K5" s="90">
        <f t="shared" si="4"/>
        <v>0</v>
      </c>
      <c r="L5" s="52"/>
      <c r="M5" s="51">
        <f t="shared" si="5"/>
        <v>0</v>
      </c>
      <c r="N5" s="52"/>
      <c r="O5" s="51">
        <f t="shared" si="6"/>
        <v>0</v>
      </c>
      <c r="P5" s="52"/>
      <c r="Q5" s="51">
        <f t="shared" si="7"/>
        <v>0</v>
      </c>
      <c r="R5" s="52"/>
      <c r="S5" s="51">
        <f t="shared" si="8"/>
        <v>0</v>
      </c>
      <c r="T5" s="52"/>
      <c r="U5" s="53">
        <f t="shared" si="9"/>
        <v>0</v>
      </c>
      <c r="V5" s="50"/>
      <c r="W5" s="51">
        <f t="shared" si="10"/>
        <v>0</v>
      </c>
      <c r="X5" s="52"/>
      <c r="Y5" s="51">
        <f t="shared" si="11"/>
        <v>0</v>
      </c>
      <c r="Z5" s="52"/>
      <c r="AA5" s="51">
        <f t="shared" si="12"/>
        <v>0</v>
      </c>
      <c r="AB5" s="52"/>
      <c r="AC5" s="51">
        <f t="shared" si="13"/>
        <v>0</v>
      </c>
      <c r="AD5" s="52"/>
      <c r="AE5" s="51">
        <f t="shared" si="14"/>
        <v>0</v>
      </c>
      <c r="AF5" s="50">
        <v>6.5972222222222238E-2</v>
      </c>
      <c r="AG5" s="79">
        <f t="shared" si="15"/>
        <v>0.18482490272373539</v>
      </c>
      <c r="AH5" s="52"/>
      <c r="AI5" s="79">
        <f t="shared" si="16"/>
        <v>0</v>
      </c>
      <c r="AJ5" s="52"/>
      <c r="AK5" s="79">
        <f t="shared" si="17"/>
        <v>0</v>
      </c>
      <c r="AL5" s="52"/>
      <c r="AM5" s="79">
        <f t="shared" si="18"/>
        <v>0</v>
      </c>
      <c r="AN5" s="52"/>
      <c r="AO5" s="90">
        <f t="shared" si="19"/>
        <v>0</v>
      </c>
    </row>
    <row r="6" spans="1:41" x14ac:dyDescent="0.25">
      <c r="A6" s="75" t="s">
        <v>225</v>
      </c>
      <c r="B6" s="50">
        <v>0</v>
      </c>
      <c r="C6" s="79">
        <f t="shared" si="0"/>
        <v>0</v>
      </c>
      <c r="D6" s="52"/>
      <c r="E6" s="79">
        <f t="shared" si="1"/>
        <v>0</v>
      </c>
      <c r="F6" s="52"/>
      <c r="G6" s="79">
        <f t="shared" si="2"/>
        <v>0</v>
      </c>
      <c r="H6" s="52"/>
      <c r="I6" s="79">
        <f t="shared" si="3"/>
        <v>0</v>
      </c>
      <c r="J6" s="52"/>
      <c r="K6" s="90">
        <f t="shared" si="4"/>
        <v>0</v>
      </c>
      <c r="L6" s="52"/>
      <c r="M6" s="51">
        <f t="shared" si="5"/>
        <v>0</v>
      </c>
      <c r="N6" s="52"/>
      <c r="O6" s="51">
        <f t="shared" si="6"/>
        <v>0</v>
      </c>
      <c r="P6" s="52"/>
      <c r="Q6" s="51">
        <f t="shared" si="7"/>
        <v>0</v>
      </c>
      <c r="R6" s="52"/>
      <c r="S6" s="51">
        <f t="shared" si="8"/>
        <v>0</v>
      </c>
      <c r="T6" s="52"/>
      <c r="U6" s="53">
        <f t="shared" si="9"/>
        <v>0</v>
      </c>
      <c r="V6" s="50"/>
      <c r="W6" s="51">
        <f t="shared" si="10"/>
        <v>0</v>
      </c>
      <c r="X6" s="52"/>
      <c r="Y6" s="51">
        <f t="shared" si="11"/>
        <v>0</v>
      </c>
      <c r="Z6" s="52"/>
      <c r="AA6" s="51">
        <f t="shared" si="12"/>
        <v>0</v>
      </c>
      <c r="AB6" s="52"/>
      <c r="AC6" s="51">
        <f t="shared" si="13"/>
        <v>0</v>
      </c>
      <c r="AD6" s="52"/>
      <c r="AE6" s="51">
        <f t="shared" si="14"/>
        <v>0</v>
      </c>
      <c r="AF6" s="50">
        <v>0</v>
      </c>
      <c r="AG6" s="79">
        <f t="shared" si="15"/>
        <v>0</v>
      </c>
      <c r="AH6" s="52"/>
      <c r="AI6" s="79">
        <f t="shared" si="16"/>
        <v>0</v>
      </c>
      <c r="AJ6" s="52"/>
      <c r="AK6" s="79">
        <f t="shared" si="17"/>
        <v>0</v>
      </c>
      <c r="AL6" s="52"/>
      <c r="AM6" s="79">
        <f t="shared" si="18"/>
        <v>0</v>
      </c>
      <c r="AN6" s="52"/>
      <c r="AO6" s="90">
        <f t="shared" si="19"/>
        <v>0</v>
      </c>
    </row>
    <row r="7" spans="1:41" x14ac:dyDescent="0.25">
      <c r="A7" s="75" t="s">
        <v>226</v>
      </c>
      <c r="B7" s="50">
        <v>0</v>
      </c>
      <c r="C7" s="79">
        <f t="shared" si="0"/>
        <v>0</v>
      </c>
      <c r="D7" s="52"/>
      <c r="E7" s="79">
        <f t="shared" si="1"/>
        <v>0</v>
      </c>
      <c r="F7" s="52"/>
      <c r="G7" s="79">
        <f t="shared" si="2"/>
        <v>0</v>
      </c>
      <c r="H7" s="52"/>
      <c r="I7" s="79">
        <f t="shared" si="3"/>
        <v>0</v>
      </c>
      <c r="J7" s="52"/>
      <c r="K7" s="90">
        <f t="shared" si="4"/>
        <v>0</v>
      </c>
      <c r="L7" s="52"/>
      <c r="M7" s="51">
        <f t="shared" si="5"/>
        <v>0</v>
      </c>
      <c r="N7" s="52"/>
      <c r="O7" s="51">
        <f t="shared" si="6"/>
        <v>0</v>
      </c>
      <c r="P7" s="52"/>
      <c r="Q7" s="51">
        <f t="shared" si="7"/>
        <v>0</v>
      </c>
      <c r="R7" s="52"/>
      <c r="S7" s="51">
        <f t="shared" si="8"/>
        <v>0</v>
      </c>
      <c r="T7" s="52"/>
      <c r="U7" s="53">
        <f t="shared" si="9"/>
        <v>0</v>
      </c>
      <c r="V7" s="50"/>
      <c r="W7" s="51">
        <f t="shared" si="10"/>
        <v>0</v>
      </c>
      <c r="X7" s="52"/>
      <c r="Y7" s="51">
        <f t="shared" si="11"/>
        <v>0</v>
      </c>
      <c r="Z7" s="52"/>
      <c r="AA7" s="51">
        <f t="shared" si="12"/>
        <v>0</v>
      </c>
      <c r="AB7" s="52"/>
      <c r="AC7" s="51">
        <f t="shared" si="13"/>
        <v>0</v>
      </c>
      <c r="AD7" s="52"/>
      <c r="AE7" s="51">
        <f t="shared" si="14"/>
        <v>0</v>
      </c>
      <c r="AF7" s="50">
        <v>0</v>
      </c>
      <c r="AG7" s="79">
        <f t="shared" si="15"/>
        <v>0</v>
      </c>
      <c r="AH7" s="52"/>
      <c r="AI7" s="79">
        <f t="shared" si="16"/>
        <v>0</v>
      </c>
      <c r="AJ7" s="52"/>
      <c r="AK7" s="79">
        <f t="shared" si="17"/>
        <v>0</v>
      </c>
      <c r="AL7" s="52"/>
      <c r="AM7" s="79">
        <f t="shared" si="18"/>
        <v>0</v>
      </c>
      <c r="AN7" s="52"/>
      <c r="AO7" s="90">
        <f t="shared" si="19"/>
        <v>0</v>
      </c>
    </row>
    <row r="8" spans="1:41" x14ac:dyDescent="0.25">
      <c r="A8" s="26" t="s">
        <v>63</v>
      </c>
      <c r="B8" s="50">
        <v>0</v>
      </c>
      <c r="C8" s="79">
        <f t="shared" si="0"/>
        <v>0</v>
      </c>
      <c r="D8" s="52"/>
      <c r="E8" s="79">
        <f t="shared" si="1"/>
        <v>0</v>
      </c>
      <c r="F8" s="52"/>
      <c r="G8" s="79">
        <f t="shared" si="2"/>
        <v>0</v>
      </c>
      <c r="H8" s="52"/>
      <c r="I8" s="79">
        <f t="shared" si="3"/>
        <v>0</v>
      </c>
      <c r="J8" s="52"/>
      <c r="K8" s="90">
        <f t="shared" si="4"/>
        <v>0</v>
      </c>
      <c r="L8" s="52"/>
      <c r="M8" s="51">
        <f t="shared" si="5"/>
        <v>0</v>
      </c>
      <c r="N8" s="52"/>
      <c r="O8" s="51">
        <f t="shared" si="6"/>
        <v>0</v>
      </c>
      <c r="P8" s="52"/>
      <c r="Q8" s="51">
        <f t="shared" si="7"/>
        <v>0</v>
      </c>
      <c r="R8" s="52"/>
      <c r="S8" s="51">
        <f t="shared" si="8"/>
        <v>0</v>
      </c>
      <c r="T8" s="52"/>
      <c r="U8" s="53">
        <f t="shared" si="9"/>
        <v>0</v>
      </c>
      <c r="V8" s="50"/>
      <c r="W8" s="51">
        <f t="shared" si="10"/>
        <v>0</v>
      </c>
      <c r="X8" s="52"/>
      <c r="Y8" s="51">
        <f t="shared" si="11"/>
        <v>0</v>
      </c>
      <c r="Z8" s="52"/>
      <c r="AA8" s="51">
        <f t="shared" si="12"/>
        <v>0</v>
      </c>
      <c r="AB8" s="52"/>
      <c r="AC8" s="51">
        <f t="shared" si="13"/>
        <v>0</v>
      </c>
      <c r="AD8" s="52"/>
      <c r="AE8" s="51">
        <f t="shared" si="14"/>
        <v>0</v>
      </c>
      <c r="AF8" s="50">
        <v>6.9444444444444753E-3</v>
      </c>
      <c r="AG8" s="79">
        <f t="shared" si="15"/>
        <v>1.9455252918288018E-2</v>
      </c>
      <c r="AH8" s="52"/>
      <c r="AI8" s="79">
        <f t="shared" si="16"/>
        <v>0</v>
      </c>
      <c r="AJ8" s="52"/>
      <c r="AK8" s="79">
        <f t="shared" si="17"/>
        <v>0</v>
      </c>
      <c r="AL8" s="52"/>
      <c r="AM8" s="79">
        <f t="shared" si="18"/>
        <v>0</v>
      </c>
      <c r="AN8" s="52"/>
      <c r="AO8" s="90">
        <f t="shared" si="19"/>
        <v>0</v>
      </c>
    </row>
    <row r="9" spans="1:41" x14ac:dyDescent="0.25">
      <c r="A9" s="26" t="s">
        <v>64</v>
      </c>
      <c r="B9" s="50">
        <v>0</v>
      </c>
      <c r="C9" s="79">
        <f t="shared" si="0"/>
        <v>0</v>
      </c>
      <c r="D9" s="52"/>
      <c r="E9" s="79">
        <f t="shared" si="1"/>
        <v>0</v>
      </c>
      <c r="F9" s="52"/>
      <c r="G9" s="79">
        <f t="shared" si="2"/>
        <v>0</v>
      </c>
      <c r="H9" s="52"/>
      <c r="I9" s="79">
        <f t="shared" si="3"/>
        <v>0</v>
      </c>
      <c r="J9" s="52"/>
      <c r="K9" s="90">
        <f t="shared" si="4"/>
        <v>0</v>
      </c>
      <c r="L9" s="52"/>
      <c r="M9" s="51">
        <f t="shared" si="5"/>
        <v>0</v>
      </c>
      <c r="N9" s="52"/>
      <c r="O9" s="51">
        <f t="shared" si="6"/>
        <v>0</v>
      </c>
      <c r="P9" s="52"/>
      <c r="Q9" s="51">
        <f t="shared" si="7"/>
        <v>0</v>
      </c>
      <c r="R9" s="52"/>
      <c r="S9" s="51">
        <f t="shared" si="8"/>
        <v>0</v>
      </c>
      <c r="T9" s="52"/>
      <c r="U9" s="53">
        <f t="shared" si="9"/>
        <v>0</v>
      </c>
      <c r="V9" s="50"/>
      <c r="W9" s="51">
        <f t="shared" si="10"/>
        <v>0</v>
      </c>
      <c r="X9" s="52"/>
      <c r="Y9" s="51">
        <f t="shared" si="11"/>
        <v>0</v>
      </c>
      <c r="Z9" s="52"/>
      <c r="AA9" s="51">
        <f t="shared" si="12"/>
        <v>0</v>
      </c>
      <c r="AB9" s="52"/>
      <c r="AC9" s="51">
        <f t="shared" si="13"/>
        <v>0</v>
      </c>
      <c r="AD9" s="52"/>
      <c r="AE9" s="51">
        <f t="shared" si="14"/>
        <v>0</v>
      </c>
      <c r="AF9" s="50">
        <v>0</v>
      </c>
      <c r="AG9" s="79">
        <f t="shared" si="15"/>
        <v>0</v>
      </c>
      <c r="AH9" s="52"/>
      <c r="AI9" s="79">
        <f t="shared" si="16"/>
        <v>0</v>
      </c>
      <c r="AJ9" s="52"/>
      <c r="AK9" s="79">
        <f t="shared" si="17"/>
        <v>0</v>
      </c>
      <c r="AL9" s="52"/>
      <c r="AM9" s="79">
        <f t="shared" si="18"/>
        <v>0</v>
      </c>
      <c r="AN9" s="52"/>
      <c r="AO9" s="90">
        <f t="shared" si="19"/>
        <v>0</v>
      </c>
    </row>
    <row r="10" spans="1:41" x14ac:dyDescent="0.25">
      <c r="A10" s="26" t="s">
        <v>65</v>
      </c>
      <c r="B10" s="50">
        <v>0</v>
      </c>
      <c r="C10" s="79">
        <f t="shared" si="0"/>
        <v>0</v>
      </c>
      <c r="D10" s="52"/>
      <c r="E10" s="79">
        <f t="shared" si="1"/>
        <v>0</v>
      </c>
      <c r="F10" s="52"/>
      <c r="G10" s="79">
        <f t="shared" si="2"/>
        <v>0</v>
      </c>
      <c r="H10" s="52"/>
      <c r="I10" s="79">
        <f t="shared" si="3"/>
        <v>0</v>
      </c>
      <c r="J10" s="52"/>
      <c r="K10" s="90">
        <f t="shared" si="4"/>
        <v>0</v>
      </c>
      <c r="L10" s="52"/>
      <c r="M10" s="51">
        <f t="shared" si="5"/>
        <v>0</v>
      </c>
      <c r="N10" s="52"/>
      <c r="O10" s="51">
        <f t="shared" si="6"/>
        <v>0</v>
      </c>
      <c r="P10" s="52"/>
      <c r="Q10" s="51">
        <f t="shared" si="7"/>
        <v>0</v>
      </c>
      <c r="R10" s="52"/>
      <c r="S10" s="51">
        <f t="shared" si="8"/>
        <v>0</v>
      </c>
      <c r="T10" s="52"/>
      <c r="U10" s="53">
        <f t="shared" si="9"/>
        <v>0</v>
      </c>
      <c r="V10" s="50"/>
      <c r="W10" s="51">
        <f t="shared" si="10"/>
        <v>0</v>
      </c>
      <c r="X10" s="52"/>
      <c r="Y10" s="51">
        <f t="shared" si="11"/>
        <v>0</v>
      </c>
      <c r="Z10" s="52"/>
      <c r="AA10" s="51">
        <f t="shared" si="12"/>
        <v>0</v>
      </c>
      <c r="AB10" s="52"/>
      <c r="AC10" s="51">
        <f t="shared" si="13"/>
        <v>0</v>
      </c>
      <c r="AD10" s="52"/>
      <c r="AE10" s="51">
        <f t="shared" si="14"/>
        <v>0</v>
      </c>
      <c r="AF10" s="50">
        <v>0</v>
      </c>
      <c r="AG10" s="79">
        <f t="shared" si="15"/>
        <v>0</v>
      </c>
      <c r="AH10" s="52"/>
      <c r="AI10" s="79">
        <f t="shared" si="16"/>
        <v>0</v>
      </c>
      <c r="AJ10" s="52"/>
      <c r="AK10" s="79">
        <f t="shared" si="17"/>
        <v>0</v>
      </c>
      <c r="AL10" s="52"/>
      <c r="AM10" s="79">
        <f t="shared" si="18"/>
        <v>0</v>
      </c>
      <c r="AN10" s="52"/>
      <c r="AO10" s="90">
        <f t="shared" si="19"/>
        <v>0</v>
      </c>
    </row>
    <row r="11" spans="1:41" x14ac:dyDescent="0.25">
      <c r="A11" s="26" t="s">
        <v>66</v>
      </c>
      <c r="B11" s="50">
        <v>0</v>
      </c>
      <c r="C11" s="79">
        <f t="shared" si="0"/>
        <v>0</v>
      </c>
      <c r="D11" s="52"/>
      <c r="E11" s="79">
        <f t="shared" si="1"/>
        <v>0</v>
      </c>
      <c r="F11" s="52"/>
      <c r="G11" s="79">
        <f t="shared" si="2"/>
        <v>0</v>
      </c>
      <c r="H11" s="52"/>
      <c r="I11" s="79">
        <f t="shared" si="3"/>
        <v>0</v>
      </c>
      <c r="J11" s="52"/>
      <c r="K11" s="90">
        <f t="shared" si="4"/>
        <v>0</v>
      </c>
      <c r="L11" s="52"/>
      <c r="M11" s="51">
        <f t="shared" si="5"/>
        <v>0</v>
      </c>
      <c r="N11" s="52"/>
      <c r="O11" s="51">
        <f t="shared" si="6"/>
        <v>0</v>
      </c>
      <c r="P11" s="52"/>
      <c r="Q11" s="51">
        <f t="shared" si="7"/>
        <v>0</v>
      </c>
      <c r="R11" s="52"/>
      <c r="S11" s="51">
        <f t="shared" si="8"/>
        <v>0</v>
      </c>
      <c r="T11" s="52"/>
      <c r="U11" s="53">
        <f t="shared" si="9"/>
        <v>0</v>
      </c>
      <c r="V11" s="50"/>
      <c r="W11" s="51">
        <f t="shared" si="10"/>
        <v>0</v>
      </c>
      <c r="X11" s="52"/>
      <c r="Y11" s="51">
        <f t="shared" si="11"/>
        <v>0</v>
      </c>
      <c r="Z11" s="52"/>
      <c r="AA11" s="51">
        <f t="shared" si="12"/>
        <v>0</v>
      </c>
      <c r="AB11" s="52"/>
      <c r="AC11" s="51">
        <f t="shared" si="13"/>
        <v>0</v>
      </c>
      <c r="AD11" s="52"/>
      <c r="AE11" s="51">
        <f t="shared" si="14"/>
        <v>0</v>
      </c>
      <c r="AF11" s="50">
        <v>0</v>
      </c>
      <c r="AG11" s="79">
        <f t="shared" si="15"/>
        <v>0</v>
      </c>
      <c r="AH11" s="52"/>
      <c r="AI11" s="79">
        <f t="shared" si="16"/>
        <v>0</v>
      </c>
      <c r="AJ11" s="52"/>
      <c r="AK11" s="79">
        <f t="shared" si="17"/>
        <v>0</v>
      </c>
      <c r="AL11" s="52"/>
      <c r="AM11" s="79">
        <f t="shared" si="18"/>
        <v>0</v>
      </c>
      <c r="AN11" s="52"/>
      <c r="AO11" s="90">
        <f t="shared" si="19"/>
        <v>0</v>
      </c>
    </row>
    <row r="12" spans="1:41" x14ac:dyDescent="0.25">
      <c r="A12" s="26" t="s">
        <v>67</v>
      </c>
      <c r="B12" s="50">
        <v>0</v>
      </c>
      <c r="C12" s="79">
        <f t="shared" si="0"/>
        <v>0</v>
      </c>
      <c r="D12" s="52"/>
      <c r="E12" s="79">
        <f t="shared" si="1"/>
        <v>0</v>
      </c>
      <c r="F12" s="52"/>
      <c r="G12" s="79">
        <f t="shared" si="2"/>
        <v>0</v>
      </c>
      <c r="H12" s="52"/>
      <c r="I12" s="79">
        <f t="shared" si="3"/>
        <v>0</v>
      </c>
      <c r="J12" s="52"/>
      <c r="K12" s="90">
        <f t="shared" si="4"/>
        <v>0</v>
      </c>
      <c r="L12" s="52"/>
      <c r="M12" s="51">
        <f t="shared" si="5"/>
        <v>0</v>
      </c>
      <c r="N12" s="52"/>
      <c r="O12" s="51">
        <f t="shared" si="6"/>
        <v>0</v>
      </c>
      <c r="P12" s="52"/>
      <c r="Q12" s="51">
        <f t="shared" si="7"/>
        <v>0</v>
      </c>
      <c r="R12" s="52"/>
      <c r="S12" s="51">
        <f t="shared" si="8"/>
        <v>0</v>
      </c>
      <c r="T12" s="52"/>
      <c r="U12" s="53">
        <f t="shared" si="9"/>
        <v>0</v>
      </c>
      <c r="V12" s="50"/>
      <c r="W12" s="51">
        <f t="shared" si="10"/>
        <v>0</v>
      </c>
      <c r="X12" s="52"/>
      <c r="Y12" s="51">
        <f t="shared" si="11"/>
        <v>0</v>
      </c>
      <c r="Z12" s="52"/>
      <c r="AA12" s="51">
        <f t="shared" si="12"/>
        <v>0</v>
      </c>
      <c r="AB12" s="52"/>
      <c r="AC12" s="51">
        <f t="shared" si="13"/>
        <v>0</v>
      </c>
      <c r="AD12" s="52"/>
      <c r="AE12" s="51">
        <f t="shared" si="14"/>
        <v>0</v>
      </c>
      <c r="AF12" s="50">
        <v>0</v>
      </c>
      <c r="AG12" s="79">
        <f t="shared" si="15"/>
        <v>0</v>
      </c>
      <c r="AH12" s="52"/>
      <c r="AI12" s="79">
        <f t="shared" si="16"/>
        <v>0</v>
      </c>
      <c r="AJ12" s="52"/>
      <c r="AK12" s="79">
        <f t="shared" si="17"/>
        <v>0</v>
      </c>
      <c r="AL12" s="52"/>
      <c r="AM12" s="79">
        <f t="shared" si="18"/>
        <v>0</v>
      </c>
      <c r="AN12" s="52"/>
      <c r="AO12" s="90">
        <f t="shared" si="19"/>
        <v>0</v>
      </c>
    </row>
    <row r="13" spans="1:41" x14ac:dyDescent="0.25">
      <c r="A13" s="26" t="s">
        <v>68</v>
      </c>
      <c r="B13" s="50">
        <v>6.9444444444441977E-3</v>
      </c>
      <c r="C13" s="79">
        <f t="shared" si="0"/>
        <v>1.7094017094016489E-2</v>
      </c>
      <c r="D13" s="52"/>
      <c r="E13" s="79">
        <f t="shared" si="1"/>
        <v>0</v>
      </c>
      <c r="F13" s="52"/>
      <c r="G13" s="79">
        <f t="shared" si="2"/>
        <v>0</v>
      </c>
      <c r="H13" s="52"/>
      <c r="I13" s="79">
        <f t="shared" si="3"/>
        <v>0</v>
      </c>
      <c r="J13" s="52"/>
      <c r="K13" s="90">
        <f t="shared" si="4"/>
        <v>0</v>
      </c>
      <c r="L13" s="52"/>
      <c r="M13" s="51">
        <f t="shared" si="5"/>
        <v>0</v>
      </c>
      <c r="N13" s="52"/>
      <c r="O13" s="51">
        <f t="shared" si="6"/>
        <v>0</v>
      </c>
      <c r="P13" s="52"/>
      <c r="Q13" s="51">
        <f t="shared" si="7"/>
        <v>0</v>
      </c>
      <c r="R13" s="52"/>
      <c r="S13" s="51">
        <f t="shared" si="8"/>
        <v>0</v>
      </c>
      <c r="T13" s="52"/>
      <c r="U13" s="53">
        <f t="shared" si="9"/>
        <v>0</v>
      </c>
      <c r="V13" s="50"/>
      <c r="W13" s="51">
        <f t="shared" si="10"/>
        <v>0</v>
      </c>
      <c r="X13" s="52"/>
      <c r="Y13" s="51">
        <f t="shared" si="11"/>
        <v>0</v>
      </c>
      <c r="Z13" s="52"/>
      <c r="AA13" s="51">
        <f t="shared" si="12"/>
        <v>0</v>
      </c>
      <c r="AB13" s="52"/>
      <c r="AC13" s="51">
        <f t="shared" si="13"/>
        <v>0</v>
      </c>
      <c r="AD13" s="52"/>
      <c r="AE13" s="51">
        <f t="shared" si="14"/>
        <v>0</v>
      </c>
      <c r="AF13" s="50">
        <v>0</v>
      </c>
      <c r="AG13" s="79">
        <f t="shared" si="15"/>
        <v>0</v>
      </c>
      <c r="AH13" s="52"/>
      <c r="AI13" s="79">
        <f t="shared" si="16"/>
        <v>0</v>
      </c>
      <c r="AJ13" s="52"/>
      <c r="AK13" s="79">
        <f t="shared" si="17"/>
        <v>0</v>
      </c>
      <c r="AL13" s="52"/>
      <c r="AM13" s="79">
        <f t="shared" si="18"/>
        <v>0</v>
      </c>
      <c r="AN13" s="52"/>
      <c r="AO13" s="90">
        <f t="shared" si="19"/>
        <v>0</v>
      </c>
    </row>
    <row r="14" spans="1:41" x14ac:dyDescent="0.25">
      <c r="A14" s="26" t="s">
        <v>69</v>
      </c>
      <c r="B14" s="50">
        <v>0</v>
      </c>
      <c r="C14" s="79">
        <f t="shared" si="0"/>
        <v>0</v>
      </c>
      <c r="D14" s="52"/>
      <c r="E14" s="79">
        <f t="shared" si="1"/>
        <v>0</v>
      </c>
      <c r="F14" s="52"/>
      <c r="G14" s="79">
        <f t="shared" si="2"/>
        <v>0</v>
      </c>
      <c r="H14" s="52"/>
      <c r="I14" s="79">
        <f t="shared" si="3"/>
        <v>0</v>
      </c>
      <c r="J14" s="52"/>
      <c r="K14" s="90">
        <f t="shared" si="4"/>
        <v>0</v>
      </c>
      <c r="L14" s="52"/>
      <c r="M14" s="51">
        <f t="shared" si="5"/>
        <v>0</v>
      </c>
      <c r="N14" s="52"/>
      <c r="O14" s="51">
        <f t="shared" si="6"/>
        <v>0</v>
      </c>
      <c r="P14" s="52"/>
      <c r="Q14" s="51">
        <f t="shared" si="7"/>
        <v>0</v>
      </c>
      <c r="R14" s="52"/>
      <c r="S14" s="51">
        <f t="shared" si="8"/>
        <v>0</v>
      </c>
      <c r="T14" s="52"/>
      <c r="U14" s="53">
        <f t="shared" si="9"/>
        <v>0</v>
      </c>
      <c r="V14" s="50"/>
      <c r="W14" s="51">
        <f t="shared" si="10"/>
        <v>0</v>
      </c>
      <c r="X14" s="52"/>
      <c r="Y14" s="51">
        <f t="shared" si="11"/>
        <v>0</v>
      </c>
      <c r="Z14" s="52"/>
      <c r="AA14" s="51">
        <f t="shared" si="12"/>
        <v>0</v>
      </c>
      <c r="AB14" s="52"/>
      <c r="AC14" s="51">
        <f t="shared" si="13"/>
        <v>0</v>
      </c>
      <c r="AD14" s="52"/>
      <c r="AE14" s="51">
        <f t="shared" si="14"/>
        <v>0</v>
      </c>
      <c r="AF14" s="50">
        <v>0</v>
      </c>
      <c r="AG14" s="79">
        <f t="shared" si="15"/>
        <v>0</v>
      </c>
      <c r="AH14" s="52"/>
      <c r="AI14" s="79">
        <f t="shared" si="16"/>
        <v>0</v>
      </c>
      <c r="AJ14" s="52"/>
      <c r="AK14" s="79">
        <f t="shared" si="17"/>
        <v>0</v>
      </c>
      <c r="AL14" s="52"/>
      <c r="AM14" s="79">
        <f t="shared" si="18"/>
        <v>0</v>
      </c>
      <c r="AN14" s="52"/>
      <c r="AO14" s="90">
        <f t="shared" si="19"/>
        <v>0</v>
      </c>
    </row>
    <row r="15" spans="1:41" x14ac:dyDescent="0.25">
      <c r="A15" s="26" t="s">
        <v>131</v>
      </c>
      <c r="B15" s="50">
        <v>1.3888888888889075E-2</v>
      </c>
      <c r="C15" s="79">
        <f t="shared" si="0"/>
        <v>3.4188034188034649E-2</v>
      </c>
      <c r="D15" s="52"/>
      <c r="E15" s="79">
        <f t="shared" si="1"/>
        <v>0</v>
      </c>
      <c r="F15" s="52"/>
      <c r="G15" s="79">
        <f t="shared" si="2"/>
        <v>0</v>
      </c>
      <c r="H15" s="52"/>
      <c r="I15" s="79">
        <f t="shared" si="3"/>
        <v>0</v>
      </c>
      <c r="J15" s="52"/>
      <c r="K15" s="90">
        <f t="shared" si="4"/>
        <v>0</v>
      </c>
      <c r="L15" s="52"/>
      <c r="M15" s="51">
        <f t="shared" si="5"/>
        <v>0</v>
      </c>
      <c r="N15" s="52"/>
      <c r="O15" s="51">
        <f t="shared" si="6"/>
        <v>0</v>
      </c>
      <c r="P15" s="52"/>
      <c r="Q15" s="51">
        <f t="shared" si="7"/>
        <v>0</v>
      </c>
      <c r="R15" s="52"/>
      <c r="S15" s="51">
        <f t="shared" si="8"/>
        <v>0</v>
      </c>
      <c r="T15" s="52"/>
      <c r="U15" s="53">
        <f t="shared" si="9"/>
        <v>0</v>
      </c>
      <c r="V15" s="50"/>
      <c r="W15" s="51">
        <f t="shared" si="10"/>
        <v>0</v>
      </c>
      <c r="X15" s="52"/>
      <c r="Y15" s="51">
        <f t="shared" si="11"/>
        <v>0</v>
      </c>
      <c r="Z15" s="52"/>
      <c r="AA15" s="51">
        <f t="shared" si="12"/>
        <v>0</v>
      </c>
      <c r="AB15" s="52"/>
      <c r="AC15" s="51">
        <f t="shared" si="13"/>
        <v>0</v>
      </c>
      <c r="AD15" s="52"/>
      <c r="AE15" s="51">
        <f t="shared" si="14"/>
        <v>0</v>
      </c>
      <c r="AF15" s="50">
        <v>7.5694444444444509E-2</v>
      </c>
      <c r="AG15" s="79">
        <f t="shared" si="15"/>
        <v>0.21206225680933863</v>
      </c>
      <c r="AH15" s="52"/>
      <c r="AI15" s="79">
        <f t="shared" si="16"/>
        <v>0</v>
      </c>
      <c r="AJ15" s="52"/>
      <c r="AK15" s="79">
        <f t="shared" si="17"/>
        <v>0</v>
      </c>
      <c r="AL15" s="52"/>
      <c r="AM15" s="79">
        <f t="shared" si="18"/>
        <v>0</v>
      </c>
      <c r="AN15" s="52"/>
      <c r="AO15" s="90">
        <f t="shared" si="19"/>
        <v>0</v>
      </c>
    </row>
    <row r="16" spans="1:41" s="38" customFormat="1" x14ac:dyDescent="0.25">
      <c r="A16" s="26" t="s">
        <v>132</v>
      </c>
      <c r="B16" s="50">
        <v>2.083333333333337E-2</v>
      </c>
      <c r="C16" s="79">
        <f t="shared" si="0"/>
        <v>5.1282051282051377E-2</v>
      </c>
      <c r="D16" s="52"/>
      <c r="E16" s="79">
        <f t="shared" si="1"/>
        <v>0</v>
      </c>
      <c r="F16" s="52"/>
      <c r="G16" s="79">
        <f t="shared" si="2"/>
        <v>0</v>
      </c>
      <c r="H16" s="52"/>
      <c r="I16" s="79">
        <f t="shared" si="3"/>
        <v>0</v>
      </c>
      <c r="J16" s="52"/>
      <c r="K16" s="90">
        <f t="shared" si="4"/>
        <v>0</v>
      </c>
      <c r="L16" s="52"/>
      <c r="M16" s="51">
        <f t="shared" si="5"/>
        <v>0</v>
      </c>
      <c r="N16" s="52"/>
      <c r="O16" s="51">
        <f t="shared" si="6"/>
        <v>0</v>
      </c>
      <c r="P16" s="52"/>
      <c r="Q16" s="51">
        <f t="shared" si="7"/>
        <v>0</v>
      </c>
      <c r="R16" s="52"/>
      <c r="S16" s="51">
        <f t="shared" si="8"/>
        <v>0</v>
      </c>
      <c r="T16" s="52"/>
      <c r="U16" s="51">
        <f t="shared" si="9"/>
        <v>0</v>
      </c>
      <c r="V16" s="50"/>
      <c r="W16" s="51">
        <f t="shared" si="10"/>
        <v>0</v>
      </c>
      <c r="X16" s="52"/>
      <c r="Y16" s="51">
        <f t="shared" si="11"/>
        <v>0</v>
      </c>
      <c r="Z16" s="52"/>
      <c r="AA16" s="51">
        <f t="shared" si="12"/>
        <v>0</v>
      </c>
      <c r="AB16" s="52"/>
      <c r="AC16" s="51">
        <f t="shared" si="13"/>
        <v>0</v>
      </c>
      <c r="AD16" s="52"/>
      <c r="AE16" s="51">
        <f t="shared" si="14"/>
        <v>0</v>
      </c>
      <c r="AF16" s="50">
        <v>0</v>
      </c>
      <c r="AG16" s="79">
        <f t="shared" si="15"/>
        <v>0</v>
      </c>
      <c r="AH16" s="52"/>
      <c r="AI16" s="79">
        <f t="shared" si="16"/>
        <v>0</v>
      </c>
      <c r="AJ16" s="52"/>
      <c r="AK16" s="79">
        <f t="shared" si="17"/>
        <v>0</v>
      </c>
      <c r="AL16" s="52"/>
      <c r="AM16" s="79">
        <f t="shared" si="18"/>
        <v>0</v>
      </c>
      <c r="AN16" s="52"/>
      <c r="AO16" s="90">
        <f t="shared" si="19"/>
        <v>0</v>
      </c>
    </row>
    <row r="17" spans="1:41" s="38" customFormat="1" x14ac:dyDescent="0.25">
      <c r="A17" s="26" t="s">
        <v>133</v>
      </c>
      <c r="B17" s="50">
        <v>0</v>
      </c>
      <c r="C17" s="79">
        <f t="shared" si="0"/>
        <v>0</v>
      </c>
      <c r="D17" s="52"/>
      <c r="E17" s="79">
        <f t="shared" si="1"/>
        <v>0</v>
      </c>
      <c r="F17" s="52"/>
      <c r="G17" s="79">
        <f t="shared" si="2"/>
        <v>0</v>
      </c>
      <c r="H17" s="52"/>
      <c r="I17" s="79">
        <f t="shared" si="3"/>
        <v>0</v>
      </c>
      <c r="J17" s="52"/>
      <c r="K17" s="90">
        <f t="shared" si="4"/>
        <v>0</v>
      </c>
      <c r="L17" s="52"/>
      <c r="M17" s="51">
        <f t="shared" si="5"/>
        <v>0</v>
      </c>
      <c r="N17" s="52"/>
      <c r="O17" s="51">
        <f t="shared" si="6"/>
        <v>0</v>
      </c>
      <c r="P17" s="52"/>
      <c r="Q17" s="51">
        <f t="shared" si="7"/>
        <v>0</v>
      </c>
      <c r="R17" s="52"/>
      <c r="S17" s="51">
        <f t="shared" si="8"/>
        <v>0</v>
      </c>
      <c r="T17" s="52"/>
      <c r="U17" s="51">
        <f t="shared" si="9"/>
        <v>0</v>
      </c>
      <c r="V17" s="50"/>
      <c r="W17" s="51">
        <f t="shared" si="10"/>
        <v>0</v>
      </c>
      <c r="X17" s="52"/>
      <c r="Y17" s="51">
        <f t="shared" si="11"/>
        <v>0</v>
      </c>
      <c r="Z17" s="52"/>
      <c r="AA17" s="51">
        <f t="shared" si="12"/>
        <v>0</v>
      </c>
      <c r="AB17" s="52"/>
      <c r="AC17" s="51">
        <f t="shared" si="13"/>
        <v>0</v>
      </c>
      <c r="AD17" s="52"/>
      <c r="AE17" s="51">
        <f t="shared" si="14"/>
        <v>0</v>
      </c>
      <c r="AF17" s="50">
        <v>0</v>
      </c>
      <c r="AG17" s="79">
        <f t="shared" si="15"/>
        <v>0</v>
      </c>
      <c r="AH17" s="52"/>
      <c r="AI17" s="79">
        <f t="shared" si="16"/>
        <v>0</v>
      </c>
      <c r="AJ17" s="52"/>
      <c r="AK17" s="79">
        <f t="shared" si="17"/>
        <v>0</v>
      </c>
      <c r="AL17" s="52"/>
      <c r="AM17" s="79">
        <f t="shared" si="18"/>
        <v>0</v>
      </c>
      <c r="AN17" s="52"/>
      <c r="AO17" s="90">
        <f t="shared" si="19"/>
        <v>0</v>
      </c>
    </row>
    <row r="18" spans="1:41" x14ac:dyDescent="0.25">
      <c r="A18" s="26" t="s">
        <v>134</v>
      </c>
      <c r="B18" s="50">
        <v>0</v>
      </c>
      <c r="C18" s="79">
        <f t="shared" si="0"/>
        <v>0</v>
      </c>
      <c r="D18" s="52"/>
      <c r="E18" s="79">
        <f t="shared" si="1"/>
        <v>0</v>
      </c>
      <c r="F18" s="52"/>
      <c r="G18" s="79">
        <f t="shared" si="2"/>
        <v>0</v>
      </c>
      <c r="H18" s="52"/>
      <c r="I18" s="79">
        <f t="shared" si="3"/>
        <v>0</v>
      </c>
      <c r="J18" s="52"/>
      <c r="K18" s="90">
        <f t="shared" si="4"/>
        <v>0</v>
      </c>
      <c r="L18" s="52"/>
      <c r="M18" s="51">
        <f t="shared" si="5"/>
        <v>0</v>
      </c>
      <c r="N18" s="52"/>
      <c r="O18" s="51">
        <f t="shared" si="6"/>
        <v>0</v>
      </c>
      <c r="P18" s="52"/>
      <c r="Q18" s="51">
        <f t="shared" si="7"/>
        <v>0</v>
      </c>
      <c r="R18" s="52"/>
      <c r="S18" s="51">
        <f t="shared" si="8"/>
        <v>0</v>
      </c>
      <c r="T18" s="52"/>
      <c r="U18" s="51">
        <f t="shared" si="9"/>
        <v>0</v>
      </c>
      <c r="V18" s="50"/>
      <c r="W18" s="51">
        <f t="shared" si="10"/>
        <v>0</v>
      </c>
      <c r="X18" s="52"/>
      <c r="Y18" s="51">
        <f t="shared" si="11"/>
        <v>0</v>
      </c>
      <c r="Z18" s="52"/>
      <c r="AA18" s="51">
        <f t="shared" si="12"/>
        <v>0</v>
      </c>
      <c r="AB18" s="52"/>
      <c r="AC18" s="51">
        <f t="shared" si="13"/>
        <v>0</v>
      </c>
      <c r="AD18" s="52"/>
      <c r="AE18" s="51">
        <f t="shared" si="14"/>
        <v>0</v>
      </c>
      <c r="AF18" s="50">
        <v>0</v>
      </c>
      <c r="AG18" s="79">
        <f t="shared" si="15"/>
        <v>0</v>
      </c>
      <c r="AH18" s="52"/>
      <c r="AI18" s="79">
        <f t="shared" si="16"/>
        <v>0</v>
      </c>
      <c r="AJ18" s="52"/>
      <c r="AK18" s="79">
        <f t="shared" si="17"/>
        <v>0</v>
      </c>
      <c r="AL18" s="52"/>
      <c r="AM18" s="79">
        <f t="shared" si="18"/>
        <v>0</v>
      </c>
      <c r="AN18" s="52"/>
      <c r="AO18" s="90">
        <f t="shared" si="19"/>
        <v>0</v>
      </c>
    </row>
    <row r="19" spans="1:41" x14ac:dyDescent="0.25">
      <c r="A19" s="26" t="s">
        <v>191</v>
      </c>
      <c r="B19" s="50">
        <v>0</v>
      </c>
      <c r="C19" s="79">
        <f t="shared" si="0"/>
        <v>0</v>
      </c>
      <c r="D19" s="52"/>
      <c r="E19" s="79">
        <f t="shared" si="1"/>
        <v>0</v>
      </c>
      <c r="F19" s="52"/>
      <c r="G19" s="79">
        <f t="shared" si="2"/>
        <v>0</v>
      </c>
      <c r="H19" s="52"/>
      <c r="I19" s="79">
        <f t="shared" si="3"/>
        <v>0</v>
      </c>
      <c r="J19" s="52"/>
      <c r="K19" s="90">
        <f t="shared" si="4"/>
        <v>0</v>
      </c>
      <c r="L19" s="52"/>
      <c r="M19" s="51">
        <f t="shared" si="5"/>
        <v>0</v>
      </c>
      <c r="N19" s="52"/>
      <c r="O19" s="51">
        <f t="shared" si="6"/>
        <v>0</v>
      </c>
      <c r="P19" s="52"/>
      <c r="Q19" s="51">
        <f t="shared" si="7"/>
        <v>0</v>
      </c>
      <c r="R19" s="52"/>
      <c r="S19" s="51">
        <f t="shared" si="8"/>
        <v>0</v>
      </c>
      <c r="T19" s="52"/>
      <c r="U19" s="53">
        <f t="shared" si="9"/>
        <v>0</v>
      </c>
      <c r="V19" s="50"/>
      <c r="W19" s="51">
        <f t="shared" si="10"/>
        <v>0</v>
      </c>
      <c r="X19" s="52"/>
      <c r="Y19" s="51">
        <f t="shared" si="11"/>
        <v>0</v>
      </c>
      <c r="Z19" s="52"/>
      <c r="AA19" s="51">
        <f t="shared" si="12"/>
        <v>0</v>
      </c>
      <c r="AB19" s="52"/>
      <c r="AC19" s="51">
        <f t="shared" si="13"/>
        <v>0</v>
      </c>
      <c r="AD19" s="52"/>
      <c r="AE19" s="51">
        <f t="shared" si="14"/>
        <v>0</v>
      </c>
      <c r="AF19" s="50">
        <v>0</v>
      </c>
      <c r="AG19" s="79">
        <f t="shared" si="15"/>
        <v>0</v>
      </c>
      <c r="AH19" s="52"/>
      <c r="AI19" s="79">
        <f t="shared" si="16"/>
        <v>0</v>
      </c>
      <c r="AJ19" s="52"/>
      <c r="AK19" s="79">
        <f t="shared" si="17"/>
        <v>0</v>
      </c>
      <c r="AL19" s="52"/>
      <c r="AM19" s="79">
        <f t="shared" si="18"/>
        <v>0</v>
      </c>
      <c r="AN19" s="52"/>
      <c r="AO19" s="90">
        <f t="shared" si="19"/>
        <v>0</v>
      </c>
    </row>
    <row r="20" spans="1:41" x14ac:dyDescent="0.25">
      <c r="A20" s="26" t="s">
        <v>135</v>
      </c>
      <c r="B20" s="50">
        <v>0</v>
      </c>
      <c r="C20" s="79">
        <f t="shared" si="0"/>
        <v>0</v>
      </c>
      <c r="D20" s="52"/>
      <c r="E20" s="79">
        <f t="shared" si="1"/>
        <v>0</v>
      </c>
      <c r="F20" s="52"/>
      <c r="G20" s="79">
        <f t="shared" si="2"/>
        <v>0</v>
      </c>
      <c r="H20" s="52"/>
      <c r="I20" s="79">
        <f t="shared" si="3"/>
        <v>0</v>
      </c>
      <c r="J20" s="52"/>
      <c r="K20" s="90">
        <f t="shared" si="4"/>
        <v>0</v>
      </c>
      <c r="L20" s="52"/>
      <c r="M20" s="51">
        <f t="shared" si="5"/>
        <v>0</v>
      </c>
      <c r="N20" s="52"/>
      <c r="O20" s="51">
        <f t="shared" si="6"/>
        <v>0</v>
      </c>
      <c r="P20" s="52"/>
      <c r="Q20" s="51">
        <f t="shared" si="7"/>
        <v>0</v>
      </c>
      <c r="R20" s="52"/>
      <c r="S20" s="51">
        <f t="shared" si="8"/>
        <v>0</v>
      </c>
      <c r="T20" s="52"/>
      <c r="U20" s="53">
        <f t="shared" si="9"/>
        <v>0</v>
      </c>
      <c r="V20" s="50"/>
      <c r="W20" s="51">
        <f t="shared" si="10"/>
        <v>0</v>
      </c>
      <c r="X20" s="52"/>
      <c r="Y20" s="51">
        <f t="shared" si="11"/>
        <v>0</v>
      </c>
      <c r="Z20" s="52"/>
      <c r="AA20" s="51">
        <f t="shared" si="12"/>
        <v>0</v>
      </c>
      <c r="AB20" s="52"/>
      <c r="AC20" s="51">
        <f t="shared" si="13"/>
        <v>0</v>
      </c>
      <c r="AD20" s="52"/>
      <c r="AE20" s="51">
        <f t="shared" si="14"/>
        <v>0</v>
      </c>
      <c r="AF20" s="50">
        <v>0</v>
      </c>
      <c r="AG20" s="79">
        <f t="shared" si="15"/>
        <v>0</v>
      </c>
      <c r="AH20" s="52"/>
      <c r="AI20" s="79">
        <f t="shared" si="16"/>
        <v>0</v>
      </c>
      <c r="AJ20" s="52"/>
      <c r="AK20" s="79">
        <f t="shared" si="17"/>
        <v>0</v>
      </c>
      <c r="AL20" s="52"/>
      <c r="AM20" s="79">
        <f t="shared" si="18"/>
        <v>0</v>
      </c>
      <c r="AN20" s="52"/>
      <c r="AO20" s="90">
        <f t="shared" si="19"/>
        <v>0</v>
      </c>
    </row>
    <row r="21" spans="1:41" x14ac:dyDescent="0.25">
      <c r="A21" s="26" t="s">
        <v>136</v>
      </c>
      <c r="B21" s="50">
        <v>0</v>
      </c>
      <c r="C21" s="79">
        <f t="shared" si="0"/>
        <v>0</v>
      </c>
      <c r="D21" s="52"/>
      <c r="E21" s="79">
        <f t="shared" si="1"/>
        <v>0</v>
      </c>
      <c r="F21" s="52"/>
      <c r="G21" s="79">
        <f t="shared" si="2"/>
        <v>0</v>
      </c>
      <c r="H21" s="52"/>
      <c r="I21" s="79">
        <f t="shared" si="3"/>
        <v>0</v>
      </c>
      <c r="J21" s="52"/>
      <c r="K21" s="90">
        <f t="shared" si="4"/>
        <v>0</v>
      </c>
      <c r="L21" s="52"/>
      <c r="M21" s="51">
        <f t="shared" si="5"/>
        <v>0</v>
      </c>
      <c r="N21" s="52"/>
      <c r="O21" s="51">
        <f t="shared" si="6"/>
        <v>0</v>
      </c>
      <c r="P21" s="52"/>
      <c r="Q21" s="51">
        <f t="shared" si="7"/>
        <v>0</v>
      </c>
      <c r="R21" s="52"/>
      <c r="S21" s="51">
        <f t="shared" si="8"/>
        <v>0</v>
      </c>
      <c r="T21" s="52"/>
      <c r="U21" s="53">
        <f t="shared" si="9"/>
        <v>0</v>
      </c>
      <c r="V21" s="50"/>
      <c r="W21" s="51">
        <f t="shared" si="10"/>
        <v>0</v>
      </c>
      <c r="X21" s="52"/>
      <c r="Y21" s="51">
        <f t="shared" si="11"/>
        <v>0</v>
      </c>
      <c r="Z21" s="52"/>
      <c r="AA21" s="51">
        <f t="shared" si="12"/>
        <v>0</v>
      </c>
      <c r="AB21" s="52"/>
      <c r="AC21" s="51">
        <f t="shared" si="13"/>
        <v>0</v>
      </c>
      <c r="AD21" s="52"/>
      <c r="AE21" s="51">
        <f t="shared" si="14"/>
        <v>0</v>
      </c>
      <c r="AF21" s="50">
        <v>0</v>
      </c>
      <c r="AG21" s="79">
        <f t="shared" si="15"/>
        <v>0</v>
      </c>
      <c r="AH21" s="52"/>
      <c r="AI21" s="79">
        <f t="shared" si="16"/>
        <v>0</v>
      </c>
      <c r="AJ21" s="52"/>
      <c r="AK21" s="79">
        <f t="shared" si="17"/>
        <v>0</v>
      </c>
      <c r="AL21" s="52"/>
      <c r="AM21" s="79">
        <f t="shared" si="18"/>
        <v>0</v>
      </c>
      <c r="AN21" s="52"/>
      <c r="AO21" s="90">
        <f t="shared" si="19"/>
        <v>0</v>
      </c>
    </row>
    <row r="22" spans="1:41" x14ac:dyDescent="0.25">
      <c r="A22" s="26" t="s">
        <v>137</v>
      </c>
      <c r="B22" s="50">
        <v>0</v>
      </c>
      <c r="C22" s="79">
        <f t="shared" si="0"/>
        <v>0</v>
      </c>
      <c r="D22" s="52"/>
      <c r="E22" s="79">
        <f t="shared" si="1"/>
        <v>0</v>
      </c>
      <c r="F22" s="52"/>
      <c r="G22" s="79">
        <f t="shared" si="2"/>
        <v>0</v>
      </c>
      <c r="H22" s="52"/>
      <c r="I22" s="79">
        <f t="shared" si="3"/>
        <v>0</v>
      </c>
      <c r="J22" s="52"/>
      <c r="K22" s="90">
        <f t="shared" si="4"/>
        <v>0</v>
      </c>
      <c r="L22" s="52"/>
      <c r="M22" s="51">
        <f t="shared" si="5"/>
        <v>0</v>
      </c>
      <c r="N22" s="52"/>
      <c r="O22" s="51">
        <f t="shared" si="6"/>
        <v>0</v>
      </c>
      <c r="P22" s="52"/>
      <c r="Q22" s="51">
        <f t="shared" si="7"/>
        <v>0</v>
      </c>
      <c r="R22" s="52"/>
      <c r="S22" s="51">
        <f t="shared" si="8"/>
        <v>0</v>
      </c>
      <c r="T22" s="52"/>
      <c r="U22" s="53">
        <f t="shared" si="9"/>
        <v>0</v>
      </c>
      <c r="V22" s="50"/>
      <c r="W22" s="51">
        <f t="shared" si="10"/>
        <v>0</v>
      </c>
      <c r="X22" s="52"/>
      <c r="Y22" s="51">
        <f t="shared" si="11"/>
        <v>0</v>
      </c>
      <c r="Z22" s="52"/>
      <c r="AA22" s="51">
        <f t="shared" si="12"/>
        <v>0</v>
      </c>
      <c r="AB22" s="52"/>
      <c r="AC22" s="51">
        <f t="shared" si="13"/>
        <v>0</v>
      </c>
      <c r="AD22" s="52"/>
      <c r="AE22" s="51">
        <f t="shared" si="14"/>
        <v>0</v>
      </c>
      <c r="AF22" s="50">
        <v>0</v>
      </c>
      <c r="AG22" s="79">
        <f t="shared" si="15"/>
        <v>0</v>
      </c>
      <c r="AH22" s="52"/>
      <c r="AI22" s="79">
        <f t="shared" si="16"/>
        <v>0</v>
      </c>
      <c r="AJ22" s="52"/>
      <c r="AK22" s="79">
        <f t="shared" si="17"/>
        <v>0</v>
      </c>
      <c r="AL22" s="52"/>
      <c r="AM22" s="79">
        <f t="shared" si="18"/>
        <v>0</v>
      </c>
      <c r="AN22" s="52"/>
      <c r="AO22" s="90">
        <f t="shared" si="19"/>
        <v>0</v>
      </c>
    </row>
    <row r="23" spans="1:41" x14ac:dyDescent="0.25">
      <c r="A23" s="26" t="s">
        <v>138</v>
      </c>
      <c r="B23" s="50">
        <v>0</v>
      </c>
      <c r="C23" s="79">
        <f t="shared" si="0"/>
        <v>0</v>
      </c>
      <c r="D23" s="52"/>
      <c r="E23" s="79">
        <f t="shared" si="1"/>
        <v>0</v>
      </c>
      <c r="F23" s="52"/>
      <c r="G23" s="79">
        <f t="shared" si="2"/>
        <v>0</v>
      </c>
      <c r="H23" s="52"/>
      <c r="I23" s="79">
        <f t="shared" si="3"/>
        <v>0</v>
      </c>
      <c r="J23" s="52"/>
      <c r="K23" s="90">
        <f t="shared" si="4"/>
        <v>0</v>
      </c>
      <c r="L23" s="52"/>
      <c r="M23" s="51">
        <f t="shared" si="5"/>
        <v>0</v>
      </c>
      <c r="N23" s="52"/>
      <c r="O23" s="51">
        <f t="shared" si="6"/>
        <v>0</v>
      </c>
      <c r="P23" s="52"/>
      <c r="Q23" s="51">
        <f t="shared" si="7"/>
        <v>0</v>
      </c>
      <c r="R23" s="52"/>
      <c r="S23" s="51">
        <f t="shared" si="8"/>
        <v>0</v>
      </c>
      <c r="T23" s="52"/>
      <c r="U23" s="53">
        <f t="shared" si="9"/>
        <v>0</v>
      </c>
      <c r="V23" s="50"/>
      <c r="W23" s="51">
        <f t="shared" si="10"/>
        <v>0</v>
      </c>
      <c r="X23" s="52"/>
      <c r="Y23" s="51">
        <f t="shared" si="11"/>
        <v>0</v>
      </c>
      <c r="Z23" s="52"/>
      <c r="AA23" s="51">
        <f t="shared" si="12"/>
        <v>0</v>
      </c>
      <c r="AB23" s="52"/>
      <c r="AC23" s="51">
        <f t="shared" si="13"/>
        <v>0</v>
      </c>
      <c r="AD23" s="52"/>
      <c r="AE23" s="51">
        <f t="shared" si="14"/>
        <v>0</v>
      </c>
      <c r="AF23" s="50">
        <v>0</v>
      </c>
      <c r="AG23" s="79">
        <f t="shared" si="15"/>
        <v>0</v>
      </c>
      <c r="AH23" s="52"/>
      <c r="AI23" s="79">
        <f t="shared" si="16"/>
        <v>0</v>
      </c>
      <c r="AJ23" s="52"/>
      <c r="AK23" s="79">
        <f t="shared" si="17"/>
        <v>0</v>
      </c>
      <c r="AL23" s="52"/>
      <c r="AM23" s="79">
        <f t="shared" si="18"/>
        <v>0</v>
      </c>
      <c r="AN23" s="52"/>
      <c r="AO23" s="90">
        <f t="shared" si="19"/>
        <v>0</v>
      </c>
    </row>
    <row r="24" spans="1:41" x14ac:dyDescent="0.25">
      <c r="A24" s="26" t="s">
        <v>139</v>
      </c>
      <c r="B24" s="50">
        <v>0</v>
      </c>
      <c r="C24" s="79">
        <f t="shared" si="0"/>
        <v>0</v>
      </c>
      <c r="D24" s="52"/>
      <c r="E24" s="79">
        <f t="shared" si="1"/>
        <v>0</v>
      </c>
      <c r="F24" s="52"/>
      <c r="G24" s="79">
        <f t="shared" si="2"/>
        <v>0</v>
      </c>
      <c r="H24" s="52"/>
      <c r="I24" s="79">
        <f t="shared" si="3"/>
        <v>0</v>
      </c>
      <c r="J24" s="52"/>
      <c r="K24" s="90">
        <f t="shared" si="4"/>
        <v>0</v>
      </c>
      <c r="L24" s="52"/>
      <c r="M24" s="51">
        <f t="shared" si="5"/>
        <v>0</v>
      </c>
      <c r="N24" s="52"/>
      <c r="O24" s="51">
        <f t="shared" si="6"/>
        <v>0</v>
      </c>
      <c r="P24" s="52"/>
      <c r="Q24" s="51">
        <f t="shared" si="7"/>
        <v>0</v>
      </c>
      <c r="R24" s="52"/>
      <c r="S24" s="51">
        <f t="shared" si="8"/>
        <v>0</v>
      </c>
      <c r="T24" s="52"/>
      <c r="U24" s="53">
        <f t="shared" si="9"/>
        <v>0</v>
      </c>
      <c r="V24" s="50"/>
      <c r="W24" s="51">
        <f t="shared" si="10"/>
        <v>0</v>
      </c>
      <c r="X24" s="52"/>
      <c r="Y24" s="51">
        <f t="shared" si="11"/>
        <v>0</v>
      </c>
      <c r="Z24" s="52"/>
      <c r="AA24" s="51">
        <f t="shared" si="12"/>
        <v>0</v>
      </c>
      <c r="AB24" s="52"/>
      <c r="AC24" s="51">
        <f t="shared" si="13"/>
        <v>0</v>
      </c>
      <c r="AD24" s="52"/>
      <c r="AE24" s="51">
        <f t="shared" si="14"/>
        <v>0</v>
      </c>
      <c r="AF24" s="50">
        <v>0</v>
      </c>
      <c r="AG24" s="79">
        <f t="shared" si="15"/>
        <v>0</v>
      </c>
      <c r="AH24" s="52"/>
      <c r="AI24" s="79">
        <f t="shared" si="16"/>
        <v>0</v>
      </c>
      <c r="AJ24" s="52"/>
      <c r="AK24" s="79">
        <f t="shared" si="17"/>
        <v>0</v>
      </c>
      <c r="AL24" s="52"/>
      <c r="AM24" s="79">
        <f t="shared" si="18"/>
        <v>0</v>
      </c>
      <c r="AN24" s="52"/>
      <c r="AO24" s="90">
        <f t="shared" si="19"/>
        <v>0</v>
      </c>
    </row>
    <row r="25" spans="1:41" x14ac:dyDescent="0.25">
      <c r="A25" s="26" t="s">
        <v>140</v>
      </c>
      <c r="B25" s="50">
        <v>0</v>
      </c>
      <c r="C25" s="79">
        <f t="shared" si="0"/>
        <v>0</v>
      </c>
      <c r="D25" s="52"/>
      <c r="E25" s="79">
        <f t="shared" si="1"/>
        <v>0</v>
      </c>
      <c r="F25" s="52"/>
      <c r="G25" s="79">
        <f t="shared" si="2"/>
        <v>0</v>
      </c>
      <c r="H25" s="52"/>
      <c r="I25" s="79">
        <f t="shared" si="3"/>
        <v>0</v>
      </c>
      <c r="J25" s="52"/>
      <c r="K25" s="90">
        <f t="shared" si="4"/>
        <v>0</v>
      </c>
      <c r="L25" s="52"/>
      <c r="M25" s="51">
        <f t="shared" si="5"/>
        <v>0</v>
      </c>
      <c r="N25" s="52"/>
      <c r="O25" s="51">
        <f t="shared" si="6"/>
        <v>0</v>
      </c>
      <c r="P25" s="52"/>
      <c r="Q25" s="51">
        <f t="shared" si="7"/>
        <v>0</v>
      </c>
      <c r="R25" s="52"/>
      <c r="S25" s="51">
        <f t="shared" si="8"/>
        <v>0</v>
      </c>
      <c r="T25" s="52"/>
      <c r="U25" s="53">
        <f t="shared" si="9"/>
        <v>0</v>
      </c>
      <c r="V25" s="50"/>
      <c r="W25" s="51">
        <f t="shared" si="10"/>
        <v>0</v>
      </c>
      <c r="X25" s="52"/>
      <c r="Y25" s="51">
        <f t="shared" si="11"/>
        <v>0</v>
      </c>
      <c r="Z25" s="52"/>
      <c r="AA25" s="51">
        <f t="shared" si="12"/>
        <v>0</v>
      </c>
      <c r="AB25" s="52"/>
      <c r="AC25" s="51">
        <f t="shared" si="13"/>
        <v>0</v>
      </c>
      <c r="AD25" s="52"/>
      <c r="AE25" s="51">
        <f t="shared" si="14"/>
        <v>0</v>
      </c>
      <c r="AF25" s="50">
        <v>0</v>
      </c>
      <c r="AG25" s="79">
        <f t="shared" si="15"/>
        <v>0</v>
      </c>
      <c r="AH25" s="52"/>
      <c r="AI25" s="79">
        <f t="shared" si="16"/>
        <v>0</v>
      </c>
      <c r="AJ25" s="52"/>
      <c r="AK25" s="79">
        <f t="shared" si="17"/>
        <v>0</v>
      </c>
      <c r="AL25" s="52"/>
      <c r="AM25" s="79">
        <f t="shared" si="18"/>
        <v>0</v>
      </c>
      <c r="AN25" s="52"/>
      <c r="AO25" s="90">
        <f t="shared" si="19"/>
        <v>0</v>
      </c>
    </row>
    <row r="26" spans="1:41" x14ac:dyDescent="0.25">
      <c r="A26" s="26" t="s">
        <v>141</v>
      </c>
      <c r="B26" s="50">
        <v>0</v>
      </c>
      <c r="C26" s="79">
        <f t="shared" si="0"/>
        <v>0</v>
      </c>
      <c r="D26" s="52"/>
      <c r="E26" s="79">
        <f t="shared" si="1"/>
        <v>0</v>
      </c>
      <c r="F26" s="52"/>
      <c r="G26" s="79">
        <f t="shared" si="2"/>
        <v>0</v>
      </c>
      <c r="H26" s="52"/>
      <c r="I26" s="79">
        <f t="shared" si="3"/>
        <v>0</v>
      </c>
      <c r="J26" s="52"/>
      <c r="K26" s="90">
        <f t="shared" si="4"/>
        <v>0</v>
      </c>
      <c r="L26" s="52"/>
      <c r="M26" s="51">
        <f t="shared" si="5"/>
        <v>0</v>
      </c>
      <c r="N26" s="52"/>
      <c r="O26" s="51">
        <f t="shared" si="6"/>
        <v>0</v>
      </c>
      <c r="P26" s="52"/>
      <c r="Q26" s="51">
        <f t="shared" si="7"/>
        <v>0</v>
      </c>
      <c r="R26" s="52"/>
      <c r="S26" s="51">
        <f t="shared" si="8"/>
        <v>0</v>
      </c>
      <c r="T26" s="52"/>
      <c r="U26" s="53">
        <f t="shared" si="9"/>
        <v>0</v>
      </c>
      <c r="V26" s="50"/>
      <c r="W26" s="51">
        <f t="shared" si="10"/>
        <v>0</v>
      </c>
      <c r="X26" s="52"/>
      <c r="Y26" s="51">
        <f t="shared" si="11"/>
        <v>0</v>
      </c>
      <c r="Z26" s="52"/>
      <c r="AA26" s="51">
        <f t="shared" si="12"/>
        <v>0</v>
      </c>
      <c r="AB26" s="52"/>
      <c r="AC26" s="51">
        <f t="shared" si="13"/>
        <v>0</v>
      </c>
      <c r="AD26" s="52"/>
      <c r="AE26" s="51">
        <f t="shared" si="14"/>
        <v>0</v>
      </c>
      <c r="AF26" s="50">
        <v>0</v>
      </c>
      <c r="AG26" s="79">
        <f t="shared" si="15"/>
        <v>0</v>
      </c>
      <c r="AH26" s="52"/>
      <c r="AI26" s="79">
        <f t="shared" si="16"/>
        <v>0</v>
      </c>
      <c r="AJ26" s="52"/>
      <c r="AK26" s="79">
        <f t="shared" si="17"/>
        <v>0</v>
      </c>
      <c r="AL26" s="52"/>
      <c r="AM26" s="79">
        <f t="shared" si="18"/>
        <v>0</v>
      </c>
      <c r="AN26" s="52"/>
      <c r="AO26" s="90">
        <f t="shared" si="19"/>
        <v>0</v>
      </c>
    </row>
    <row r="27" spans="1:41" x14ac:dyDescent="0.25">
      <c r="A27" s="26" t="s">
        <v>142</v>
      </c>
      <c r="B27" s="50">
        <v>0</v>
      </c>
      <c r="C27" s="79">
        <f t="shared" si="0"/>
        <v>0</v>
      </c>
      <c r="D27" s="52"/>
      <c r="E27" s="79">
        <f t="shared" si="1"/>
        <v>0</v>
      </c>
      <c r="F27" s="52"/>
      <c r="G27" s="79">
        <f t="shared" si="2"/>
        <v>0</v>
      </c>
      <c r="H27" s="52"/>
      <c r="I27" s="79">
        <f t="shared" si="3"/>
        <v>0</v>
      </c>
      <c r="J27" s="52"/>
      <c r="K27" s="90">
        <f t="shared" si="4"/>
        <v>0</v>
      </c>
      <c r="L27" s="52"/>
      <c r="M27" s="51">
        <f t="shared" si="5"/>
        <v>0</v>
      </c>
      <c r="N27" s="52"/>
      <c r="O27" s="51">
        <f t="shared" si="6"/>
        <v>0</v>
      </c>
      <c r="P27" s="52"/>
      <c r="Q27" s="51">
        <f t="shared" si="7"/>
        <v>0</v>
      </c>
      <c r="R27" s="52"/>
      <c r="S27" s="51">
        <f t="shared" si="8"/>
        <v>0</v>
      </c>
      <c r="T27" s="52"/>
      <c r="U27" s="53">
        <f t="shared" si="9"/>
        <v>0</v>
      </c>
      <c r="V27" s="50"/>
      <c r="W27" s="51">
        <f t="shared" si="10"/>
        <v>0</v>
      </c>
      <c r="X27" s="52"/>
      <c r="Y27" s="51">
        <f t="shared" si="11"/>
        <v>0</v>
      </c>
      <c r="Z27" s="52"/>
      <c r="AA27" s="51">
        <f t="shared" si="12"/>
        <v>0</v>
      </c>
      <c r="AB27" s="52"/>
      <c r="AC27" s="51">
        <f t="shared" si="13"/>
        <v>0</v>
      </c>
      <c r="AD27" s="52"/>
      <c r="AE27" s="51">
        <f t="shared" si="14"/>
        <v>0</v>
      </c>
      <c r="AF27" s="50">
        <v>0</v>
      </c>
      <c r="AG27" s="79">
        <f t="shared" si="15"/>
        <v>0</v>
      </c>
      <c r="AH27" s="52"/>
      <c r="AI27" s="79">
        <f t="shared" si="16"/>
        <v>0</v>
      </c>
      <c r="AJ27" s="52"/>
      <c r="AK27" s="79">
        <f t="shared" si="17"/>
        <v>0</v>
      </c>
      <c r="AL27" s="52"/>
      <c r="AM27" s="79">
        <f t="shared" si="18"/>
        <v>0</v>
      </c>
      <c r="AN27" s="52"/>
      <c r="AO27" s="90">
        <f t="shared" si="19"/>
        <v>0</v>
      </c>
    </row>
    <row r="28" spans="1:41" x14ac:dyDescent="0.25">
      <c r="A28" s="26" t="s">
        <v>143</v>
      </c>
      <c r="B28" s="50">
        <v>0</v>
      </c>
      <c r="C28" s="79">
        <f t="shared" si="0"/>
        <v>0</v>
      </c>
      <c r="D28" s="52"/>
      <c r="E28" s="79">
        <f t="shared" si="1"/>
        <v>0</v>
      </c>
      <c r="F28" s="52"/>
      <c r="G28" s="79">
        <f t="shared" si="2"/>
        <v>0</v>
      </c>
      <c r="H28" s="52"/>
      <c r="I28" s="79">
        <f t="shared" si="3"/>
        <v>0</v>
      </c>
      <c r="J28" s="52"/>
      <c r="K28" s="90">
        <f t="shared" si="4"/>
        <v>0</v>
      </c>
      <c r="L28" s="52"/>
      <c r="M28" s="51">
        <f t="shared" si="5"/>
        <v>0</v>
      </c>
      <c r="N28" s="52"/>
      <c r="O28" s="51">
        <f t="shared" si="6"/>
        <v>0</v>
      </c>
      <c r="P28" s="52"/>
      <c r="Q28" s="51">
        <f t="shared" si="7"/>
        <v>0</v>
      </c>
      <c r="R28" s="52"/>
      <c r="S28" s="51">
        <f t="shared" si="8"/>
        <v>0</v>
      </c>
      <c r="T28" s="52"/>
      <c r="U28" s="53">
        <f t="shared" si="9"/>
        <v>0</v>
      </c>
      <c r="V28" s="50"/>
      <c r="W28" s="51">
        <f t="shared" si="10"/>
        <v>0</v>
      </c>
      <c r="X28" s="52"/>
      <c r="Y28" s="51">
        <f t="shared" si="11"/>
        <v>0</v>
      </c>
      <c r="Z28" s="52"/>
      <c r="AA28" s="51">
        <f t="shared" si="12"/>
        <v>0</v>
      </c>
      <c r="AB28" s="52"/>
      <c r="AC28" s="51">
        <f t="shared" si="13"/>
        <v>0</v>
      </c>
      <c r="AD28" s="52"/>
      <c r="AE28" s="51">
        <f t="shared" si="14"/>
        <v>0</v>
      </c>
      <c r="AF28" s="50">
        <v>0</v>
      </c>
      <c r="AG28" s="79">
        <f t="shared" si="15"/>
        <v>0</v>
      </c>
      <c r="AH28" s="52"/>
      <c r="AI28" s="79">
        <f t="shared" si="16"/>
        <v>0</v>
      </c>
      <c r="AJ28" s="52"/>
      <c r="AK28" s="79">
        <f t="shared" si="17"/>
        <v>0</v>
      </c>
      <c r="AL28" s="52"/>
      <c r="AM28" s="79">
        <f t="shared" si="18"/>
        <v>0</v>
      </c>
      <c r="AN28" s="52"/>
      <c r="AO28" s="90">
        <f t="shared" si="19"/>
        <v>0</v>
      </c>
    </row>
    <row r="29" spans="1:41" x14ac:dyDescent="0.25">
      <c r="A29" s="26" t="s">
        <v>192</v>
      </c>
      <c r="B29" s="50">
        <v>0</v>
      </c>
      <c r="C29" s="79">
        <f t="shared" si="0"/>
        <v>0</v>
      </c>
      <c r="D29" s="52"/>
      <c r="E29" s="79">
        <f t="shared" si="1"/>
        <v>0</v>
      </c>
      <c r="F29" s="52"/>
      <c r="G29" s="79">
        <f t="shared" si="2"/>
        <v>0</v>
      </c>
      <c r="H29" s="52"/>
      <c r="I29" s="79">
        <f t="shared" si="3"/>
        <v>0</v>
      </c>
      <c r="J29" s="52"/>
      <c r="K29" s="90">
        <f t="shared" si="4"/>
        <v>0</v>
      </c>
      <c r="L29" s="52"/>
      <c r="M29" s="51">
        <f t="shared" si="5"/>
        <v>0</v>
      </c>
      <c r="N29" s="52"/>
      <c r="O29" s="51">
        <f t="shared" si="6"/>
        <v>0</v>
      </c>
      <c r="P29" s="52"/>
      <c r="Q29" s="51">
        <f t="shared" si="7"/>
        <v>0</v>
      </c>
      <c r="R29" s="52"/>
      <c r="S29" s="51">
        <f t="shared" si="8"/>
        <v>0</v>
      </c>
      <c r="T29" s="52"/>
      <c r="U29" s="53">
        <f t="shared" si="9"/>
        <v>0</v>
      </c>
      <c r="V29" s="50"/>
      <c r="W29" s="51">
        <f t="shared" si="10"/>
        <v>0</v>
      </c>
      <c r="X29" s="52"/>
      <c r="Y29" s="51">
        <f t="shared" si="11"/>
        <v>0</v>
      </c>
      <c r="Z29" s="52"/>
      <c r="AA29" s="51">
        <f t="shared" si="12"/>
        <v>0</v>
      </c>
      <c r="AB29" s="52"/>
      <c r="AC29" s="51">
        <f t="shared" si="13"/>
        <v>0</v>
      </c>
      <c r="AD29" s="52"/>
      <c r="AE29" s="51">
        <f t="shared" si="14"/>
        <v>0</v>
      </c>
      <c r="AF29" s="50">
        <v>0</v>
      </c>
      <c r="AG29" s="79">
        <f t="shared" si="15"/>
        <v>0</v>
      </c>
      <c r="AH29" s="52"/>
      <c r="AI29" s="79">
        <f t="shared" si="16"/>
        <v>0</v>
      </c>
      <c r="AJ29" s="52"/>
      <c r="AK29" s="79">
        <f t="shared" si="17"/>
        <v>0</v>
      </c>
      <c r="AL29" s="52"/>
      <c r="AM29" s="79">
        <f t="shared" si="18"/>
        <v>0</v>
      </c>
      <c r="AN29" s="52"/>
      <c r="AO29" s="90">
        <f t="shared" si="19"/>
        <v>0</v>
      </c>
    </row>
    <row r="30" spans="1:41" x14ac:dyDescent="0.25">
      <c r="A30" s="26" t="s">
        <v>144</v>
      </c>
      <c r="B30" s="50">
        <v>0</v>
      </c>
      <c r="C30" s="79">
        <f t="shared" si="0"/>
        <v>0</v>
      </c>
      <c r="D30" s="52"/>
      <c r="E30" s="79">
        <f t="shared" si="1"/>
        <v>0</v>
      </c>
      <c r="F30" s="52"/>
      <c r="G30" s="79">
        <f t="shared" si="2"/>
        <v>0</v>
      </c>
      <c r="H30" s="52"/>
      <c r="I30" s="79">
        <f t="shared" si="3"/>
        <v>0</v>
      </c>
      <c r="J30" s="52"/>
      <c r="K30" s="90">
        <f t="shared" si="4"/>
        <v>0</v>
      </c>
      <c r="L30" s="52"/>
      <c r="M30" s="51">
        <f t="shared" si="5"/>
        <v>0</v>
      </c>
      <c r="N30" s="52"/>
      <c r="O30" s="51">
        <f t="shared" si="6"/>
        <v>0</v>
      </c>
      <c r="P30" s="52"/>
      <c r="Q30" s="51">
        <f t="shared" si="7"/>
        <v>0</v>
      </c>
      <c r="R30" s="52"/>
      <c r="S30" s="51">
        <f t="shared" si="8"/>
        <v>0</v>
      </c>
      <c r="T30" s="52"/>
      <c r="U30" s="53">
        <f t="shared" si="9"/>
        <v>0</v>
      </c>
      <c r="V30" s="50"/>
      <c r="W30" s="51">
        <f t="shared" si="10"/>
        <v>0</v>
      </c>
      <c r="X30" s="52"/>
      <c r="Y30" s="51">
        <f t="shared" si="11"/>
        <v>0</v>
      </c>
      <c r="Z30" s="52"/>
      <c r="AA30" s="51">
        <f t="shared" si="12"/>
        <v>0</v>
      </c>
      <c r="AB30" s="52"/>
      <c r="AC30" s="51">
        <f t="shared" si="13"/>
        <v>0</v>
      </c>
      <c r="AD30" s="52"/>
      <c r="AE30" s="51">
        <f t="shared" si="14"/>
        <v>0</v>
      </c>
      <c r="AF30" s="50">
        <v>0</v>
      </c>
      <c r="AG30" s="79">
        <f t="shared" si="15"/>
        <v>0</v>
      </c>
      <c r="AH30" s="52"/>
      <c r="AI30" s="79">
        <f t="shared" si="16"/>
        <v>0</v>
      </c>
      <c r="AJ30" s="52"/>
      <c r="AK30" s="79">
        <f t="shared" si="17"/>
        <v>0</v>
      </c>
      <c r="AL30" s="52"/>
      <c r="AM30" s="79">
        <f t="shared" si="18"/>
        <v>0</v>
      </c>
      <c r="AN30" s="52"/>
      <c r="AO30" s="90">
        <f t="shared" si="19"/>
        <v>0</v>
      </c>
    </row>
    <row r="31" spans="1:41" x14ac:dyDescent="0.25">
      <c r="A31" s="26" t="s">
        <v>145</v>
      </c>
      <c r="B31" s="50">
        <v>0</v>
      </c>
      <c r="C31" s="79">
        <f t="shared" si="0"/>
        <v>0</v>
      </c>
      <c r="D31" s="52"/>
      <c r="E31" s="79">
        <f t="shared" si="1"/>
        <v>0</v>
      </c>
      <c r="F31" s="52"/>
      <c r="G31" s="79">
        <f t="shared" si="2"/>
        <v>0</v>
      </c>
      <c r="H31" s="52"/>
      <c r="I31" s="79">
        <f t="shared" si="3"/>
        <v>0</v>
      </c>
      <c r="J31" s="52"/>
      <c r="K31" s="90">
        <f t="shared" si="4"/>
        <v>0</v>
      </c>
      <c r="L31" s="52"/>
      <c r="M31" s="51">
        <f t="shared" si="5"/>
        <v>0</v>
      </c>
      <c r="N31" s="52"/>
      <c r="O31" s="51">
        <f t="shared" si="6"/>
        <v>0</v>
      </c>
      <c r="P31" s="52"/>
      <c r="Q31" s="51">
        <f t="shared" si="7"/>
        <v>0</v>
      </c>
      <c r="R31" s="52"/>
      <c r="S31" s="51">
        <f t="shared" si="8"/>
        <v>0</v>
      </c>
      <c r="T31" s="52"/>
      <c r="U31" s="53">
        <f t="shared" si="9"/>
        <v>0</v>
      </c>
      <c r="V31" s="50"/>
      <c r="W31" s="51">
        <f t="shared" si="10"/>
        <v>0</v>
      </c>
      <c r="X31" s="52"/>
      <c r="Y31" s="51">
        <f t="shared" si="11"/>
        <v>0</v>
      </c>
      <c r="Z31" s="52"/>
      <c r="AA31" s="51">
        <f t="shared" si="12"/>
        <v>0</v>
      </c>
      <c r="AB31" s="52"/>
      <c r="AC31" s="51">
        <f t="shared" si="13"/>
        <v>0</v>
      </c>
      <c r="AD31" s="52"/>
      <c r="AE31" s="51">
        <f t="shared" si="14"/>
        <v>0</v>
      </c>
      <c r="AF31" s="50">
        <v>0</v>
      </c>
      <c r="AG31" s="79">
        <f t="shared" si="15"/>
        <v>0</v>
      </c>
      <c r="AH31" s="52"/>
      <c r="AI31" s="79">
        <f t="shared" si="16"/>
        <v>0</v>
      </c>
      <c r="AJ31" s="52"/>
      <c r="AK31" s="79">
        <f t="shared" si="17"/>
        <v>0</v>
      </c>
      <c r="AL31" s="52"/>
      <c r="AM31" s="79">
        <f t="shared" si="18"/>
        <v>0</v>
      </c>
      <c r="AN31" s="52"/>
      <c r="AO31" s="90">
        <f t="shared" si="19"/>
        <v>0</v>
      </c>
    </row>
    <row r="32" spans="1:41" x14ac:dyDescent="0.25">
      <c r="A32" s="26" t="s">
        <v>146</v>
      </c>
      <c r="B32" s="50">
        <v>0</v>
      </c>
      <c r="C32" s="79">
        <f t="shared" si="0"/>
        <v>0</v>
      </c>
      <c r="D32" s="52"/>
      <c r="E32" s="79">
        <f t="shared" si="1"/>
        <v>0</v>
      </c>
      <c r="F32" s="52"/>
      <c r="G32" s="79">
        <f t="shared" si="2"/>
        <v>0</v>
      </c>
      <c r="H32" s="52"/>
      <c r="I32" s="79">
        <f t="shared" si="3"/>
        <v>0</v>
      </c>
      <c r="J32" s="52"/>
      <c r="K32" s="90">
        <f t="shared" si="4"/>
        <v>0</v>
      </c>
      <c r="L32" s="52"/>
      <c r="M32" s="51">
        <f t="shared" si="5"/>
        <v>0</v>
      </c>
      <c r="N32" s="52"/>
      <c r="O32" s="51">
        <f t="shared" si="6"/>
        <v>0</v>
      </c>
      <c r="P32" s="52"/>
      <c r="Q32" s="51">
        <f t="shared" si="7"/>
        <v>0</v>
      </c>
      <c r="R32" s="52"/>
      <c r="S32" s="51">
        <f t="shared" si="8"/>
        <v>0</v>
      </c>
      <c r="T32" s="52"/>
      <c r="U32" s="53">
        <f t="shared" si="9"/>
        <v>0</v>
      </c>
      <c r="V32" s="50"/>
      <c r="W32" s="51">
        <f t="shared" si="10"/>
        <v>0</v>
      </c>
      <c r="X32" s="52"/>
      <c r="Y32" s="51">
        <f t="shared" si="11"/>
        <v>0</v>
      </c>
      <c r="Z32" s="52"/>
      <c r="AA32" s="51">
        <f t="shared" si="12"/>
        <v>0</v>
      </c>
      <c r="AB32" s="52"/>
      <c r="AC32" s="51">
        <f t="shared" si="13"/>
        <v>0</v>
      </c>
      <c r="AD32" s="52"/>
      <c r="AE32" s="51">
        <f t="shared" si="14"/>
        <v>0</v>
      </c>
      <c r="AF32" s="50">
        <v>0</v>
      </c>
      <c r="AG32" s="79">
        <f t="shared" si="15"/>
        <v>0</v>
      </c>
      <c r="AH32" s="52"/>
      <c r="AI32" s="79">
        <f t="shared" si="16"/>
        <v>0</v>
      </c>
      <c r="AJ32" s="52"/>
      <c r="AK32" s="79">
        <f t="shared" si="17"/>
        <v>0</v>
      </c>
      <c r="AL32" s="52"/>
      <c r="AM32" s="79">
        <f t="shared" si="18"/>
        <v>0</v>
      </c>
      <c r="AN32" s="52"/>
      <c r="AO32" s="90">
        <f t="shared" si="19"/>
        <v>0</v>
      </c>
    </row>
    <row r="33" spans="1:41" x14ac:dyDescent="0.25">
      <c r="A33" s="27" t="s">
        <v>72</v>
      </c>
      <c r="B33" s="50">
        <v>4.5138888888888888E-2</v>
      </c>
      <c r="C33" s="79">
        <f t="shared" si="0"/>
        <v>0.11111111111111112</v>
      </c>
      <c r="D33" s="52"/>
      <c r="E33" s="79">
        <f t="shared" si="1"/>
        <v>0</v>
      </c>
      <c r="F33" s="52"/>
      <c r="G33" s="79">
        <f t="shared" si="2"/>
        <v>0</v>
      </c>
      <c r="H33" s="52"/>
      <c r="I33" s="79">
        <f t="shared" si="3"/>
        <v>0</v>
      </c>
      <c r="J33" s="52"/>
      <c r="K33" s="90">
        <f t="shared" si="4"/>
        <v>0</v>
      </c>
      <c r="L33" s="52"/>
      <c r="M33" s="51">
        <f t="shared" si="5"/>
        <v>0</v>
      </c>
      <c r="N33" s="52"/>
      <c r="O33" s="51">
        <f t="shared" si="6"/>
        <v>0</v>
      </c>
      <c r="P33" s="52"/>
      <c r="Q33" s="51">
        <f t="shared" si="7"/>
        <v>0</v>
      </c>
      <c r="R33" s="52"/>
      <c r="S33" s="51">
        <f t="shared" si="8"/>
        <v>0</v>
      </c>
      <c r="T33" s="52"/>
      <c r="U33" s="53">
        <f t="shared" si="9"/>
        <v>0</v>
      </c>
      <c r="V33" s="50"/>
      <c r="W33" s="51">
        <f t="shared" si="10"/>
        <v>0</v>
      </c>
      <c r="X33" s="52"/>
      <c r="Y33" s="51">
        <f t="shared" si="11"/>
        <v>0</v>
      </c>
      <c r="Z33" s="52"/>
      <c r="AA33" s="51">
        <f t="shared" si="12"/>
        <v>0</v>
      </c>
      <c r="AB33" s="52"/>
      <c r="AC33" s="51">
        <f t="shared" si="13"/>
        <v>0</v>
      </c>
      <c r="AD33" s="52"/>
      <c r="AE33" s="51">
        <f t="shared" si="14"/>
        <v>0</v>
      </c>
      <c r="AF33" s="50">
        <v>0</v>
      </c>
      <c r="AG33" s="79">
        <f t="shared" si="15"/>
        <v>0</v>
      </c>
      <c r="AH33" s="52"/>
      <c r="AI33" s="79">
        <f t="shared" si="16"/>
        <v>0</v>
      </c>
      <c r="AJ33" s="52"/>
      <c r="AK33" s="79">
        <f t="shared" si="17"/>
        <v>0</v>
      </c>
      <c r="AL33" s="52"/>
      <c r="AM33" s="79">
        <f t="shared" si="18"/>
        <v>0</v>
      </c>
      <c r="AN33" s="52"/>
      <c r="AO33" s="90">
        <f t="shared" si="19"/>
        <v>0</v>
      </c>
    </row>
    <row r="34" spans="1:41" x14ac:dyDescent="0.25">
      <c r="A34" s="27" t="s">
        <v>73</v>
      </c>
      <c r="B34" s="50">
        <v>0</v>
      </c>
      <c r="C34" s="79">
        <f t="shared" si="0"/>
        <v>0</v>
      </c>
      <c r="D34" s="52"/>
      <c r="E34" s="79">
        <f t="shared" si="1"/>
        <v>0</v>
      </c>
      <c r="F34" s="52"/>
      <c r="G34" s="79">
        <f t="shared" si="2"/>
        <v>0</v>
      </c>
      <c r="H34" s="52"/>
      <c r="I34" s="79">
        <f t="shared" si="3"/>
        <v>0</v>
      </c>
      <c r="J34" s="52"/>
      <c r="K34" s="90">
        <f t="shared" si="4"/>
        <v>0</v>
      </c>
      <c r="L34" s="52"/>
      <c r="M34" s="51">
        <f t="shared" si="5"/>
        <v>0</v>
      </c>
      <c r="N34" s="52"/>
      <c r="O34" s="51">
        <f t="shared" si="6"/>
        <v>0</v>
      </c>
      <c r="P34" s="52"/>
      <c r="Q34" s="51">
        <f t="shared" si="7"/>
        <v>0</v>
      </c>
      <c r="R34" s="52"/>
      <c r="S34" s="51">
        <f t="shared" si="8"/>
        <v>0</v>
      </c>
      <c r="T34" s="52"/>
      <c r="U34" s="53">
        <f t="shared" si="9"/>
        <v>0</v>
      </c>
      <c r="V34" s="50"/>
      <c r="W34" s="51">
        <f t="shared" si="10"/>
        <v>0</v>
      </c>
      <c r="X34" s="52"/>
      <c r="Y34" s="51">
        <f t="shared" si="11"/>
        <v>0</v>
      </c>
      <c r="Z34" s="52"/>
      <c r="AA34" s="51">
        <f t="shared" si="12"/>
        <v>0</v>
      </c>
      <c r="AB34" s="52"/>
      <c r="AC34" s="51">
        <f t="shared" si="13"/>
        <v>0</v>
      </c>
      <c r="AD34" s="52"/>
      <c r="AE34" s="51">
        <f t="shared" si="14"/>
        <v>0</v>
      </c>
      <c r="AF34" s="50">
        <v>0</v>
      </c>
      <c r="AG34" s="79">
        <f t="shared" si="15"/>
        <v>0</v>
      </c>
      <c r="AH34" s="52"/>
      <c r="AI34" s="79">
        <f t="shared" si="16"/>
        <v>0</v>
      </c>
      <c r="AJ34" s="52"/>
      <c r="AK34" s="79">
        <f t="shared" si="17"/>
        <v>0</v>
      </c>
      <c r="AL34" s="52"/>
      <c r="AM34" s="79">
        <f t="shared" si="18"/>
        <v>0</v>
      </c>
      <c r="AN34" s="52"/>
      <c r="AO34" s="90">
        <f t="shared" si="19"/>
        <v>0</v>
      </c>
    </row>
    <row r="35" spans="1:41" x14ac:dyDescent="0.25">
      <c r="A35" s="27" t="s">
        <v>74</v>
      </c>
      <c r="B35" s="50">
        <v>0</v>
      </c>
      <c r="C35" s="79">
        <f t="shared" si="0"/>
        <v>0</v>
      </c>
      <c r="D35" s="52"/>
      <c r="E35" s="79">
        <f t="shared" si="1"/>
        <v>0</v>
      </c>
      <c r="F35" s="52"/>
      <c r="G35" s="79">
        <f t="shared" si="2"/>
        <v>0</v>
      </c>
      <c r="H35" s="52"/>
      <c r="I35" s="79">
        <f t="shared" si="3"/>
        <v>0</v>
      </c>
      <c r="J35" s="52"/>
      <c r="K35" s="90">
        <f t="shared" si="4"/>
        <v>0</v>
      </c>
      <c r="L35" s="52"/>
      <c r="M35" s="51">
        <f t="shared" si="5"/>
        <v>0</v>
      </c>
      <c r="N35" s="52"/>
      <c r="O35" s="51">
        <f t="shared" si="6"/>
        <v>0</v>
      </c>
      <c r="P35" s="52"/>
      <c r="Q35" s="51">
        <f t="shared" si="7"/>
        <v>0</v>
      </c>
      <c r="R35" s="52"/>
      <c r="S35" s="51">
        <f t="shared" si="8"/>
        <v>0</v>
      </c>
      <c r="T35" s="52"/>
      <c r="U35" s="53">
        <f t="shared" si="9"/>
        <v>0</v>
      </c>
      <c r="V35" s="50"/>
      <c r="W35" s="51">
        <f t="shared" si="10"/>
        <v>0</v>
      </c>
      <c r="X35" s="52"/>
      <c r="Y35" s="51">
        <f t="shared" si="11"/>
        <v>0</v>
      </c>
      <c r="Z35" s="52"/>
      <c r="AA35" s="51">
        <f t="shared" si="12"/>
        <v>0</v>
      </c>
      <c r="AB35" s="52"/>
      <c r="AC35" s="51">
        <f t="shared" si="13"/>
        <v>0</v>
      </c>
      <c r="AD35" s="52"/>
      <c r="AE35" s="51">
        <f t="shared" si="14"/>
        <v>0</v>
      </c>
      <c r="AF35" s="50">
        <v>0</v>
      </c>
      <c r="AG35" s="79">
        <f t="shared" si="15"/>
        <v>0</v>
      </c>
      <c r="AH35" s="52"/>
      <c r="AI35" s="79">
        <f t="shared" si="16"/>
        <v>0</v>
      </c>
      <c r="AJ35" s="52"/>
      <c r="AK35" s="79">
        <f t="shared" si="17"/>
        <v>0</v>
      </c>
      <c r="AL35" s="52"/>
      <c r="AM35" s="79">
        <f t="shared" si="18"/>
        <v>0</v>
      </c>
      <c r="AN35" s="52"/>
      <c r="AO35" s="90">
        <f t="shared" si="19"/>
        <v>0</v>
      </c>
    </row>
    <row r="36" spans="1:41" x14ac:dyDescent="0.25">
      <c r="A36" s="27" t="s">
        <v>75</v>
      </c>
      <c r="B36" s="50">
        <v>0</v>
      </c>
      <c r="C36" s="79">
        <f t="shared" si="0"/>
        <v>0</v>
      </c>
      <c r="D36" s="52"/>
      <c r="E36" s="79">
        <f t="shared" si="1"/>
        <v>0</v>
      </c>
      <c r="F36" s="52"/>
      <c r="G36" s="79">
        <f t="shared" si="2"/>
        <v>0</v>
      </c>
      <c r="H36" s="52"/>
      <c r="I36" s="79">
        <f t="shared" si="3"/>
        <v>0</v>
      </c>
      <c r="J36" s="52"/>
      <c r="K36" s="90">
        <f t="shared" si="4"/>
        <v>0</v>
      </c>
      <c r="L36" s="52"/>
      <c r="M36" s="51">
        <f t="shared" si="5"/>
        <v>0</v>
      </c>
      <c r="N36" s="52"/>
      <c r="O36" s="51">
        <f t="shared" si="6"/>
        <v>0</v>
      </c>
      <c r="P36" s="52"/>
      <c r="Q36" s="51">
        <f t="shared" si="7"/>
        <v>0</v>
      </c>
      <c r="R36" s="52"/>
      <c r="S36" s="51">
        <f t="shared" si="8"/>
        <v>0</v>
      </c>
      <c r="T36" s="52"/>
      <c r="U36" s="53">
        <f t="shared" si="9"/>
        <v>0</v>
      </c>
      <c r="V36" s="50"/>
      <c r="W36" s="51">
        <f t="shared" si="10"/>
        <v>0</v>
      </c>
      <c r="X36" s="52"/>
      <c r="Y36" s="51">
        <f t="shared" si="11"/>
        <v>0</v>
      </c>
      <c r="Z36" s="52"/>
      <c r="AA36" s="51">
        <f t="shared" si="12"/>
        <v>0</v>
      </c>
      <c r="AB36" s="52"/>
      <c r="AC36" s="51">
        <f t="shared" si="13"/>
        <v>0</v>
      </c>
      <c r="AD36" s="52"/>
      <c r="AE36" s="51">
        <f t="shared" si="14"/>
        <v>0</v>
      </c>
      <c r="AF36" s="50">
        <v>0</v>
      </c>
      <c r="AG36" s="79">
        <f t="shared" si="15"/>
        <v>0</v>
      </c>
      <c r="AH36" s="52"/>
      <c r="AI36" s="79">
        <f t="shared" si="16"/>
        <v>0</v>
      </c>
      <c r="AJ36" s="52"/>
      <c r="AK36" s="79">
        <f t="shared" si="17"/>
        <v>0</v>
      </c>
      <c r="AL36" s="52"/>
      <c r="AM36" s="79">
        <f t="shared" si="18"/>
        <v>0</v>
      </c>
      <c r="AN36" s="52"/>
      <c r="AO36" s="90">
        <f t="shared" si="19"/>
        <v>0</v>
      </c>
    </row>
    <row r="37" spans="1:41" x14ac:dyDescent="0.25">
      <c r="A37" s="27" t="s">
        <v>76</v>
      </c>
      <c r="B37" s="50">
        <v>0</v>
      </c>
      <c r="C37" s="79">
        <f t="shared" si="0"/>
        <v>0</v>
      </c>
      <c r="D37" s="52"/>
      <c r="E37" s="79">
        <f t="shared" si="1"/>
        <v>0</v>
      </c>
      <c r="F37" s="52"/>
      <c r="G37" s="79">
        <f t="shared" si="2"/>
        <v>0</v>
      </c>
      <c r="H37" s="52"/>
      <c r="I37" s="79">
        <f t="shared" si="3"/>
        <v>0</v>
      </c>
      <c r="J37" s="52"/>
      <c r="K37" s="90">
        <f t="shared" si="4"/>
        <v>0</v>
      </c>
      <c r="L37" s="52"/>
      <c r="M37" s="51">
        <f t="shared" si="5"/>
        <v>0</v>
      </c>
      <c r="N37" s="52"/>
      <c r="O37" s="51">
        <f t="shared" si="6"/>
        <v>0</v>
      </c>
      <c r="P37" s="52"/>
      <c r="Q37" s="51">
        <f t="shared" si="7"/>
        <v>0</v>
      </c>
      <c r="R37" s="52"/>
      <c r="S37" s="51">
        <f t="shared" si="8"/>
        <v>0</v>
      </c>
      <c r="T37" s="52"/>
      <c r="U37" s="53">
        <f t="shared" si="9"/>
        <v>0</v>
      </c>
      <c r="V37" s="50"/>
      <c r="W37" s="51">
        <f t="shared" si="10"/>
        <v>0</v>
      </c>
      <c r="X37" s="52"/>
      <c r="Y37" s="51">
        <f t="shared" si="11"/>
        <v>0</v>
      </c>
      <c r="Z37" s="52"/>
      <c r="AA37" s="51">
        <f t="shared" si="12"/>
        <v>0</v>
      </c>
      <c r="AB37" s="52"/>
      <c r="AC37" s="51">
        <f t="shared" si="13"/>
        <v>0</v>
      </c>
      <c r="AD37" s="52"/>
      <c r="AE37" s="51">
        <f t="shared" si="14"/>
        <v>0</v>
      </c>
      <c r="AF37" s="50">
        <v>0</v>
      </c>
      <c r="AG37" s="79">
        <f t="shared" si="15"/>
        <v>0</v>
      </c>
      <c r="AH37" s="52"/>
      <c r="AI37" s="79">
        <f t="shared" si="16"/>
        <v>0</v>
      </c>
      <c r="AJ37" s="52"/>
      <c r="AK37" s="79">
        <f t="shared" si="17"/>
        <v>0</v>
      </c>
      <c r="AL37" s="52"/>
      <c r="AM37" s="79">
        <f t="shared" si="18"/>
        <v>0</v>
      </c>
      <c r="AN37" s="52"/>
      <c r="AO37" s="90">
        <f t="shared" si="19"/>
        <v>0</v>
      </c>
    </row>
    <row r="38" spans="1:41" ht="15.75" thickBot="1" x14ac:dyDescent="0.3">
      <c r="A38" s="27" t="s">
        <v>77</v>
      </c>
      <c r="B38" s="50">
        <v>0</v>
      </c>
      <c r="C38" s="79">
        <f t="shared" si="0"/>
        <v>0</v>
      </c>
      <c r="D38" s="52"/>
      <c r="E38" s="79">
        <f t="shared" si="1"/>
        <v>0</v>
      </c>
      <c r="F38" s="52"/>
      <c r="G38" s="79">
        <f t="shared" si="2"/>
        <v>0</v>
      </c>
      <c r="H38" s="52"/>
      <c r="I38" s="79">
        <f t="shared" si="3"/>
        <v>0</v>
      </c>
      <c r="J38" s="52"/>
      <c r="K38" s="90">
        <f t="shared" si="4"/>
        <v>0</v>
      </c>
      <c r="L38" s="56"/>
      <c r="M38" s="55">
        <f t="shared" si="5"/>
        <v>0</v>
      </c>
      <c r="N38" s="56"/>
      <c r="O38" s="55">
        <f t="shared" si="6"/>
        <v>0</v>
      </c>
      <c r="P38" s="56"/>
      <c r="Q38" s="55">
        <f t="shared" si="7"/>
        <v>0</v>
      </c>
      <c r="R38" s="56"/>
      <c r="S38" s="55">
        <f t="shared" si="8"/>
        <v>0</v>
      </c>
      <c r="T38" s="56"/>
      <c r="U38" s="57">
        <f t="shared" si="9"/>
        <v>0</v>
      </c>
      <c r="V38" s="54"/>
      <c r="W38" s="55">
        <f t="shared" si="10"/>
        <v>0</v>
      </c>
      <c r="X38" s="56"/>
      <c r="Y38" s="55">
        <f t="shared" si="11"/>
        <v>0</v>
      </c>
      <c r="Z38" s="56"/>
      <c r="AA38" s="55">
        <f t="shared" si="12"/>
        <v>0</v>
      </c>
      <c r="AB38" s="56"/>
      <c r="AC38" s="55">
        <f t="shared" si="13"/>
        <v>0</v>
      </c>
      <c r="AD38" s="56"/>
      <c r="AE38" s="55">
        <f t="shared" si="14"/>
        <v>0</v>
      </c>
      <c r="AF38" s="50">
        <v>0</v>
      </c>
      <c r="AG38" s="79">
        <f t="shared" si="15"/>
        <v>0</v>
      </c>
      <c r="AH38" s="52"/>
      <c r="AI38" s="79">
        <f t="shared" si="16"/>
        <v>0</v>
      </c>
      <c r="AJ38" s="52"/>
      <c r="AK38" s="79">
        <f t="shared" si="17"/>
        <v>0</v>
      </c>
      <c r="AL38" s="52"/>
      <c r="AM38" s="79">
        <f t="shared" si="18"/>
        <v>0</v>
      </c>
      <c r="AN38" s="52"/>
      <c r="AO38" s="90">
        <f t="shared" si="19"/>
        <v>0</v>
      </c>
    </row>
    <row r="39" spans="1:41" x14ac:dyDescent="0.25">
      <c r="A39" s="27" t="s">
        <v>78</v>
      </c>
      <c r="B39" s="50">
        <v>0</v>
      </c>
      <c r="C39" s="79">
        <f t="shared" si="0"/>
        <v>0</v>
      </c>
      <c r="D39" s="52"/>
      <c r="E39" s="79">
        <f t="shared" si="1"/>
        <v>0</v>
      </c>
      <c r="F39" s="52"/>
      <c r="G39" s="79">
        <f t="shared" si="2"/>
        <v>0</v>
      </c>
      <c r="H39" s="52"/>
      <c r="I39" s="79">
        <f t="shared" si="3"/>
        <v>0</v>
      </c>
      <c r="J39" s="52"/>
      <c r="K39" s="90">
        <f t="shared" si="4"/>
        <v>0</v>
      </c>
      <c r="L39" s="43"/>
      <c r="N39" s="43"/>
      <c r="P39" s="43"/>
      <c r="R39" s="43"/>
      <c r="T39" s="43"/>
      <c r="V39" s="43"/>
      <c r="X39" s="43"/>
      <c r="Z39" s="43"/>
      <c r="AB39" s="43"/>
      <c r="AD39" s="43"/>
      <c r="AF39" s="50">
        <v>0</v>
      </c>
      <c r="AG39" s="79">
        <f t="shared" si="15"/>
        <v>0</v>
      </c>
      <c r="AH39" s="52"/>
      <c r="AI39" s="79">
        <f t="shared" si="16"/>
        <v>0</v>
      </c>
      <c r="AJ39" s="52"/>
      <c r="AK39" s="79">
        <f t="shared" si="17"/>
        <v>0</v>
      </c>
      <c r="AL39" s="52"/>
      <c r="AM39" s="79">
        <f t="shared" si="18"/>
        <v>0</v>
      </c>
      <c r="AN39" s="52"/>
      <c r="AO39" s="90">
        <f t="shared" si="19"/>
        <v>0</v>
      </c>
    </row>
    <row r="40" spans="1:41" ht="15.75" thickBot="1" x14ac:dyDescent="0.3">
      <c r="A40" s="28" t="s">
        <v>79</v>
      </c>
      <c r="B40" s="50">
        <v>0</v>
      </c>
      <c r="C40" s="79">
        <f t="shared" si="0"/>
        <v>0</v>
      </c>
      <c r="D40" s="52"/>
      <c r="E40" s="79">
        <f t="shared" si="1"/>
        <v>0</v>
      </c>
      <c r="F40" s="52"/>
      <c r="G40" s="79">
        <f t="shared" si="2"/>
        <v>0</v>
      </c>
      <c r="H40" s="52"/>
      <c r="I40" s="79">
        <f t="shared" si="3"/>
        <v>0</v>
      </c>
      <c r="J40" s="52"/>
      <c r="K40" s="90">
        <f t="shared" si="4"/>
        <v>0</v>
      </c>
      <c r="P40" s="37">
        <v>54.316666666666698</v>
      </c>
      <c r="R40" s="37">
        <v>75.933333333333294</v>
      </c>
      <c r="Z40" s="37">
        <v>14.5</v>
      </c>
      <c r="AB40" s="37">
        <v>14.5</v>
      </c>
      <c r="AF40" s="50">
        <v>0</v>
      </c>
      <c r="AG40" s="79">
        <f t="shared" si="15"/>
        <v>0</v>
      </c>
      <c r="AH40" s="52"/>
      <c r="AI40" s="79">
        <f t="shared" si="16"/>
        <v>0</v>
      </c>
      <c r="AJ40" s="52"/>
      <c r="AK40" s="79">
        <f t="shared" si="17"/>
        <v>0</v>
      </c>
      <c r="AL40" s="52"/>
      <c r="AM40" s="79">
        <f t="shared" si="18"/>
        <v>0</v>
      </c>
      <c r="AN40" s="52"/>
      <c r="AO40" s="90">
        <f t="shared" si="19"/>
        <v>0</v>
      </c>
    </row>
    <row r="41" spans="1:41" ht="15.75" thickBot="1" x14ac:dyDescent="0.3">
      <c r="A41" s="28" t="s">
        <v>80</v>
      </c>
      <c r="B41" s="50">
        <v>0</v>
      </c>
      <c r="C41" s="79">
        <f t="shared" si="0"/>
        <v>0</v>
      </c>
      <c r="D41" s="52"/>
      <c r="E41" s="79">
        <f t="shared" si="1"/>
        <v>0</v>
      </c>
      <c r="F41" s="52"/>
      <c r="G41" s="79">
        <f t="shared" si="2"/>
        <v>0</v>
      </c>
      <c r="H41" s="52"/>
      <c r="I41" s="79">
        <f t="shared" si="3"/>
        <v>0</v>
      </c>
      <c r="J41" s="52"/>
      <c r="K41" s="90">
        <f t="shared" si="4"/>
        <v>0</v>
      </c>
      <c r="P41" s="37">
        <v>54.316666666666698</v>
      </c>
      <c r="R41" s="37">
        <v>75.933333333333294</v>
      </c>
      <c r="Z41" s="37">
        <v>14.5</v>
      </c>
      <c r="AB41" s="37">
        <v>14.5</v>
      </c>
      <c r="AF41" s="50">
        <v>0</v>
      </c>
      <c r="AG41" s="79">
        <f t="shared" si="15"/>
        <v>0</v>
      </c>
      <c r="AH41" s="52"/>
      <c r="AI41" s="79">
        <f t="shared" si="16"/>
        <v>0</v>
      </c>
      <c r="AJ41" s="52"/>
      <c r="AK41" s="79">
        <f t="shared" si="17"/>
        <v>0</v>
      </c>
      <c r="AL41" s="52"/>
      <c r="AM41" s="79">
        <f t="shared" si="18"/>
        <v>0</v>
      </c>
      <c r="AN41" s="52"/>
      <c r="AO41" s="90">
        <f t="shared" si="19"/>
        <v>0</v>
      </c>
    </row>
    <row r="42" spans="1:41" ht="15.75" thickBot="1" x14ac:dyDescent="0.3">
      <c r="A42" s="28" t="s">
        <v>227</v>
      </c>
      <c r="B42" s="54">
        <v>0</v>
      </c>
      <c r="C42" s="88">
        <f t="shared" si="0"/>
        <v>0</v>
      </c>
      <c r="D42" s="56"/>
      <c r="E42" s="88">
        <f t="shared" si="1"/>
        <v>0</v>
      </c>
      <c r="F42" s="56"/>
      <c r="G42" s="88">
        <f t="shared" si="2"/>
        <v>0</v>
      </c>
      <c r="H42" s="56"/>
      <c r="I42" s="88">
        <f t="shared" si="3"/>
        <v>0</v>
      </c>
      <c r="J42" s="56"/>
      <c r="K42" s="91">
        <f t="shared" si="4"/>
        <v>0</v>
      </c>
      <c r="AF42" s="54">
        <v>0</v>
      </c>
      <c r="AG42" s="88">
        <f t="shared" si="15"/>
        <v>0</v>
      </c>
      <c r="AH42" s="56"/>
      <c r="AI42" s="88">
        <f t="shared" si="16"/>
        <v>0</v>
      </c>
      <c r="AJ42" s="56"/>
      <c r="AK42" s="88">
        <f t="shared" si="17"/>
        <v>0</v>
      </c>
      <c r="AL42" s="56"/>
      <c r="AM42" s="88">
        <f t="shared" si="18"/>
        <v>0</v>
      </c>
      <c r="AN42" s="56"/>
      <c r="AO42" s="91">
        <f t="shared" si="19"/>
        <v>0</v>
      </c>
    </row>
    <row r="43" spans="1:41" x14ac:dyDescent="0.25">
      <c r="B43" s="77">
        <f>SUM(B4:B42)</f>
        <v>0.40624999999999994</v>
      </c>
      <c r="C43"/>
      <c r="D43" s="77">
        <f>SUM(D4:D42)</f>
        <v>0</v>
      </c>
      <c r="E43"/>
      <c r="F43" s="77">
        <f>SUM(F4:F42)</f>
        <v>0</v>
      </c>
      <c r="G43"/>
      <c r="H43" s="77">
        <f>SUM(H4:H42)</f>
        <v>0</v>
      </c>
      <c r="I43"/>
      <c r="J43" s="77">
        <f>SUM(J4:J42)</f>
        <v>0</v>
      </c>
      <c r="K43"/>
      <c r="AF43" s="77">
        <f>SUM(AF4:AF42)</f>
        <v>0.35694444444444456</v>
      </c>
      <c r="AG43"/>
      <c r="AH43" s="77">
        <f>SUM(AH4:AH42)</f>
        <v>0</v>
      </c>
      <c r="AI43"/>
      <c r="AJ43" s="77">
        <f>SUM(AJ4:AJ42)</f>
        <v>0</v>
      </c>
      <c r="AK43"/>
      <c r="AL43" s="77">
        <f>SUM(AL4:AL42)</f>
        <v>0</v>
      </c>
      <c r="AM43"/>
      <c r="AN43" s="77">
        <f>SUM(AN4:AN42)</f>
        <v>0</v>
      </c>
      <c r="AO43"/>
    </row>
    <row r="44" spans="1:41" x14ac:dyDescent="0.25">
      <c r="B44" s="37">
        <v>14.75</v>
      </c>
      <c r="AF44" s="37">
        <v>8.56666666666667</v>
      </c>
    </row>
    <row r="45" spans="1:41" x14ac:dyDescent="0.25">
      <c r="B45" s="37">
        <v>0</v>
      </c>
      <c r="AF45" s="37">
        <v>0</v>
      </c>
    </row>
  </sheetData>
  <mergeCells count="24">
    <mergeCell ref="X2:Y2"/>
    <mergeCell ref="B1:K1"/>
    <mergeCell ref="L1:U1"/>
    <mergeCell ref="V1:AE1"/>
    <mergeCell ref="AF1:AO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AL2:AM2"/>
    <mergeCell ref="AN2:AO2"/>
    <mergeCell ref="Z2:AA2"/>
    <mergeCell ref="AB2:AC2"/>
    <mergeCell ref="AD2:AE2"/>
    <mergeCell ref="AF2:AG2"/>
    <mergeCell ref="AH2:AI2"/>
    <mergeCell ref="AJ2:AK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45"/>
  <sheetViews>
    <sheetView zoomScale="50" zoomScaleNormal="50" workbookViewId="0">
      <selection activeCell="B2" sqref="B2:DB2"/>
    </sheetView>
  </sheetViews>
  <sheetFormatPr defaultRowHeight="15" x14ac:dyDescent="0.25"/>
  <cols>
    <col min="1" max="1" width="34.28515625" style="37" bestFit="1" customWidth="1"/>
    <col min="2" max="16384" width="9.140625" style="37"/>
  </cols>
  <sheetData>
    <row r="1" spans="1:11" ht="15.75" customHeight="1" thickBot="1" x14ac:dyDescent="0.3">
      <c r="B1" s="73" t="s">
        <v>35</v>
      </c>
      <c r="C1" s="68"/>
      <c r="D1" s="68"/>
      <c r="E1" s="68"/>
      <c r="F1" s="68"/>
      <c r="G1" s="68"/>
      <c r="H1" s="68"/>
      <c r="I1" s="68"/>
      <c r="J1" s="68"/>
      <c r="K1" s="69"/>
    </row>
    <row r="2" spans="1:11" x14ac:dyDescent="0.25">
      <c r="B2" s="65">
        <f ca="1">SunDates!$H1</f>
        <v>43134</v>
      </c>
      <c r="C2" s="66"/>
      <c r="D2" s="65">
        <f ca="1">SunDates!$H2</f>
        <v>43141</v>
      </c>
      <c r="E2" s="66"/>
      <c r="F2" s="65">
        <f ca="1">SunDates!$H3</f>
        <v>43148</v>
      </c>
      <c r="G2" s="66"/>
      <c r="H2" s="65">
        <f ca="1">SunDates!$H4</f>
        <v>43155</v>
      </c>
      <c r="I2" s="66"/>
      <c r="J2" s="65">
        <f ca="1">SunDates!$H5</f>
        <v>43159</v>
      </c>
      <c r="K2" s="66"/>
    </row>
    <row r="3" spans="1:11" ht="15.75" thickBot="1" x14ac:dyDescent="0.3">
      <c r="B3" s="85" t="s">
        <v>169</v>
      </c>
      <c r="C3" s="86" t="s">
        <v>170</v>
      </c>
      <c r="D3" s="86" t="s">
        <v>169</v>
      </c>
      <c r="E3" s="86" t="s">
        <v>170</v>
      </c>
      <c r="F3" s="86" t="s">
        <v>169</v>
      </c>
      <c r="G3" s="86" t="s">
        <v>170</v>
      </c>
      <c r="H3" s="86" t="s">
        <v>169</v>
      </c>
      <c r="I3" s="86" t="s">
        <v>170</v>
      </c>
      <c r="J3" s="86" t="s">
        <v>169</v>
      </c>
      <c r="K3" s="87" t="s">
        <v>170</v>
      </c>
    </row>
    <row r="4" spans="1:11" x14ac:dyDescent="0.25">
      <c r="A4" s="80" t="s">
        <v>223</v>
      </c>
      <c r="B4" s="46">
        <v>0</v>
      </c>
      <c r="C4" s="78">
        <f t="shared" ref="C4:C42" si="0">IFERROR(B4/$B$43,0)</f>
        <v>0</v>
      </c>
      <c r="D4" s="48"/>
      <c r="E4" s="78">
        <f t="shared" ref="E4:E42" si="1">IFERROR(D4/$B$43,0)</f>
        <v>0</v>
      </c>
      <c r="F4" s="48"/>
      <c r="G4" s="78">
        <f t="shared" ref="G4:G42" si="2">IFERROR(F4/$B$43,0)</f>
        <v>0</v>
      </c>
      <c r="H4" s="48"/>
      <c r="I4" s="78">
        <f t="shared" ref="I4:I42" si="3">IFERROR(H4/$B$43,0)</f>
        <v>0</v>
      </c>
      <c r="J4" s="48"/>
      <c r="K4" s="89">
        <f t="shared" ref="K4:K42" si="4">IFERROR(J4/$B$43,0)</f>
        <v>0</v>
      </c>
    </row>
    <row r="5" spans="1:11" x14ac:dyDescent="0.25">
      <c r="A5" s="81" t="s">
        <v>224</v>
      </c>
      <c r="B5" s="50">
        <v>1.0416666666666664E-2</v>
      </c>
      <c r="C5" s="79">
        <f t="shared" si="0"/>
        <v>3.2608695652173912E-2</v>
      </c>
      <c r="D5" s="52"/>
      <c r="E5" s="79">
        <f t="shared" si="1"/>
        <v>0</v>
      </c>
      <c r="F5" s="52"/>
      <c r="G5" s="79">
        <f t="shared" si="2"/>
        <v>0</v>
      </c>
      <c r="H5" s="52"/>
      <c r="I5" s="79">
        <f t="shared" si="3"/>
        <v>0</v>
      </c>
      <c r="J5" s="52"/>
      <c r="K5" s="90">
        <f t="shared" si="4"/>
        <v>0</v>
      </c>
    </row>
    <row r="6" spans="1:11" x14ac:dyDescent="0.25">
      <c r="A6" s="81" t="s">
        <v>225</v>
      </c>
      <c r="B6" s="50">
        <v>0</v>
      </c>
      <c r="C6" s="79">
        <f t="shared" si="0"/>
        <v>0</v>
      </c>
      <c r="D6" s="52"/>
      <c r="E6" s="79">
        <f t="shared" si="1"/>
        <v>0</v>
      </c>
      <c r="F6" s="52"/>
      <c r="G6" s="79">
        <f t="shared" si="2"/>
        <v>0</v>
      </c>
      <c r="H6" s="52"/>
      <c r="I6" s="79">
        <f t="shared" si="3"/>
        <v>0</v>
      </c>
      <c r="J6" s="52"/>
      <c r="K6" s="90">
        <f t="shared" si="4"/>
        <v>0</v>
      </c>
    </row>
    <row r="7" spans="1:11" x14ac:dyDescent="0.25">
      <c r="A7" s="81" t="s">
        <v>226</v>
      </c>
      <c r="B7" s="50">
        <v>0</v>
      </c>
      <c r="C7" s="79">
        <f t="shared" si="0"/>
        <v>0</v>
      </c>
      <c r="D7" s="52"/>
      <c r="E7" s="79">
        <f t="shared" si="1"/>
        <v>0</v>
      </c>
      <c r="F7" s="52"/>
      <c r="G7" s="79">
        <f t="shared" si="2"/>
        <v>0</v>
      </c>
      <c r="H7" s="52"/>
      <c r="I7" s="79">
        <f t="shared" si="3"/>
        <v>0</v>
      </c>
      <c r="J7" s="52"/>
      <c r="K7" s="90">
        <f t="shared" si="4"/>
        <v>0</v>
      </c>
    </row>
    <row r="8" spans="1:11" x14ac:dyDescent="0.25">
      <c r="A8" s="82" t="s">
        <v>63</v>
      </c>
      <c r="B8" s="50">
        <v>4.8611111111111077E-3</v>
      </c>
      <c r="C8" s="79">
        <f t="shared" si="0"/>
        <v>1.521739130434782E-2</v>
      </c>
      <c r="D8" s="52"/>
      <c r="E8" s="79">
        <f t="shared" si="1"/>
        <v>0</v>
      </c>
      <c r="F8" s="52"/>
      <c r="G8" s="79">
        <f t="shared" si="2"/>
        <v>0</v>
      </c>
      <c r="H8" s="52"/>
      <c r="I8" s="79">
        <f t="shared" si="3"/>
        <v>0</v>
      </c>
      <c r="J8" s="52"/>
      <c r="K8" s="90">
        <f t="shared" si="4"/>
        <v>0</v>
      </c>
    </row>
    <row r="9" spans="1:11" x14ac:dyDescent="0.25">
      <c r="A9" s="82" t="s">
        <v>64</v>
      </c>
      <c r="B9" s="50">
        <v>0</v>
      </c>
      <c r="C9" s="79">
        <f t="shared" si="0"/>
        <v>0</v>
      </c>
      <c r="D9" s="52"/>
      <c r="E9" s="79">
        <f t="shared" si="1"/>
        <v>0</v>
      </c>
      <c r="F9" s="52"/>
      <c r="G9" s="79">
        <f t="shared" si="2"/>
        <v>0</v>
      </c>
      <c r="H9" s="52"/>
      <c r="I9" s="79">
        <f t="shared" si="3"/>
        <v>0</v>
      </c>
      <c r="J9" s="52"/>
      <c r="K9" s="90">
        <f t="shared" si="4"/>
        <v>0</v>
      </c>
    </row>
    <row r="10" spans="1:11" x14ac:dyDescent="0.25">
      <c r="A10" s="82" t="s">
        <v>65</v>
      </c>
      <c r="B10" s="50">
        <v>0</v>
      </c>
      <c r="C10" s="79">
        <f t="shared" si="0"/>
        <v>0</v>
      </c>
      <c r="D10" s="52"/>
      <c r="E10" s="79">
        <f t="shared" si="1"/>
        <v>0</v>
      </c>
      <c r="F10" s="52"/>
      <c r="G10" s="79">
        <f t="shared" si="2"/>
        <v>0</v>
      </c>
      <c r="H10" s="52"/>
      <c r="I10" s="79">
        <f t="shared" si="3"/>
        <v>0</v>
      </c>
      <c r="J10" s="52"/>
      <c r="K10" s="90">
        <f t="shared" si="4"/>
        <v>0</v>
      </c>
    </row>
    <row r="11" spans="1:11" x14ac:dyDescent="0.25">
      <c r="A11" s="82" t="s">
        <v>66</v>
      </c>
      <c r="B11" s="50">
        <v>0</v>
      </c>
      <c r="C11" s="79">
        <f t="shared" si="0"/>
        <v>0</v>
      </c>
      <c r="D11" s="52"/>
      <c r="E11" s="79">
        <f t="shared" si="1"/>
        <v>0</v>
      </c>
      <c r="F11" s="52"/>
      <c r="G11" s="79">
        <f t="shared" si="2"/>
        <v>0</v>
      </c>
      <c r="H11" s="52"/>
      <c r="I11" s="79">
        <f t="shared" si="3"/>
        <v>0</v>
      </c>
      <c r="J11" s="52"/>
      <c r="K11" s="90">
        <f t="shared" si="4"/>
        <v>0</v>
      </c>
    </row>
    <row r="12" spans="1:11" x14ac:dyDescent="0.25">
      <c r="A12" s="82" t="s">
        <v>67</v>
      </c>
      <c r="B12" s="50">
        <v>0</v>
      </c>
      <c r="C12" s="79">
        <f t="shared" si="0"/>
        <v>0</v>
      </c>
      <c r="D12" s="52"/>
      <c r="E12" s="79">
        <f t="shared" si="1"/>
        <v>0</v>
      </c>
      <c r="F12" s="52"/>
      <c r="G12" s="79">
        <f t="shared" si="2"/>
        <v>0</v>
      </c>
      <c r="H12" s="52"/>
      <c r="I12" s="79">
        <f t="shared" si="3"/>
        <v>0</v>
      </c>
      <c r="J12" s="52"/>
      <c r="K12" s="90">
        <f t="shared" si="4"/>
        <v>0</v>
      </c>
    </row>
    <row r="13" spans="1:11" x14ac:dyDescent="0.25">
      <c r="A13" s="82" t="s">
        <v>68</v>
      </c>
      <c r="B13" s="50">
        <v>2.0833333333332149E-3</v>
      </c>
      <c r="C13" s="79">
        <f t="shared" si="0"/>
        <v>6.5217391304344136E-3</v>
      </c>
      <c r="D13" s="52"/>
      <c r="E13" s="79">
        <f t="shared" si="1"/>
        <v>0</v>
      </c>
      <c r="F13" s="52"/>
      <c r="G13" s="79">
        <f t="shared" si="2"/>
        <v>0</v>
      </c>
      <c r="H13" s="52"/>
      <c r="I13" s="79">
        <f t="shared" si="3"/>
        <v>0</v>
      </c>
      <c r="J13" s="52"/>
      <c r="K13" s="90">
        <f t="shared" si="4"/>
        <v>0</v>
      </c>
    </row>
    <row r="14" spans="1:11" x14ac:dyDescent="0.25">
      <c r="A14" s="82" t="s">
        <v>69</v>
      </c>
      <c r="B14" s="50">
        <v>0</v>
      </c>
      <c r="C14" s="79">
        <f t="shared" si="0"/>
        <v>0</v>
      </c>
      <c r="D14" s="52"/>
      <c r="E14" s="79">
        <f t="shared" si="1"/>
        <v>0</v>
      </c>
      <c r="F14" s="52"/>
      <c r="G14" s="79">
        <f t="shared" si="2"/>
        <v>0</v>
      </c>
      <c r="H14" s="52"/>
      <c r="I14" s="79">
        <f t="shared" si="3"/>
        <v>0</v>
      </c>
      <c r="J14" s="52"/>
      <c r="K14" s="90">
        <f t="shared" si="4"/>
        <v>0</v>
      </c>
    </row>
    <row r="15" spans="1:11" x14ac:dyDescent="0.25">
      <c r="A15" s="82" t="s">
        <v>131</v>
      </c>
      <c r="B15" s="50">
        <v>0</v>
      </c>
      <c r="C15" s="79">
        <f t="shared" si="0"/>
        <v>0</v>
      </c>
      <c r="D15" s="52"/>
      <c r="E15" s="79">
        <f t="shared" si="1"/>
        <v>0</v>
      </c>
      <c r="F15" s="52"/>
      <c r="G15" s="79">
        <f t="shared" si="2"/>
        <v>0</v>
      </c>
      <c r="H15" s="52"/>
      <c r="I15" s="79">
        <f t="shared" si="3"/>
        <v>0</v>
      </c>
      <c r="J15" s="52"/>
      <c r="K15" s="90">
        <f t="shared" si="4"/>
        <v>0</v>
      </c>
    </row>
    <row r="16" spans="1:11" x14ac:dyDescent="0.25">
      <c r="A16" s="82" t="s">
        <v>132</v>
      </c>
      <c r="B16" s="50">
        <v>1.8750000000000086E-2</v>
      </c>
      <c r="C16" s="79">
        <f t="shared" si="0"/>
        <v>5.8695652173913329E-2</v>
      </c>
      <c r="D16" s="52"/>
      <c r="E16" s="79">
        <f t="shared" si="1"/>
        <v>0</v>
      </c>
      <c r="F16" s="52"/>
      <c r="G16" s="79">
        <f t="shared" si="2"/>
        <v>0</v>
      </c>
      <c r="H16" s="52"/>
      <c r="I16" s="79">
        <f t="shared" si="3"/>
        <v>0</v>
      </c>
      <c r="J16" s="52"/>
      <c r="K16" s="90">
        <f t="shared" si="4"/>
        <v>0</v>
      </c>
    </row>
    <row r="17" spans="1:11" x14ac:dyDescent="0.25">
      <c r="A17" s="82" t="s">
        <v>133</v>
      </c>
      <c r="B17" s="50">
        <v>0</v>
      </c>
      <c r="C17" s="79">
        <f t="shared" si="0"/>
        <v>0</v>
      </c>
      <c r="D17" s="52"/>
      <c r="E17" s="79">
        <f t="shared" si="1"/>
        <v>0</v>
      </c>
      <c r="F17" s="52"/>
      <c r="G17" s="79">
        <f t="shared" si="2"/>
        <v>0</v>
      </c>
      <c r="H17" s="52"/>
      <c r="I17" s="79">
        <f t="shared" si="3"/>
        <v>0</v>
      </c>
      <c r="J17" s="52"/>
      <c r="K17" s="90">
        <f t="shared" si="4"/>
        <v>0</v>
      </c>
    </row>
    <row r="18" spans="1:11" x14ac:dyDescent="0.25">
      <c r="A18" s="82" t="s">
        <v>134</v>
      </c>
      <c r="B18" s="50">
        <v>0</v>
      </c>
      <c r="C18" s="79">
        <f t="shared" si="0"/>
        <v>0</v>
      </c>
      <c r="D18" s="52"/>
      <c r="E18" s="79">
        <f t="shared" si="1"/>
        <v>0</v>
      </c>
      <c r="F18" s="52"/>
      <c r="G18" s="79">
        <f t="shared" si="2"/>
        <v>0</v>
      </c>
      <c r="H18" s="52"/>
      <c r="I18" s="79">
        <f t="shared" si="3"/>
        <v>0</v>
      </c>
      <c r="J18" s="52"/>
      <c r="K18" s="90">
        <f t="shared" si="4"/>
        <v>0</v>
      </c>
    </row>
    <row r="19" spans="1:11" s="38" customFormat="1" x14ac:dyDescent="0.25">
      <c r="A19" s="82" t="s">
        <v>191</v>
      </c>
      <c r="B19" s="50">
        <v>0</v>
      </c>
      <c r="C19" s="79">
        <f t="shared" si="0"/>
        <v>0</v>
      </c>
      <c r="D19" s="52"/>
      <c r="E19" s="79">
        <f t="shared" si="1"/>
        <v>0</v>
      </c>
      <c r="F19" s="52"/>
      <c r="G19" s="79">
        <f t="shared" si="2"/>
        <v>0</v>
      </c>
      <c r="H19" s="52"/>
      <c r="I19" s="79">
        <f t="shared" si="3"/>
        <v>0</v>
      </c>
      <c r="J19" s="52"/>
      <c r="K19" s="90">
        <f t="shared" si="4"/>
        <v>0</v>
      </c>
    </row>
    <row r="20" spans="1:11" s="38" customFormat="1" x14ac:dyDescent="0.25">
      <c r="A20" s="82" t="s">
        <v>135</v>
      </c>
      <c r="B20" s="50">
        <v>0</v>
      </c>
      <c r="C20" s="79">
        <f t="shared" si="0"/>
        <v>0</v>
      </c>
      <c r="D20" s="52"/>
      <c r="E20" s="79">
        <f t="shared" si="1"/>
        <v>0</v>
      </c>
      <c r="F20" s="52"/>
      <c r="G20" s="79">
        <f t="shared" si="2"/>
        <v>0</v>
      </c>
      <c r="H20" s="52"/>
      <c r="I20" s="79">
        <f t="shared" si="3"/>
        <v>0</v>
      </c>
      <c r="J20" s="52"/>
      <c r="K20" s="90">
        <f t="shared" si="4"/>
        <v>0</v>
      </c>
    </row>
    <row r="21" spans="1:11" x14ac:dyDescent="0.25">
      <c r="A21" s="82" t="s">
        <v>136</v>
      </c>
      <c r="B21" s="50">
        <v>0</v>
      </c>
      <c r="C21" s="79">
        <f t="shared" si="0"/>
        <v>0</v>
      </c>
      <c r="D21" s="52"/>
      <c r="E21" s="79">
        <f t="shared" si="1"/>
        <v>0</v>
      </c>
      <c r="F21" s="52"/>
      <c r="G21" s="79">
        <f t="shared" si="2"/>
        <v>0</v>
      </c>
      <c r="H21" s="52"/>
      <c r="I21" s="79">
        <f t="shared" si="3"/>
        <v>0</v>
      </c>
      <c r="J21" s="52"/>
      <c r="K21" s="90">
        <f t="shared" si="4"/>
        <v>0</v>
      </c>
    </row>
    <row r="22" spans="1:11" x14ac:dyDescent="0.25">
      <c r="A22" s="82" t="s">
        <v>137</v>
      </c>
      <c r="B22" s="50">
        <v>0.22013888888888883</v>
      </c>
      <c r="C22" s="79">
        <f t="shared" si="0"/>
        <v>0.68913043478260871</v>
      </c>
      <c r="D22" s="52"/>
      <c r="E22" s="79">
        <f t="shared" si="1"/>
        <v>0</v>
      </c>
      <c r="F22" s="52"/>
      <c r="G22" s="79">
        <f t="shared" si="2"/>
        <v>0</v>
      </c>
      <c r="H22" s="52"/>
      <c r="I22" s="79">
        <f t="shared" si="3"/>
        <v>0</v>
      </c>
      <c r="J22" s="52"/>
      <c r="K22" s="90">
        <f t="shared" si="4"/>
        <v>0</v>
      </c>
    </row>
    <row r="23" spans="1:11" x14ac:dyDescent="0.25">
      <c r="A23" s="82" t="s">
        <v>138</v>
      </c>
      <c r="B23" s="50">
        <v>0</v>
      </c>
      <c r="C23" s="79">
        <f t="shared" si="0"/>
        <v>0</v>
      </c>
      <c r="D23" s="52"/>
      <c r="E23" s="79">
        <f t="shared" si="1"/>
        <v>0</v>
      </c>
      <c r="F23" s="52"/>
      <c r="G23" s="79">
        <f t="shared" si="2"/>
        <v>0</v>
      </c>
      <c r="H23" s="52"/>
      <c r="I23" s="79">
        <f t="shared" si="3"/>
        <v>0</v>
      </c>
      <c r="J23" s="52"/>
      <c r="K23" s="90">
        <f t="shared" si="4"/>
        <v>0</v>
      </c>
    </row>
    <row r="24" spans="1:11" x14ac:dyDescent="0.25">
      <c r="A24" s="82" t="s">
        <v>139</v>
      </c>
      <c r="B24" s="50">
        <v>0</v>
      </c>
      <c r="C24" s="79">
        <f t="shared" si="0"/>
        <v>0</v>
      </c>
      <c r="D24" s="52"/>
      <c r="E24" s="79">
        <f t="shared" si="1"/>
        <v>0</v>
      </c>
      <c r="F24" s="52"/>
      <c r="G24" s="79">
        <f t="shared" si="2"/>
        <v>0</v>
      </c>
      <c r="H24" s="52"/>
      <c r="I24" s="79">
        <f t="shared" si="3"/>
        <v>0</v>
      </c>
      <c r="J24" s="52"/>
      <c r="K24" s="90">
        <f t="shared" si="4"/>
        <v>0</v>
      </c>
    </row>
    <row r="25" spans="1:11" x14ac:dyDescent="0.25">
      <c r="A25" s="82" t="s">
        <v>140</v>
      </c>
      <c r="B25" s="50">
        <v>0</v>
      </c>
      <c r="C25" s="79">
        <f t="shared" si="0"/>
        <v>0</v>
      </c>
      <c r="D25" s="52"/>
      <c r="E25" s="79">
        <f t="shared" si="1"/>
        <v>0</v>
      </c>
      <c r="F25" s="52"/>
      <c r="G25" s="79">
        <f t="shared" si="2"/>
        <v>0</v>
      </c>
      <c r="H25" s="52"/>
      <c r="I25" s="79">
        <f t="shared" si="3"/>
        <v>0</v>
      </c>
      <c r="J25" s="52"/>
      <c r="K25" s="90">
        <f t="shared" si="4"/>
        <v>0</v>
      </c>
    </row>
    <row r="26" spans="1:11" x14ac:dyDescent="0.25">
      <c r="A26" s="82" t="s">
        <v>141</v>
      </c>
      <c r="B26" s="50">
        <v>6.9444444444445308E-3</v>
      </c>
      <c r="C26" s="79">
        <f t="shared" si="0"/>
        <v>2.1739130434782886E-2</v>
      </c>
      <c r="D26" s="52"/>
      <c r="E26" s="79">
        <f t="shared" si="1"/>
        <v>0</v>
      </c>
      <c r="F26" s="52"/>
      <c r="G26" s="79">
        <f t="shared" si="2"/>
        <v>0</v>
      </c>
      <c r="H26" s="52"/>
      <c r="I26" s="79">
        <f t="shared" si="3"/>
        <v>0</v>
      </c>
      <c r="J26" s="52"/>
      <c r="K26" s="90">
        <f t="shared" si="4"/>
        <v>0</v>
      </c>
    </row>
    <row r="27" spans="1:11" x14ac:dyDescent="0.25">
      <c r="A27" s="82" t="s">
        <v>142</v>
      </c>
      <c r="B27" s="50">
        <v>0</v>
      </c>
      <c r="C27" s="79">
        <f t="shared" si="0"/>
        <v>0</v>
      </c>
      <c r="D27" s="52"/>
      <c r="E27" s="79">
        <f t="shared" si="1"/>
        <v>0</v>
      </c>
      <c r="F27" s="52"/>
      <c r="G27" s="79">
        <f t="shared" si="2"/>
        <v>0</v>
      </c>
      <c r="H27" s="52"/>
      <c r="I27" s="79">
        <f t="shared" si="3"/>
        <v>0</v>
      </c>
      <c r="J27" s="52"/>
      <c r="K27" s="90">
        <f t="shared" si="4"/>
        <v>0</v>
      </c>
    </row>
    <row r="28" spans="1:11" x14ac:dyDescent="0.25">
      <c r="A28" s="82" t="s">
        <v>143</v>
      </c>
      <c r="B28" s="50">
        <v>0</v>
      </c>
      <c r="C28" s="79">
        <f t="shared" si="0"/>
        <v>0</v>
      </c>
      <c r="D28" s="52"/>
      <c r="E28" s="79">
        <f t="shared" si="1"/>
        <v>0</v>
      </c>
      <c r="F28" s="52"/>
      <c r="G28" s="79">
        <f t="shared" si="2"/>
        <v>0</v>
      </c>
      <c r="H28" s="52"/>
      <c r="I28" s="79">
        <f t="shared" si="3"/>
        <v>0</v>
      </c>
      <c r="J28" s="52"/>
      <c r="K28" s="90">
        <f t="shared" si="4"/>
        <v>0</v>
      </c>
    </row>
    <row r="29" spans="1:11" x14ac:dyDescent="0.25">
      <c r="A29" s="82" t="s">
        <v>192</v>
      </c>
      <c r="B29" s="50">
        <v>0</v>
      </c>
      <c r="C29" s="79">
        <f t="shared" si="0"/>
        <v>0</v>
      </c>
      <c r="D29" s="52"/>
      <c r="E29" s="79">
        <f t="shared" si="1"/>
        <v>0</v>
      </c>
      <c r="F29" s="52"/>
      <c r="G29" s="79">
        <f t="shared" si="2"/>
        <v>0</v>
      </c>
      <c r="H29" s="52"/>
      <c r="I29" s="79">
        <f t="shared" si="3"/>
        <v>0</v>
      </c>
      <c r="J29" s="52"/>
      <c r="K29" s="90">
        <f t="shared" si="4"/>
        <v>0</v>
      </c>
    </row>
    <row r="30" spans="1:11" x14ac:dyDescent="0.25">
      <c r="A30" s="82" t="s">
        <v>144</v>
      </c>
      <c r="B30" s="50">
        <v>0</v>
      </c>
      <c r="C30" s="79">
        <f t="shared" si="0"/>
        <v>0</v>
      </c>
      <c r="D30" s="52"/>
      <c r="E30" s="79">
        <f t="shared" si="1"/>
        <v>0</v>
      </c>
      <c r="F30" s="52"/>
      <c r="G30" s="79">
        <f t="shared" si="2"/>
        <v>0</v>
      </c>
      <c r="H30" s="52"/>
      <c r="I30" s="79">
        <f t="shared" si="3"/>
        <v>0</v>
      </c>
      <c r="J30" s="52"/>
      <c r="K30" s="90">
        <f t="shared" si="4"/>
        <v>0</v>
      </c>
    </row>
    <row r="31" spans="1:11" x14ac:dyDescent="0.25">
      <c r="A31" s="82" t="s">
        <v>145</v>
      </c>
      <c r="B31" s="50">
        <v>0</v>
      </c>
      <c r="C31" s="79">
        <f t="shared" si="0"/>
        <v>0</v>
      </c>
      <c r="D31" s="52"/>
      <c r="E31" s="79">
        <f t="shared" si="1"/>
        <v>0</v>
      </c>
      <c r="F31" s="52"/>
      <c r="G31" s="79">
        <f t="shared" si="2"/>
        <v>0</v>
      </c>
      <c r="H31" s="52"/>
      <c r="I31" s="79">
        <f t="shared" si="3"/>
        <v>0</v>
      </c>
      <c r="J31" s="52"/>
      <c r="K31" s="90">
        <f t="shared" si="4"/>
        <v>0</v>
      </c>
    </row>
    <row r="32" spans="1:11" x14ac:dyDescent="0.25">
      <c r="A32" s="82" t="s">
        <v>146</v>
      </c>
      <c r="B32" s="50">
        <v>0</v>
      </c>
      <c r="C32" s="79">
        <f t="shared" si="0"/>
        <v>0</v>
      </c>
      <c r="D32" s="52"/>
      <c r="E32" s="79">
        <f t="shared" si="1"/>
        <v>0</v>
      </c>
      <c r="F32" s="52"/>
      <c r="G32" s="79">
        <f t="shared" si="2"/>
        <v>0</v>
      </c>
      <c r="H32" s="52"/>
      <c r="I32" s="79">
        <f t="shared" si="3"/>
        <v>0</v>
      </c>
      <c r="J32" s="52"/>
      <c r="K32" s="90">
        <f t="shared" si="4"/>
        <v>0</v>
      </c>
    </row>
    <row r="33" spans="1:11" x14ac:dyDescent="0.25">
      <c r="A33" s="83" t="s">
        <v>72</v>
      </c>
      <c r="B33" s="50">
        <v>0</v>
      </c>
      <c r="C33" s="79">
        <f t="shared" si="0"/>
        <v>0</v>
      </c>
      <c r="D33" s="52"/>
      <c r="E33" s="79">
        <f t="shared" si="1"/>
        <v>0</v>
      </c>
      <c r="F33" s="52"/>
      <c r="G33" s="79">
        <f t="shared" si="2"/>
        <v>0</v>
      </c>
      <c r="H33" s="52"/>
      <c r="I33" s="79">
        <f t="shared" si="3"/>
        <v>0</v>
      </c>
      <c r="J33" s="52"/>
      <c r="K33" s="90">
        <f t="shared" si="4"/>
        <v>0</v>
      </c>
    </row>
    <row r="34" spans="1:11" x14ac:dyDescent="0.25">
      <c r="A34" s="83" t="s">
        <v>73</v>
      </c>
      <c r="B34" s="50">
        <v>0</v>
      </c>
      <c r="C34" s="79">
        <f t="shared" si="0"/>
        <v>0</v>
      </c>
      <c r="D34" s="52"/>
      <c r="E34" s="79">
        <f t="shared" si="1"/>
        <v>0</v>
      </c>
      <c r="F34" s="52"/>
      <c r="G34" s="79">
        <f t="shared" si="2"/>
        <v>0</v>
      </c>
      <c r="H34" s="52"/>
      <c r="I34" s="79">
        <f t="shared" si="3"/>
        <v>0</v>
      </c>
      <c r="J34" s="52"/>
      <c r="K34" s="90">
        <f t="shared" si="4"/>
        <v>0</v>
      </c>
    </row>
    <row r="35" spans="1:11" x14ac:dyDescent="0.25">
      <c r="A35" s="83" t="s">
        <v>74</v>
      </c>
      <c r="B35" s="50">
        <v>0</v>
      </c>
      <c r="C35" s="79">
        <f t="shared" si="0"/>
        <v>0</v>
      </c>
      <c r="D35" s="52"/>
      <c r="E35" s="79">
        <f t="shared" si="1"/>
        <v>0</v>
      </c>
      <c r="F35" s="52"/>
      <c r="G35" s="79">
        <f t="shared" si="2"/>
        <v>0</v>
      </c>
      <c r="H35" s="52"/>
      <c r="I35" s="79">
        <f t="shared" si="3"/>
        <v>0</v>
      </c>
      <c r="J35" s="52"/>
      <c r="K35" s="90">
        <f t="shared" si="4"/>
        <v>0</v>
      </c>
    </row>
    <row r="36" spans="1:11" x14ac:dyDescent="0.25">
      <c r="A36" s="83" t="s">
        <v>75</v>
      </c>
      <c r="B36" s="50">
        <v>0</v>
      </c>
      <c r="C36" s="79">
        <f t="shared" si="0"/>
        <v>0</v>
      </c>
      <c r="D36" s="52"/>
      <c r="E36" s="79">
        <f t="shared" si="1"/>
        <v>0</v>
      </c>
      <c r="F36" s="52"/>
      <c r="G36" s="79">
        <f t="shared" si="2"/>
        <v>0</v>
      </c>
      <c r="H36" s="52"/>
      <c r="I36" s="79">
        <f t="shared" si="3"/>
        <v>0</v>
      </c>
      <c r="J36" s="52"/>
      <c r="K36" s="90">
        <f t="shared" si="4"/>
        <v>0</v>
      </c>
    </row>
    <row r="37" spans="1:11" x14ac:dyDescent="0.25">
      <c r="A37" s="83" t="s">
        <v>76</v>
      </c>
      <c r="B37" s="50">
        <v>0</v>
      </c>
      <c r="C37" s="79">
        <f t="shared" si="0"/>
        <v>0</v>
      </c>
      <c r="D37" s="52"/>
      <c r="E37" s="79">
        <f t="shared" si="1"/>
        <v>0</v>
      </c>
      <c r="F37" s="52"/>
      <c r="G37" s="79">
        <f t="shared" si="2"/>
        <v>0</v>
      </c>
      <c r="H37" s="52"/>
      <c r="I37" s="79">
        <f t="shared" si="3"/>
        <v>0</v>
      </c>
      <c r="J37" s="52"/>
      <c r="K37" s="90">
        <f t="shared" si="4"/>
        <v>0</v>
      </c>
    </row>
    <row r="38" spans="1:11" x14ac:dyDescent="0.25">
      <c r="A38" s="83" t="s">
        <v>77</v>
      </c>
      <c r="B38" s="50">
        <v>3.4722222222222231E-2</v>
      </c>
      <c r="C38" s="79">
        <f t="shared" si="0"/>
        <v>0.1086956521739131</v>
      </c>
      <c r="D38" s="52"/>
      <c r="E38" s="79">
        <f t="shared" si="1"/>
        <v>0</v>
      </c>
      <c r="F38" s="52"/>
      <c r="G38" s="79">
        <f t="shared" si="2"/>
        <v>0</v>
      </c>
      <c r="H38" s="52"/>
      <c r="I38" s="79">
        <f t="shared" si="3"/>
        <v>0</v>
      </c>
      <c r="J38" s="52"/>
      <c r="K38" s="90">
        <f t="shared" si="4"/>
        <v>0</v>
      </c>
    </row>
    <row r="39" spans="1:11" x14ac:dyDescent="0.25">
      <c r="A39" s="83" t="s">
        <v>78</v>
      </c>
      <c r="B39" s="50">
        <v>0</v>
      </c>
      <c r="C39" s="79">
        <f t="shared" si="0"/>
        <v>0</v>
      </c>
      <c r="D39" s="52"/>
      <c r="E39" s="79">
        <f t="shared" si="1"/>
        <v>0</v>
      </c>
      <c r="F39" s="52"/>
      <c r="G39" s="79">
        <f t="shared" si="2"/>
        <v>0</v>
      </c>
      <c r="H39" s="52"/>
      <c r="I39" s="79">
        <f t="shared" si="3"/>
        <v>0</v>
      </c>
      <c r="J39" s="52"/>
      <c r="K39" s="90">
        <f t="shared" si="4"/>
        <v>0</v>
      </c>
    </row>
    <row r="40" spans="1:11" ht="15.75" thickBot="1" x14ac:dyDescent="0.3">
      <c r="A40" s="84" t="s">
        <v>79</v>
      </c>
      <c r="B40" s="50">
        <v>0</v>
      </c>
      <c r="C40" s="79">
        <f t="shared" si="0"/>
        <v>0</v>
      </c>
      <c r="D40" s="52"/>
      <c r="E40" s="79">
        <f t="shared" si="1"/>
        <v>0</v>
      </c>
      <c r="F40" s="52"/>
      <c r="G40" s="79">
        <f t="shared" si="2"/>
        <v>0</v>
      </c>
      <c r="H40" s="52"/>
      <c r="I40" s="79">
        <f t="shared" si="3"/>
        <v>0</v>
      </c>
      <c r="J40" s="52"/>
      <c r="K40" s="90">
        <f t="shared" si="4"/>
        <v>0</v>
      </c>
    </row>
    <row r="41" spans="1:11" ht="15.75" thickBot="1" x14ac:dyDescent="0.3">
      <c r="A41" s="84" t="s">
        <v>80</v>
      </c>
      <c r="B41" s="50">
        <v>2.1527777777777701E-2</v>
      </c>
      <c r="C41" s="79">
        <f t="shared" si="0"/>
        <v>6.7391304347825864E-2</v>
      </c>
      <c r="D41" s="52"/>
      <c r="E41" s="79">
        <f t="shared" si="1"/>
        <v>0</v>
      </c>
      <c r="F41" s="52"/>
      <c r="G41" s="79">
        <f t="shared" si="2"/>
        <v>0</v>
      </c>
      <c r="H41" s="52"/>
      <c r="I41" s="79">
        <f t="shared" si="3"/>
        <v>0</v>
      </c>
      <c r="J41" s="52"/>
      <c r="K41" s="90">
        <f t="shared" si="4"/>
        <v>0</v>
      </c>
    </row>
    <row r="42" spans="1:11" ht="15.75" thickBot="1" x14ac:dyDescent="0.3">
      <c r="A42" s="84" t="s">
        <v>227</v>
      </c>
      <c r="B42" s="54">
        <v>0</v>
      </c>
      <c r="C42" s="88">
        <f t="shared" si="0"/>
        <v>0</v>
      </c>
      <c r="D42" s="56"/>
      <c r="E42" s="88">
        <f t="shared" si="1"/>
        <v>0</v>
      </c>
      <c r="F42" s="56"/>
      <c r="G42" s="88">
        <f t="shared" si="2"/>
        <v>0</v>
      </c>
      <c r="H42" s="56"/>
      <c r="I42" s="88">
        <f t="shared" si="3"/>
        <v>0</v>
      </c>
      <c r="J42" s="56"/>
      <c r="K42" s="91">
        <f t="shared" si="4"/>
        <v>0</v>
      </c>
    </row>
    <row r="43" spans="1:11" x14ac:dyDescent="0.25">
      <c r="B43" s="77">
        <f>SUM(B4:B42)</f>
        <v>0.31944444444444436</v>
      </c>
      <c r="C43"/>
      <c r="D43" s="77">
        <f>SUM(D4:D42)</f>
        <v>0</v>
      </c>
      <c r="E43"/>
      <c r="F43" s="77">
        <f>SUM(F4:F42)</f>
        <v>0</v>
      </c>
      <c r="G43"/>
      <c r="H43" s="77">
        <f>SUM(H4:H42)</f>
        <v>0</v>
      </c>
      <c r="I43"/>
      <c r="J43" s="77">
        <f>SUM(J4:J42)</f>
        <v>0</v>
      </c>
      <c r="K43"/>
    </row>
    <row r="44" spans="1:11" x14ac:dyDescent="0.25">
      <c r="B44" s="37">
        <v>7.6666666666666599</v>
      </c>
    </row>
    <row r="45" spans="1:11" x14ac:dyDescent="0.25">
      <c r="B45" s="37">
        <v>0</v>
      </c>
    </row>
  </sheetData>
  <mergeCells count="6">
    <mergeCell ref="B1:K1"/>
    <mergeCell ref="B2:C2"/>
    <mergeCell ref="D2:E2"/>
    <mergeCell ref="F2:G2"/>
    <mergeCell ref="H2:I2"/>
    <mergeCell ref="J2:K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O47"/>
  <sheetViews>
    <sheetView zoomScale="50" zoomScaleNormal="50" workbookViewId="0">
      <selection activeCell="B2" sqref="B2:DB2"/>
    </sheetView>
  </sheetViews>
  <sheetFormatPr defaultRowHeight="15" x14ac:dyDescent="0.25"/>
  <cols>
    <col min="1" max="1" width="34.28515625" style="37" bestFit="1" customWidth="1"/>
    <col min="2" max="2" width="10.140625" style="37" customWidth="1"/>
    <col min="3" max="5" width="9.140625" style="37"/>
    <col min="6" max="6" width="11" style="37" bestFit="1" customWidth="1"/>
    <col min="7" max="7" width="9.140625" style="37"/>
    <col min="8" max="8" width="9.85546875" style="37" customWidth="1"/>
    <col min="9" max="37" width="9.140625" style="37"/>
    <col min="38" max="38" width="10.85546875" style="37" customWidth="1"/>
    <col min="39" max="16384" width="9.140625" style="37"/>
  </cols>
  <sheetData>
    <row r="1" spans="1:41" ht="15.75" customHeight="1" thickBot="1" x14ac:dyDescent="0.3">
      <c r="B1" s="73" t="s">
        <v>174</v>
      </c>
      <c r="C1" s="68"/>
      <c r="D1" s="68"/>
      <c r="E1" s="68"/>
      <c r="F1" s="68"/>
      <c r="G1" s="68"/>
      <c r="H1" s="68"/>
      <c r="I1" s="68"/>
      <c r="J1" s="68"/>
      <c r="K1" s="69"/>
      <c r="L1" s="73" t="s">
        <v>19</v>
      </c>
      <c r="M1" s="68"/>
      <c r="N1" s="68"/>
      <c r="O1" s="68"/>
      <c r="P1" s="68"/>
      <c r="Q1" s="68"/>
      <c r="R1" s="68"/>
      <c r="S1" s="68"/>
      <c r="T1" s="68"/>
      <c r="U1" s="69"/>
      <c r="V1" s="73" t="s">
        <v>175</v>
      </c>
      <c r="W1" s="68"/>
      <c r="X1" s="68"/>
      <c r="Y1" s="68"/>
      <c r="Z1" s="68"/>
      <c r="AA1" s="68"/>
      <c r="AB1" s="68"/>
      <c r="AC1" s="68"/>
      <c r="AD1" s="68"/>
      <c r="AE1" s="69"/>
      <c r="AF1" s="73" t="s">
        <v>190</v>
      </c>
      <c r="AG1" s="68"/>
      <c r="AH1" s="68"/>
      <c r="AI1" s="68"/>
      <c r="AJ1" s="68"/>
      <c r="AK1" s="68"/>
      <c r="AL1" s="68"/>
      <c r="AM1" s="68"/>
      <c r="AN1" s="68"/>
      <c r="AO1" s="69"/>
    </row>
    <row r="2" spans="1:41" x14ac:dyDescent="0.25">
      <c r="B2" s="65">
        <f ca="1">SunDates!$H1</f>
        <v>43134</v>
      </c>
      <c r="C2" s="66"/>
      <c r="D2" s="65">
        <f ca="1">SunDates!$H2</f>
        <v>43141</v>
      </c>
      <c r="E2" s="66"/>
      <c r="F2" s="65">
        <f ca="1">SunDates!$H3</f>
        <v>43148</v>
      </c>
      <c r="G2" s="66"/>
      <c r="H2" s="65">
        <f ca="1">SunDates!$H4</f>
        <v>43155</v>
      </c>
      <c r="I2" s="66"/>
      <c r="J2" s="65">
        <f ca="1">SunDates!$H5</f>
        <v>43159</v>
      </c>
      <c r="K2" s="66"/>
      <c r="L2" s="65">
        <f ca="1">SunDates!$H1</f>
        <v>43134</v>
      </c>
      <c r="M2" s="66"/>
      <c r="N2" s="65">
        <f ca="1">SunDates!$H2</f>
        <v>43141</v>
      </c>
      <c r="O2" s="66"/>
      <c r="P2" s="65">
        <f ca="1">SunDates!$H3</f>
        <v>43148</v>
      </c>
      <c r="Q2" s="66"/>
      <c r="R2" s="65">
        <f ca="1">SunDates!$H4</f>
        <v>43155</v>
      </c>
      <c r="S2" s="66"/>
      <c r="T2" s="65">
        <f ca="1">SunDates!$H5</f>
        <v>43159</v>
      </c>
      <c r="U2" s="66"/>
      <c r="V2" s="65">
        <f ca="1">SunDates!$H1</f>
        <v>43134</v>
      </c>
      <c r="W2" s="66"/>
      <c r="X2" s="65">
        <f ca="1">SunDates!$H2</f>
        <v>43141</v>
      </c>
      <c r="Y2" s="66"/>
      <c r="Z2" s="65">
        <f ca="1">SunDates!$H3</f>
        <v>43148</v>
      </c>
      <c r="AA2" s="66"/>
      <c r="AB2" s="65">
        <f ca="1">SunDates!$H4</f>
        <v>43155</v>
      </c>
      <c r="AC2" s="66"/>
      <c r="AD2" s="65">
        <f ca="1">SunDates!$H5</f>
        <v>43159</v>
      </c>
      <c r="AE2" s="66"/>
      <c r="AF2" s="65">
        <f ca="1">SunDates!$H1</f>
        <v>43134</v>
      </c>
      <c r="AG2" s="66"/>
      <c r="AH2" s="65">
        <f ca="1">SunDates!$H2</f>
        <v>43141</v>
      </c>
      <c r="AI2" s="66"/>
      <c r="AJ2" s="65">
        <f ca="1">SunDates!$H3</f>
        <v>43148</v>
      </c>
      <c r="AK2" s="66"/>
      <c r="AL2" s="65">
        <f ca="1">SunDates!$H4</f>
        <v>43155</v>
      </c>
      <c r="AM2" s="66"/>
      <c r="AN2" s="65">
        <f ca="1">SunDates!$H5</f>
        <v>43159</v>
      </c>
      <c r="AO2" s="66"/>
    </row>
    <row r="3" spans="1:41" ht="15.75" thickBot="1" x14ac:dyDescent="0.3">
      <c r="B3" s="85" t="s">
        <v>169</v>
      </c>
      <c r="C3" s="86" t="s">
        <v>170</v>
      </c>
      <c r="D3" s="86" t="s">
        <v>169</v>
      </c>
      <c r="E3" s="86" t="s">
        <v>170</v>
      </c>
      <c r="F3" s="86" t="s">
        <v>169</v>
      </c>
      <c r="G3" s="86" t="s">
        <v>170</v>
      </c>
      <c r="H3" s="86" t="s">
        <v>169</v>
      </c>
      <c r="I3" s="86" t="s">
        <v>170</v>
      </c>
      <c r="J3" s="86" t="s">
        <v>169</v>
      </c>
      <c r="K3" s="87" t="s">
        <v>170</v>
      </c>
      <c r="L3" s="85" t="s">
        <v>169</v>
      </c>
      <c r="M3" s="86" t="s">
        <v>170</v>
      </c>
      <c r="N3" s="86" t="s">
        <v>169</v>
      </c>
      <c r="O3" s="86" t="s">
        <v>170</v>
      </c>
      <c r="P3" s="86" t="s">
        <v>169</v>
      </c>
      <c r="Q3" s="86" t="s">
        <v>170</v>
      </c>
      <c r="R3" s="86" t="s">
        <v>169</v>
      </c>
      <c r="S3" s="86" t="s">
        <v>170</v>
      </c>
      <c r="T3" s="86" t="s">
        <v>169</v>
      </c>
      <c r="U3" s="87" t="s">
        <v>170</v>
      </c>
      <c r="V3" s="40" t="s">
        <v>169</v>
      </c>
      <c r="W3" s="41" t="s">
        <v>170</v>
      </c>
      <c r="X3" s="41" t="s">
        <v>169</v>
      </c>
      <c r="Y3" s="41" t="s">
        <v>170</v>
      </c>
      <c r="Z3" s="41" t="s">
        <v>169</v>
      </c>
      <c r="AA3" s="41" t="s">
        <v>170</v>
      </c>
      <c r="AB3" s="41" t="s">
        <v>169</v>
      </c>
      <c r="AC3" s="41" t="s">
        <v>170</v>
      </c>
      <c r="AD3" s="41" t="s">
        <v>169</v>
      </c>
      <c r="AE3" s="42" t="s">
        <v>170</v>
      </c>
      <c r="AF3" s="40" t="s">
        <v>169</v>
      </c>
      <c r="AG3" s="41" t="s">
        <v>170</v>
      </c>
      <c r="AH3" s="41" t="s">
        <v>169</v>
      </c>
      <c r="AI3" s="41" t="s">
        <v>170</v>
      </c>
      <c r="AJ3" s="41" t="s">
        <v>169</v>
      </c>
      <c r="AK3" s="41" t="s">
        <v>170</v>
      </c>
      <c r="AL3" s="41" t="s">
        <v>169</v>
      </c>
      <c r="AM3" s="41" t="s">
        <v>170</v>
      </c>
      <c r="AN3" s="41" t="s">
        <v>169</v>
      </c>
      <c r="AO3" s="42" t="s">
        <v>170</v>
      </c>
    </row>
    <row r="4" spans="1:41" x14ac:dyDescent="0.25">
      <c r="A4" s="25" t="s">
        <v>223</v>
      </c>
      <c r="B4" s="46">
        <v>0</v>
      </c>
      <c r="C4" s="78">
        <f t="shared" ref="C4:C42" si="0">IFERROR(B4/$B$43,0)</f>
        <v>0</v>
      </c>
      <c r="D4" s="48"/>
      <c r="E4" s="78">
        <f t="shared" ref="E4:E42" si="1">IFERROR(D4/$B$43,0)</f>
        <v>0</v>
      </c>
      <c r="F4" s="48"/>
      <c r="G4" s="78">
        <f t="shared" ref="G4:G42" si="2">IFERROR(F4/$B$43,0)</f>
        <v>0</v>
      </c>
      <c r="H4" s="48"/>
      <c r="I4" s="78">
        <f t="shared" ref="I4:I42" si="3">IFERROR(H4/$B$43,0)</f>
        <v>0</v>
      </c>
      <c r="J4" s="48"/>
      <c r="K4" s="78">
        <f t="shared" ref="K4:K42" si="4">IFERROR(J4/$B$43,0)</f>
        <v>0</v>
      </c>
      <c r="L4" s="46">
        <v>0</v>
      </c>
      <c r="M4" s="78">
        <f t="shared" ref="M4:M42" si="5">IFERROR(L4/$L$43,0)</f>
        <v>0</v>
      </c>
      <c r="N4" s="48"/>
      <c r="O4" s="78">
        <f t="shared" ref="O4:O42" si="6">IFERROR(N4/$L$43,0)</f>
        <v>0</v>
      </c>
      <c r="P4" s="48"/>
      <c r="Q4" s="78">
        <f t="shared" ref="Q4:Q42" si="7">IFERROR(P4/$L$43,0)</f>
        <v>0</v>
      </c>
      <c r="R4" s="48"/>
      <c r="S4" s="78">
        <f t="shared" ref="S4:S42" si="8">IFERROR(R4/$L$43,0)</f>
        <v>0</v>
      </c>
      <c r="T4" s="48"/>
      <c r="U4" s="89">
        <f t="shared" ref="U4:U42" si="9">IFERROR(T4/$L$43,0)</f>
        <v>0</v>
      </c>
      <c r="V4" s="48"/>
      <c r="W4" s="47">
        <f t="shared" ref="W4:W38" si="10">IFERROR(V4/V$39,0%)</f>
        <v>0</v>
      </c>
      <c r="X4" s="48"/>
      <c r="Y4" s="47">
        <f t="shared" ref="Y4:Y38" si="11">IFERROR(X4/X$39,0%)</f>
        <v>0</v>
      </c>
      <c r="Z4" s="48"/>
      <c r="AA4" s="47">
        <f t="shared" ref="AA4:AA38" si="12">IFERROR(Z4/Z$39,0%)</f>
        <v>0</v>
      </c>
      <c r="AB4" s="48"/>
      <c r="AC4" s="47">
        <f t="shared" ref="AC4:AC38" si="13">IFERROR(AB4/AB$39,0%)</f>
        <v>0</v>
      </c>
      <c r="AD4" s="48"/>
      <c r="AE4" s="49">
        <f t="shared" ref="AE4:AE38" si="14">IFERROR(AD4/AD$39,0%)</f>
        <v>0</v>
      </c>
      <c r="AF4" s="46"/>
      <c r="AG4" s="47">
        <f t="shared" ref="AG4:AG38" si="15">IFERROR(AF4/AF$39,0%)</f>
        <v>0</v>
      </c>
      <c r="AH4" s="48"/>
      <c r="AI4" s="47">
        <f t="shared" ref="AI4:AI38" si="16">IFERROR(AH4/AH$39,0%)</f>
        <v>0</v>
      </c>
      <c r="AJ4" s="48"/>
      <c r="AK4" s="47">
        <f t="shared" ref="AK4:AK38" si="17">IFERROR(AJ4/AJ$39,0%)</f>
        <v>0</v>
      </c>
      <c r="AL4" s="48"/>
      <c r="AM4" s="47">
        <f t="shared" ref="AM4:AM38" si="18">IFERROR(AL4/AL$39,0%)</f>
        <v>0</v>
      </c>
      <c r="AN4" s="48"/>
      <c r="AO4" s="49">
        <f t="shared" ref="AO4:AO38" si="19">IFERROR(AN4/AN$39,0%)</f>
        <v>0</v>
      </c>
    </row>
    <row r="5" spans="1:41" x14ac:dyDescent="0.25">
      <c r="A5" s="75" t="s">
        <v>224</v>
      </c>
      <c r="B5" s="50">
        <v>0</v>
      </c>
      <c r="C5" s="79">
        <f t="shared" si="0"/>
        <v>0</v>
      </c>
      <c r="D5" s="52"/>
      <c r="E5" s="79">
        <f t="shared" si="1"/>
        <v>0</v>
      </c>
      <c r="F5" s="52"/>
      <c r="G5" s="79">
        <f t="shared" si="2"/>
        <v>0</v>
      </c>
      <c r="H5" s="52"/>
      <c r="I5" s="79">
        <f t="shared" si="3"/>
        <v>0</v>
      </c>
      <c r="J5" s="52"/>
      <c r="K5" s="79">
        <f t="shared" si="4"/>
        <v>0</v>
      </c>
      <c r="L5" s="50">
        <v>0</v>
      </c>
      <c r="M5" s="79">
        <f t="shared" si="5"/>
        <v>0</v>
      </c>
      <c r="N5" s="52"/>
      <c r="O5" s="79">
        <f t="shared" si="6"/>
        <v>0</v>
      </c>
      <c r="P5" s="52"/>
      <c r="Q5" s="79">
        <f t="shared" si="7"/>
        <v>0</v>
      </c>
      <c r="R5" s="52"/>
      <c r="S5" s="79">
        <f t="shared" si="8"/>
        <v>0</v>
      </c>
      <c r="T5" s="52"/>
      <c r="U5" s="90">
        <f t="shared" si="9"/>
        <v>0</v>
      </c>
      <c r="V5" s="52"/>
      <c r="W5" s="51">
        <f t="shared" si="10"/>
        <v>0</v>
      </c>
      <c r="X5" s="52"/>
      <c r="Y5" s="51">
        <f t="shared" si="11"/>
        <v>0</v>
      </c>
      <c r="Z5" s="52"/>
      <c r="AA5" s="51">
        <f t="shared" si="12"/>
        <v>0</v>
      </c>
      <c r="AB5" s="52"/>
      <c r="AC5" s="51">
        <f t="shared" si="13"/>
        <v>0</v>
      </c>
      <c r="AD5" s="52"/>
      <c r="AE5" s="53">
        <f t="shared" si="14"/>
        <v>0</v>
      </c>
      <c r="AF5" s="50"/>
      <c r="AG5" s="51">
        <f t="shared" si="15"/>
        <v>0</v>
      </c>
      <c r="AH5" s="52"/>
      <c r="AI5" s="51">
        <f t="shared" si="16"/>
        <v>0</v>
      </c>
      <c r="AJ5" s="52"/>
      <c r="AK5" s="51">
        <f t="shared" si="17"/>
        <v>0</v>
      </c>
      <c r="AL5" s="52"/>
      <c r="AM5" s="51">
        <f t="shared" si="18"/>
        <v>0</v>
      </c>
      <c r="AN5" s="52"/>
      <c r="AO5" s="53">
        <f t="shared" si="19"/>
        <v>0</v>
      </c>
    </row>
    <row r="6" spans="1:41" x14ac:dyDescent="0.25">
      <c r="A6" s="75" t="s">
        <v>225</v>
      </c>
      <c r="B6" s="50">
        <v>0</v>
      </c>
      <c r="C6" s="79">
        <f t="shared" si="0"/>
        <v>0</v>
      </c>
      <c r="D6" s="52"/>
      <c r="E6" s="79">
        <f t="shared" si="1"/>
        <v>0</v>
      </c>
      <c r="F6" s="52"/>
      <c r="G6" s="79">
        <f t="shared" si="2"/>
        <v>0</v>
      </c>
      <c r="H6" s="52"/>
      <c r="I6" s="79">
        <f t="shared" si="3"/>
        <v>0</v>
      </c>
      <c r="J6" s="52"/>
      <c r="K6" s="79">
        <f t="shared" si="4"/>
        <v>0</v>
      </c>
      <c r="L6" s="50">
        <v>0</v>
      </c>
      <c r="M6" s="79">
        <f t="shared" si="5"/>
        <v>0</v>
      </c>
      <c r="N6" s="52"/>
      <c r="O6" s="79">
        <f t="shared" si="6"/>
        <v>0</v>
      </c>
      <c r="P6" s="52"/>
      <c r="Q6" s="79">
        <f t="shared" si="7"/>
        <v>0</v>
      </c>
      <c r="R6" s="52"/>
      <c r="S6" s="79">
        <f t="shared" si="8"/>
        <v>0</v>
      </c>
      <c r="T6" s="52"/>
      <c r="U6" s="90">
        <f t="shared" si="9"/>
        <v>0</v>
      </c>
      <c r="V6" s="52"/>
      <c r="W6" s="51">
        <f t="shared" si="10"/>
        <v>0</v>
      </c>
      <c r="X6" s="52"/>
      <c r="Y6" s="51">
        <f t="shared" si="11"/>
        <v>0</v>
      </c>
      <c r="Z6" s="52"/>
      <c r="AA6" s="51">
        <f t="shared" si="12"/>
        <v>0</v>
      </c>
      <c r="AB6" s="52"/>
      <c r="AC6" s="51">
        <f t="shared" si="13"/>
        <v>0</v>
      </c>
      <c r="AD6" s="52"/>
      <c r="AE6" s="53">
        <f t="shared" si="14"/>
        <v>0</v>
      </c>
      <c r="AF6" s="50"/>
      <c r="AG6" s="51">
        <f t="shared" si="15"/>
        <v>0</v>
      </c>
      <c r="AH6" s="52"/>
      <c r="AI6" s="51">
        <f t="shared" si="16"/>
        <v>0</v>
      </c>
      <c r="AJ6" s="52"/>
      <c r="AK6" s="51">
        <f t="shared" si="17"/>
        <v>0</v>
      </c>
      <c r="AL6" s="52"/>
      <c r="AM6" s="51">
        <f t="shared" si="18"/>
        <v>0</v>
      </c>
      <c r="AN6" s="52"/>
      <c r="AO6" s="53">
        <f t="shared" si="19"/>
        <v>0</v>
      </c>
    </row>
    <row r="7" spans="1:41" x14ac:dyDescent="0.25">
      <c r="A7" s="75" t="s">
        <v>226</v>
      </c>
      <c r="B7" s="50">
        <v>0</v>
      </c>
      <c r="C7" s="79">
        <f t="shared" si="0"/>
        <v>0</v>
      </c>
      <c r="D7" s="52"/>
      <c r="E7" s="79">
        <f t="shared" si="1"/>
        <v>0</v>
      </c>
      <c r="F7" s="52"/>
      <c r="G7" s="79">
        <f t="shared" si="2"/>
        <v>0</v>
      </c>
      <c r="H7" s="52"/>
      <c r="I7" s="79">
        <f t="shared" si="3"/>
        <v>0</v>
      </c>
      <c r="J7" s="52"/>
      <c r="K7" s="79">
        <f t="shared" si="4"/>
        <v>0</v>
      </c>
      <c r="L7" s="50">
        <v>0</v>
      </c>
      <c r="M7" s="79">
        <f t="shared" si="5"/>
        <v>0</v>
      </c>
      <c r="N7" s="52"/>
      <c r="O7" s="79">
        <f t="shared" si="6"/>
        <v>0</v>
      </c>
      <c r="P7" s="52"/>
      <c r="Q7" s="79">
        <f t="shared" si="7"/>
        <v>0</v>
      </c>
      <c r="R7" s="52"/>
      <c r="S7" s="79">
        <f t="shared" si="8"/>
        <v>0</v>
      </c>
      <c r="T7" s="52"/>
      <c r="U7" s="90">
        <f t="shared" si="9"/>
        <v>0</v>
      </c>
      <c r="V7" s="52"/>
      <c r="W7" s="51">
        <f t="shared" si="10"/>
        <v>0</v>
      </c>
      <c r="X7" s="52"/>
      <c r="Y7" s="51">
        <f t="shared" si="11"/>
        <v>0</v>
      </c>
      <c r="Z7" s="52"/>
      <c r="AA7" s="51">
        <f t="shared" si="12"/>
        <v>0</v>
      </c>
      <c r="AB7" s="52"/>
      <c r="AC7" s="51">
        <f t="shared" si="13"/>
        <v>0</v>
      </c>
      <c r="AD7" s="52"/>
      <c r="AE7" s="53">
        <f t="shared" si="14"/>
        <v>0</v>
      </c>
      <c r="AF7" s="50"/>
      <c r="AG7" s="51">
        <f t="shared" si="15"/>
        <v>0</v>
      </c>
      <c r="AH7" s="52"/>
      <c r="AI7" s="51">
        <f t="shared" si="16"/>
        <v>0</v>
      </c>
      <c r="AJ7" s="52"/>
      <c r="AK7" s="51">
        <f t="shared" si="17"/>
        <v>0</v>
      </c>
      <c r="AL7" s="52"/>
      <c r="AM7" s="51">
        <f t="shared" si="18"/>
        <v>0</v>
      </c>
      <c r="AN7" s="52"/>
      <c r="AO7" s="53">
        <f t="shared" si="19"/>
        <v>0</v>
      </c>
    </row>
    <row r="8" spans="1:41" x14ac:dyDescent="0.25">
      <c r="A8" s="26" t="s">
        <v>63</v>
      </c>
      <c r="B8" s="50">
        <v>7.638888888888884E-2</v>
      </c>
      <c r="C8" s="79">
        <f t="shared" si="0"/>
        <v>0.27160493827160476</v>
      </c>
      <c r="D8" s="52"/>
      <c r="E8" s="79">
        <f t="shared" si="1"/>
        <v>0</v>
      </c>
      <c r="F8" s="52"/>
      <c r="G8" s="79">
        <f t="shared" si="2"/>
        <v>0</v>
      </c>
      <c r="H8" s="52"/>
      <c r="I8" s="79">
        <f t="shared" si="3"/>
        <v>0</v>
      </c>
      <c r="J8" s="52"/>
      <c r="K8" s="79">
        <f t="shared" si="4"/>
        <v>0</v>
      </c>
      <c r="L8" s="50">
        <v>1.8055555555555602E-2</v>
      </c>
      <c r="M8" s="79">
        <f t="shared" si="5"/>
        <v>2.70833333333334E-2</v>
      </c>
      <c r="N8" s="52"/>
      <c r="O8" s="79">
        <f t="shared" si="6"/>
        <v>0</v>
      </c>
      <c r="P8" s="52"/>
      <c r="Q8" s="79">
        <f t="shared" si="7"/>
        <v>0</v>
      </c>
      <c r="R8" s="52"/>
      <c r="S8" s="79">
        <f t="shared" si="8"/>
        <v>0</v>
      </c>
      <c r="T8" s="52"/>
      <c r="U8" s="90">
        <f t="shared" si="9"/>
        <v>0</v>
      </c>
      <c r="V8" s="52"/>
      <c r="W8" s="51">
        <f t="shared" si="10"/>
        <v>0</v>
      </c>
      <c r="X8" s="52"/>
      <c r="Y8" s="51">
        <f t="shared" si="11"/>
        <v>0</v>
      </c>
      <c r="Z8" s="52"/>
      <c r="AA8" s="51">
        <f t="shared" si="12"/>
        <v>0</v>
      </c>
      <c r="AB8" s="52"/>
      <c r="AC8" s="51">
        <f t="shared" si="13"/>
        <v>0</v>
      </c>
      <c r="AD8" s="52"/>
      <c r="AE8" s="53">
        <f t="shared" si="14"/>
        <v>0</v>
      </c>
      <c r="AF8" s="50"/>
      <c r="AG8" s="51">
        <f t="shared" si="15"/>
        <v>0</v>
      </c>
      <c r="AH8" s="52"/>
      <c r="AI8" s="51">
        <f t="shared" si="16"/>
        <v>0</v>
      </c>
      <c r="AJ8" s="52"/>
      <c r="AK8" s="51">
        <f t="shared" si="17"/>
        <v>0</v>
      </c>
      <c r="AL8" s="52"/>
      <c r="AM8" s="51">
        <f t="shared" si="18"/>
        <v>0</v>
      </c>
      <c r="AN8" s="52"/>
      <c r="AO8" s="53">
        <f t="shared" si="19"/>
        <v>0</v>
      </c>
    </row>
    <row r="9" spans="1:41" x14ac:dyDescent="0.25">
      <c r="A9" s="26" t="s">
        <v>64</v>
      </c>
      <c r="B9" s="50">
        <v>0</v>
      </c>
      <c r="C9" s="79">
        <f t="shared" si="0"/>
        <v>0</v>
      </c>
      <c r="D9" s="52"/>
      <c r="E9" s="79">
        <f t="shared" si="1"/>
        <v>0</v>
      </c>
      <c r="F9" s="52"/>
      <c r="G9" s="79">
        <f t="shared" si="2"/>
        <v>0</v>
      </c>
      <c r="H9" s="52"/>
      <c r="I9" s="79">
        <f t="shared" si="3"/>
        <v>0</v>
      </c>
      <c r="J9" s="52"/>
      <c r="K9" s="79">
        <f t="shared" si="4"/>
        <v>0</v>
      </c>
      <c r="L9" s="50">
        <v>0</v>
      </c>
      <c r="M9" s="79">
        <f t="shared" si="5"/>
        <v>0</v>
      </c>
      <c r="N9" s="52"/>
      <c r="O9" s="79">
        <f t="shared" si="6"/>
        <v>0</v>
      </c>
      <c r="P9" s="52"/>
      <c r="Q9" s="79">
        <f t="shared" si="7"/>
        <v>0</v>
      </c>
      <c r="R9" s="52"/>
      <c r="S9" s="79">
        <f t="shared" si="8"/>
        <v>0</v>
      </c>
      <c r="T9" s="52"/>
      <c r="U9" s="90">
        <f t="shared" si="9"/>
        <v>0</v>
      </c>
      <c r="V9" s="52"/>
      <c r="W9" s="51">
        <f t="shared" si="10"/>
        <v>0</v>
      </c>
      <c r="X9" s="52"/>
      <c r="Y9" s="51">
        <f t="shared" si="11"/>
        <v>0</v>
      </c>
      <c r="Z9" s="52"/>
      <c r="AA9" s="51">
        <f t="shared" si="12"/>
        <v>0</v>
      </c>
      <c r="AB9" s="52"/>
      <c r="AC9" s="51">
        <f t="shared" si="13"/>
        <v>0</v>
      </c>
      <c r="AD9" s="52"/>
      <c r="AE9" s="53">
        <f t="shared" si="14"/>
        <v>0</v>
      </c>
      <c r="AF9" s="50"/>
      <c r="AG9" s="51">
        <f t="shared" si="15"/>
        <v>0</v>
      </c>
      <c r="AH9" s="52"/>
      <c r="AI9" s="51">
        <f t="shared" si="16"/>
        <v>0</v>
      </c>
      <c r="AJ9" s="52"/>
      <c r="AK9" s="51">
        <f t="shared" si="17"/>
        <v>0</v>
      </c>
      <c r="AL9" s="52"/>
      <c r="AM9" s="51">
        <f t="shared" si="18"/>
        <v>0</v>
      </c>
      <c r="AN9" s="52"/>
      <c r="AO9" s="53">
        <f t="shared" si="19"/>
        <v>0</v>
      </c>
    </row>
    <row r="10" spans="1:41" x14ac:dyDescent="0.25">
      <c r="A10" s="26" t="s">
        <v>65</v>
      </c>
      <c r="B10" s="50">
        <v>0</v>
      </c>
      <c r="C10" s="79">
        <f t="shared" si="0"/>
        <v>0</v>
      </c>
      <c r="D10" s="52"/>
      <c r="E10" s="79">
        <f t="shared" si="1"/>
        <v>0</v>
      </c>
      <c r="F10" s="52"/>
      <c r="G10" s="79">
        <f t="shared" si="2"/>
        <v>0</v>
      </c>
      <c r="H10" s="52"/>
      <c r="I10" s="79">
        <f t="shared" si="3"/>
        <v>0</v>
      </c>
      <c r="J10" s="52"/>
      <c r="K10" s="79">
        <f t="shared" si="4"/>
        <v>0</v>
      </c>
      <c r="L10" s="50">
        <v>0</v>
      </c>
      <c r="M10" s="79">
        <f t="shared" si="5"/>
        <v>0</v>
      </c>
      <c r="N10" s="52"/>
      <c r="O10" s="79">
        <f t="shared" si="6"/>
        <v>0</v>
      </c>
      <c r="P10" s="52"/>
      <c r="Q10" s="79">
        <f t="shared" si="7"/>
        <v>0</v>
      </c>
      <c r="R10" s="52"/>
      <c r="S10" s="79">
        <f t="shared" si="8"/>
        <v>0</v>
      </c>
      <c r="T10" s="52"/>
      <c r="U10" s="90">
        <f t="shared" si="9"/>
        <v>0</v>
      </c>
      <c r="V10" s="52"/>
      <c r="W10" s="51">
        <f t="shared" si="10"/>
        <v>0</v>
      </c>
      <c r="X10" s="52"/>
      <c r="Y10" s="51">
        <f t="shared" si="11"/>
        <v>0</v>
      </c>
      <c r="Z10" s="52"/>
      <c r="AA10" s="51">
        <f t="shared" si="12"/>
        <v>0</v>
      </c>
      <c r="AB10" s="52"/>
      <c r="AC10" s="51">
        <f t="shared" si="13"/>
        <v>0</v>
      </c>
      <c r="AD10" s="52"/>
      <c r="AE10" s="53">
        <f t="shared" si="14"/>
        <v>0</v>
      </c>
      <c r="AF10" s="50"/>
      <c r="AG10" s="51">
        <f t="shared" si="15"/>
        <v>0</v>
      </c>
      <c r="AH10" s="52"/>
      <c r="AI10" s="51">
        <f t="shared" si="16"/>
        <v>0</v>
      </c>
      <c r="AJ10" s="52"/>
      <c r="AK10" s="51">
        <f t="shared" si="17"/>
        <v>0</v>
      </c>
      <c r="AL10" s="52"/>
      <c r="AM10" s="51">
        <f t="shared" si="18"/>
        <v>0</v>
      </c>
      <c r="AN10" s="52"/>
      <c r="AO10" s="53">
        <f t="shared" si="19"/>
        <v>0</v>
      </c>
    </row>
    <row r="11" spans="1:41" x14ac:dyDescent="0.25">
      <c r="A11" s="26" t="s">
        <v>66</v>
      </c>
      <c r="B11" s="50">
        <v>0</v>
      </c>
      <c r="C11" s="79">
        <f t="shared" si="0"/>
        <v>0</v>
      </c>
      <c r="D11" s="52"/>
      <c r="E11" s="79">
        <f t="shared" si="1"/>
        <v>0</v>
      </c>
      <c r="F11" s="52"/>
      <c r="G11" s="79">
        <f t="shared" si="2"/>
        <v>0</v>
      </c>
      <c r="H11" s="52"/>
      <c r="I11" s="79">
        <f t="shared" si="3"/>
        <v>0</v>
      </c>
      <c r="J11" s="52"/>
      <c r="K11" s="79">
        <f t="shared" si="4"/>
        <v>0</v>
      </c>
      <c r="L11" s="50">
        <v>0</v>
      </c>
      <c r="M11" s="79">
        <f t="shared" si="5"/>
        <v>0</v>
      </c>
      <c r="N11" s="52"/>
      <c r="O11" s="79">
        <f t="shared" si="6"/>
        <v>0</v>
      </c>
      <c r="P11" s="52"/>
      <c r="Q11" s="79">
        <f t="shared" si="7"/>
        <v>0</v>
      </c>
      <c r="R11" s="52"/>
      <c r="S11" s="79">
        <f t="shared" si="8"/>
        <v>0</v>
      </c>
      <c r="T11" s="52"/>
      <c r="U11" s="90">
        <f t="shared" si="9"/>
        <v>0</v>
      </c>
      <c r="V11" s="52"/>
      <c r="W11" s="51">
        <f t="shared" si="10"/>
        <v>0</v>
      </c>
      <c r="X11" s="52"/>
      <c r="Y11" s="51">
        <f t="shared" si="11"/>
        <v>0</v>
      </c>
      <c r="Z11" s="52"/>
      <c r="AA11" s="51">
        <f t="shared" si="12"/>
        <v>0</v>
      </c>
      <c r="AB11" s="52"/>
      <c r="AC11" s="51">
        <f t="shared" si="13"/>
        <v>0</v>
      </c>
      <c r="AD11" s="52"/>
      <c r="AE11" s="53">
        <f t="shared" si="14"/>
        <v>0</v>
      </c>
      <c r="AF11" s="50"/>
      <c r="AG11" s="51">
        <f t="shared" si="15"/>
        <v>0</v>
      </c>
      <c r="AH11" s="52"/>
      <c r="AI11" s="51">
        <f t="shared" si="16"/>
        <v>0</v>
      </c>
      <c r="AJ11" s="52"/>
      <c r="AK11" s="51">
        <f t="shared" si="17"/>
        <v>0</v>
      </c>
      <c r="AL11" s="52"/>
      <c r="AM11" s="51">
        <f t="shared" si="18"/>
        <v>0</v>
      </c>
      <c r="AN11" s="52"/>
      <c r="AO11" s="53">
        <f t="shared" si="19"/>
        <v>0</v>
      </c>
    </row>
    <row r="12" spans="1:41" x14ac:dyDescent="0.25">
      <c r="A12" s="26" t="s">
        <v>67</v>
      </c>
      <c r="B12" s="50">
        <v>0</v>
      </c>
      <c r="C12" s="79">
        <f t="shared" si="0"/>
        <v>0</v>
      </c>
      <c r="D12" s="52"/>
      <c r="E12" s="79">
        <f t="shared" si="1"/>
        <v>0</v>
      </c>
      <c r="F12" s="52"/>
      <c r="G12" s="79">
        <f t="shared" si="2"/>
        <v>0</v>
      </c>
      <c r="H12" s="52"/>
      <c r="I12" s="79">
        <f t="shared" si="3"/>
        <v>0</v>
      </c>
      <c r="J12" s="52"/>
      <c r="K12" s="79">
        <f t="shared" si="4"/>
        <v>0</v>
      </c>
      <c r="L12" s="50">
        <v>0</v>
      </c>
      <c r="M12" s="79">
        <f t="shared" si="5"/>
        <v>0</v>
      </c>
      <c r="N12" s="52"/>
      <c r="O12" s="79">
        <f t="shared" si="6"/>
        <v>0</v>
      </c>
      <c r="P12" s="52"/>
      <c r="Q12" s="79">
        <f t="shared" si="7"/>
        <v>0</v>
      </c>
      <c r="R12" s="52"/>
      <c r="S12" s="79">
        <f t="shared" si="8"/>
        <v>0</v>
      </c>
      <c r="T12" s="52"/>
      <c r="U12" s="90">
        <f t="shared" si="9"/>
        <v>0</v>
      </c>
      <c r="V12" s="52"/>
      <c r="W12" s="51">
        <f t="shared" si="10"/>
        <v>0</v>
      </c>
      <c r="X12" s="52"/>
      <c r="Y12" s="51">
        <f t="shared" si="11"/>
        <v>0</v>
      </c>
      <c r="Z12" s="52"/>
      <c r="AA12" s="51">
        <f t="shared" si="12"/>
        <v>0</v>
      </c>
      <c r="AB12" s="52"/>
      <c r="AC12" s="51">
        <f t="shared" si="13"/>
        <v>0</v>
      </c>
      <c r="AD12" s="52"/>
      <c r="AE12" s="53">
        <f t="shared" si="14"/>
        <v>0</v>
      </c>
      <c r="AF12" s="50"/>
      <c r="AG12" s="51">
        <f t="shared" si="15"/>
        <v>0</v>
      </c>
      <c r="AH12" s="52"/>
      <c r="AI12" s="51">
        <f t="shared" si="16"/>
        <v>0</v>
      </c>
      <c r="AJ12" s="52"/>
      <c r="AK12" s="51">
        <f t="shared" si="17"/>
        <v>0</v>
      </c>
      <c r="AL12" s="52"/>
      <c r="AM12" s="51">
        <f t="shared" si="18"/>
        <v>0</v>
      </c>
      <c r="AN12" s="52"/>
      <c r="AO12" s="53">
        <f t="shared" si="19"/>
        <v>0</v>
      </c>
    </row>
    <row r="13" spans="1:41" x14ac:dyDescent="0.25">
      <c r="A13" s="26" t="s">
        <v>68</v>
      </c>
      <c r="B13" s="50">
        <v>3.4722222222222099E-3</v>
      </c>
      <c r="C13" s="79">
        <f t="shared" si="0"/>
        <v>1.2345679012345635E-2</v>
      </c>
      <c r="D13" s="52"/>
      <c r="E13" s="79">
        <f t="shared" si="1"/>
        <v>0</v>
      </c>
      <c r="F13" s="52"/>
      <c r="G13" s="79">
        <f t="shared" si="2"/>
        <v>0</v>
      </c>
      <c r="H13" s="52"/>
      <c r="I13" s="79">
        <f t="shared" si="3"/>
        <v>0</v>
      </c>
      <c r="J13" s="52"/>
      <c r="K13" s="79">
        <f t="shared" si="4"/>
        <v>0</v>
      </c>
      <c r="L13" s="50">
        <v>0</v>
      </c>
      <c r="M13" s="79">
        <f t="shared" si="5"/>
        <v>0</v>
      </c>
      <c r="N13" s="52"/>
      <c r="O13" s="79">
        <f t="shared" si="6"/>
        <v>0</v>
      </c>
      <c r="P13" s="52"/>
      <c r="Q13" s="79">
        <f t="shared" si="7"/>
        <v>0</v>
      </c>
      <c r="R13" s="52"/>
      <c r="S13" s="79">
        <f t="shared" si="8"/>
        <v>0</v>
      </c>
      <c r="T13" s="52"/>
      <c r="U13" s="90">
        <f t="shared" si="9"/>
        <v>0</v>
      </c>
      <c r="V13" s="52"/>
      <c r="W13" s="51">
        <f t="shared" si="10"/>
        <v>0</v>
      </c>
      <c r="X13" s="52"/>
      <c r="Y13" s="51">
        <f t="shared" si="11"/>
        <v>0</v>
      </c>
      <c r="Z13" s="52"/>
      <c r="AA13" s="51">
        <f t="shared" si="12"/>
        <v>0</v>
      </c>
      <c r="AB13" s="52"/>
      <c r="AC13" s="51">
        <f t="shared" si="13"/>
        <v>0</v>
      </c>
      <c r="AD13" s="52"/>
      <c r="AE13" s="53">
        <f t="shared" si="14"/>
        <v>0</v>
      </c>
      <c r="AF13" s="50"/>
      <c r="AG13" s="51">
        <f t="shared" si="15"/>
        <v>0</v>
      </c>
      <c r="AH13" s="52"/>
      <c r="AI13" s="51">
        <f t="shared" si="16"/>
        <v>0</v>
      </c>
      <c r="AJ13" s="52"/>
      <c r="AK13" s="51">
        <f t="shared" si="17"/>
        <v>0</v>
      </c>
      <c r="AL13" s="52"/>
      <c r="AM13" s="51">
        <f t="shared" si="18"/>
        <v>0</v>
      </c>
      <c r="AN13" s="52"/>
      <c r="AO13" s="53">
        <f t="shared" si="19"/>
        <v>0</v>
      </c>
    </row>
    <row r="14" spans="1:41" x14ac:dyDescent="0.25">
      <c r="A14" s="26" t="s">
        <v>69</v>
      </c>
      <c r="B14" s="50">
        <v>0</v>
      </c>
      <c r="C14" s="79">
        <f t="shared" si="0"/>
        <v>0</v>
      </c>
      <c r="D14" s="52"/>
      <c r="E14" s="79">
        <f t="shared" si="1"/>
        <v>0</v>
      </c>
      <c r="F14" s="52"/>
      <c r="G14" s="79">
        <f t="shared" si="2"/>
        <v>0</v>
      </c>
      <c r="H14" s="52"/>
      <c r="I14" s="79">
        <f t="shared" si="3"/>
        <v>0</v>
      </c>
      <c r="J14" s="52"/>
      <c r="K14" s="79">
        <f t="shared" si="4"/>
        <v>0</v>
      </c>
      <c r="L14" s="50">
        <v>0</v>
      </c>
      <c r="M14" s="79">
        <f t="shared" si="5"/>
        <v>0</v>
      </c>
      <c r="N14" s="52"/>
      <c r="O14" s="79">
        <f t="shared" si="6"/>
        <v>0</v>
      </c>
      <c r="P14" s="52"/>
      <c r="Q14" s="79">
        <f t="shared" si="7"/>
        <v>0</v>
      </c>
      <c r="R14" s="52"/>
      <c r="S14" s="79">
        <f t="shared" si="8"/>
        <v>0</v>
      </c>
      <c r="T14" s="52"/>
      <c r="U14" s="90">
        <f t="shared" si="9"/>
        <v>0</v>
      </c>
      <c r="V14" s="52"/>
      <c r="W14" s="51">
        <f t="shared" si="10"/>
        <v>0</v>
      </c>
      <c r="X14" s="52"/>
      <c r="Y14" s="51">
        <f t="shared" si="11"/>
        <v>0</v>
      </c>
      <c r="Z14" s="52"/>
      <c r="AA14" s="51">
        <f t="shared" si="12"/>
        <v>0</v>
      </c>
      <c r="AB14" s="52"/>
      <c r="AC14" s="51">
        <f t="shared" si="13"/>
        <v>0</v>
      </c>
      <c r="AD14" s="52"/>
      <c r="AE14" s="53">
        <f t="shared" si="14"/>
        <v>0</v>
      </c>
      <c r="AF14" s="50"/>
      <c r="AG14" s="51">
        <f t="shared" si="15"/>
        <v>0</v>
      </c>
      <c r="AH14" s="52"/>
      <c r="AI14" s="51">
        <f t="shared" si="16"/>
        <v>0</v>
      </c>
      <c r="AJ14" s="52"/>
      <c r="AK14" s="51">
        <f t="shared" si="17"/>
        <v>0</v>
      </c>
      <c r="AL14" s="52"/>
      <c r="AM14" s="51">
        <f t="shared" si="18"/>
        <v>0</v>
      </c>
      <c r="AN14" s="52"/>
      <c r="AO14" s="53">
        <f t="shared" si="19"/>
        <v>0</v>
      </c>
    </row>
    <row r="15" spans="1:41" x14ac:dyDescent="0.25">
      <c r="A15" s="26" t="s">
        <v>131</v>
      </c>
      <c r="B15" s="50">
        <v>3.4722222222222321E-2</v>
      </c>
      <c r="C15" s="79">
        <f t="shared" si="0"/>
        <v>0.12345679012345714</v>
      </c>
      <c r="D15" s="52"/>
      <c r="E15" s="79">
        <f t="shared" si="1"/>
        <v>0</v>
      </c>
      <c r="F15" s="52"/>
      <c r="G15" s="79">
        <f t="shared" si="2"/>
        <v>0</v>
      </c>
      <c r="H15" s="52"/>
      <c r="I15" s="79">
        <f t="shared" si="3"/>
        <v>0</v>
      </c>
      <c r="J15" s="52"/>
      <c r="K15" s="79">
        <f t="shared" si="4"/>
        <v>0</v>
      </c>
      <c r="L15" s="50">
        <v>0</v>
      </c>
      <c r="M15" s="79">
        <f t="shared" si="5"/>
        <v>0</v>
      </c>
      <c r="N15" s="52"/>
      <c r="O15" s="79">
        <f t="shared" si="6"/>
        <v>0</v>
      </c>
      <c r="P15" s="52"/>
      <c r="Q15" s="79">
        <f t="shared" si="7"/>
        <v>0</v>
      </c>
      <c r="R15" s="52"/>
      <c r="S15" s="79">
        <f t="shared" si="8"/>
        <v>0</v>
      </c>
      <c r="T15" s="52"/>
      <c r="U15" s="90">
        <f t="shared" si="9"/>
        <v>0</v>
      </c>
      <c r="V15" s="52"/>
      <c r="W15" s="51">
        <f t="shared" si="10"/>
        <v>0</v>
      </c>
      <c r="X15" s="52"/>
      <c r="Y15" s="51">
        <f t="shared" si="11"/>
        <v>0</v>
      </c>
      <c r="Z15" s="52"/>
      <c r="AA15" s="51">
        <f t="shared" si="12"/>
        <v>0</v>
      </c>
      <c r="AB15" s="52"/>
      <c r="AC15" s="51">
        <f t="shared" si="13"/>
        <v>0</v>
      </c>
      <c r="AD15" s="52"/>
      <c r="AE15" s="53">
        <f t="shared" si="14"/>
        <v>0</v>
      </c>
      <c r="AF15" s="50"/>
      <c r="AG15" s="51">
        <f t="shared" si="15"/>
        <v>0</v>
      </c>
      <c r="AH15" s="52"/>
      <c r="AI15" s="51">
        <f t="shared" si="16"/>
        <v>0</v>
      </c>
      <c r="AJ15" s="52"/>
      <c r="AK15" s="51">
        <f t="shared" si="17"/>
        <v>0</v>
      </c>
      <c r="AL15" s="52"/>
      <c r="AM15" s="51">
        <f t="shared" si="18"/>
        <v>0</v>
      </c>
      <c r="AN15" s="52"/>
      <c r="AO15" s="53">
        <f t="shared" si="19"/>
        <v>0</v>
      </c>
    </row>
    <row r="16" spans="1:41" x14ac:dyDescent="0.25">
      <c r="A16" s="26" t="s">
        <v>132</v>
      </c>
      <c r="B16" s="50">
        <v>0.16666666666666663</v>
      </c>
      <c r="C16" s="79">
        <f t="shared" si="0"/>
        <v>0.59259259259259245</v>
      </c>
      <c r="D16" s="52"/>
      <c r="E16" s="79">
        <f t="shared" si="1"/>
        <v>0</v>
      </c>
      <c r="F16" s="52"/>
      <c r="G16" s="79">
        <f t="shared" si="2"/>
        <v>0</v>
      </c>
      <c r="H16" s="52"/>
      <c r="I16" s="79">
        <f t="shared" si="3"/>
        <v>0</v>
      </c>
      <c r="J16" s="52"/>
      <c r="K16" s="79">
        <f t="shared" si="4"/>
        <v>0</v>
      </c>
      <c r="L16" s="50">
        <v>0</v>
      </c>
      <c r="M16" s="79">
        <f t="shared" si="5"/>
        <v>0</v>
      </c>
      <c r="N16" s="52"/>
      <c r="O16" s="79">
        <f t="shared" si="6"/>
        <v>0</v>
      </c>
      <c r="P16" s="52"/>
      <c r="Q16" s="79">
        <f t="shared" si="7"/>
        <v>0</v>
      </c>
      <c r="R16" s="52"/>
      <c r="S16" s="79">
        <f t="shared" si="8"/>
        <v>0</v>
      </c>
      <c r="T16" s="52"/>
      <c r="U16" s="90">
        <f t="shared" si="9"/>
        <v>0</v>
      </c>
      <c r="V16" s="52"/>
      <c r="W16" s="51">
        <f t="shared" si="10"/>
        <v>0</v>
      </c>
      <c r="X16" s="52"/>
      <c r="Y16" s="51">
        <f t="shared" si="11"/>
        <v>0</v>
      </c>
      <c r="Z16" s="52"/>
      <c r="AA16" s="51">
        <f t="shared" si="12"/>
        <v>0</v>
      </c>
      <c r="AB16" s="52"/>
      <c r="AC16" s="51">
        <f t="shared" si="13"/>
        <v>0</v>
      </c>
      <c r="AD16" s="52"/>
      <c r="AE16" s="53">
        <f t="shared" si="14"/>
        <v>0</v>
      </c>
      <c r="AF16" s="50"/>
      <c r="AG16" s="51">
        <f t="shared" si="15"/>
        <v>0</v>
      </c>
      <c r="AH16" s="52"/>
      <c r="AI16" s="51">
        <f t="shared" si="16"/>
        <v>0</v>
      </c>
      <c r="AJ16" s="52"/>
      <c r="AK16" s="51">
        <f t="shared" si="17"/>
        <v>0</v>
      </c>
      <c r="AL16" s="52"/>
      <c r="AM16" s="51">
        <f t="shared" si="18"/>
        <v>0</v>
      </c>
      <c r="AN16" s="52"/>
      <c r="AO16" s="53">
        <f t="shared" si="19"/>
        <v>0</v>
      </c>
    </row>
    <row r="17" spans="1:41" x14ac:dyDescent="0.25">
      <c r="A17" s="26" t="s">
        <v>133</v>
      </c>
      <c r="B17" s="50">
        <v>0</v>
      </c>
      <c r="C17" s="79">
        <f t="shared" si="0"/>
        <v>0</v>
      </c>
      <c r="D17" s="52"/>
      <c r="E17" s="79">
        <f t="shared" si="1"/>
        <v>0</v>
      </c>
      <c r="F17" s="52"/>
      <c r="G17" s="79">
        <f t="shared" si="2"/>
        <v>0</v>
      </c>
      <c r="H17" s="52"/>
      <c r="I17" s="79">
        <f t="shared" si="3"/>
        <v>0</v>
      </c>
      <c r="J17" s="52"/>
      <c r="K17" s="79">
        <f t="shared" si="4"/>
        <v>0</v>
      </c>
      <c r="L17" s="50">
        <v>0</v>
      </c>
      <c r="M17" s="79">
        <f t="shared" si="5"/>
        <v>0</v>
      </c>
      <c r="N17" s="52"/>
      <c r="O17" s="79">
        <f t="shared" si="6"/>
        <v>0</v>
      </c>
      <c r="P17" s="52"/>
      <c r="Q17" s="79">
        <f t="shared" si="7"/>
        <v>0</v>
      </c>
      <c r="R17" s="52"/>
      <c r="S17" s="79">
        <f t="shared" si="8"/>
        <v>0</v>
      </c>
      <c r="T17" s="52"/>
      <c r="U17" s="90">
        <f t="shared" si="9"/>
        <v>0</v>
      </c>
      <c r="V17" s="52"/>
      <c r="W17" s="51">
        <f t="shared" si="10"/>
        <v>0</v>
      </c>
      <c r="X17" s="52"/>
      <c r="Y17" s="51">
        <f t="shared" si="11"/>
        <v>0</v>
      </c>
      <c r="Z17" s="52"/>
      <c r="AA17" s="51">
        <f t="shared" si="12"/>
        <v>0</v>
      </c>
      <c r="AB17" s="52"/>
      <c r="AC17" s="51">
        <f t="shared" si="13"/>
        <v>0</v>
      </c>
      <c r="AD17" s="52"/>
      <c r="AE17" s="51">
        <f t="shared" ref="C4:AO38" si="20">IFERROR(AD17/AD$39,0%)</f>
        <v>0</v>
      </c>
      <c r="AF17" s="50"/>
      <c r="AG17" s="51">
        <f t="shared" si="15"/>
        <v>0</v>
      </c>
      <c r="AH17" s="52"/>
      <c r="AI17" s="51">
        <f t="shared" si="20"/>
        <v>0</v>
      </c>
      <c r="AJ17" s="52"/>
      <c r="AK17" s="51">
        <f t="shared" si="17"/>
        <v>0</v>
      </c>
      <c r="AL17" s="52"/>
      <c r="AM17" s="51">
        <f t="shared" si="18"/>
        <v>0</v>
      </c>
      <c r="AN17" s="52"/>
      <c r="AO17" s="53">
        <f t="shared" si="19"/>
        <v>0</v>
      </c>
    </row>
    <row r="18" spans="1:41" x14ac:dyDescent="0.25">
      <c r="A18" s="26" t="s">
        <v>134</v>
      </c>
      <c r="B18" s="50">
        <v>0</v>
      </c>
      <c r="C18" s="79">
        <f t="shared" si="0"/>
        <v>0</v>
      </c>
      <c r="D18" s="52"/>
      <c r="E18" s="79">
        <f t="shared" si="1"/>
        <v>0</v>
      </c>
      <c r="F18" s="52"/>
      <c r="G18" s="79">
        <f t="shared" si="2"/>
        <v>0</v>
      </c>
      <c r="H18" s="52"/>
      <c r="I18" s="79">
        <f t="shared" si="3"/>
        <v>0</v>
      </c>
      <c r="J18" s="52"/>
      <c r="K18" s="79">
        <f t="shared" si="4"/>
        <v>0</v>
      </c>
      <c r="L18" s="50">
        <v>0</v>
      </c>
      <c r="M18" s="79">
        <f t="shared" si="5"/>
        <v>0</v>
      </c>
      <c r="N18" s="52"/>
      <c r="O18" s="79">
        <f t="shared" si="6"/>
        <v>0</v>
      </c>
      <c r="P18" s="52"/>
      <c r="Q18" s="79">
        <f t="shared" si="7"/>
        <v>0</v>
      </c>
      <c r="R18" s="52"/>
      <c r="S18" s="79">
        <f t="shared" si="8"/>
        <v>0</v>
      </c>
      <c r="T18" s="52"/>
      <c r="U18" s="90">
        <f t="shared" si="9"/>
        <v>0</v>
      </c>
      <c r="V18" s="52"/>
      <c r="W18" s="51">
        <f t="shared" si="20"/>
        <v>0</v>
      </c>
      <c r="X18" s="52"/>
      <c r="Y18" s="51">
        <f t="shared" si="11"/>
        <v>0</v>
      </c>
      <c r="Z18" s="52"/>
      <c r="AA18" s="51">
        <f t="shared" si="20"/>
        <v>0</v>
      </c>
      <c r="AB18" s="52"/>
      <c r="AC18" s="51">
        <f t="shared" si="20"/>
        <v>0</v>
      </c>
      <c r="AD18" s="52"/>
      <c r="AE18" s="51">
        <f t="shared" si="20"/>
        <v>0</v>
      </c>
      <c r="AF18" s="50"/>
      <c r="AG18" s="51">
        <f t="shared" si="20"/>
        <v>0</v>
      </c>
      <c r="AH18" s="52"/>
      <c r="AI18" s="51">
        <f t="shared" si="20"/>
        <v>0</v>
      </c>
      <c r="AJ18" s="52"/>
      <c r="AK18" s="51">
        <f t="shared" si="20"/>
        <v>0</v>
      </c>
      <c r="AL18" s="52"/>
      <c r="AM18" s="51">
        <f t="shared" si="20"/>
        <v>0</v>
      </c>
      <c r="AN18" s="52"/>
      <c r="AO18" s="51">
        <f t="shared" si="20"/>
        <v>0</v>
      </c>
    </row>
    <row r="19" spans="1:41" s="38" customFormat="1" x14ac:dyDescent="0.25">
      <c r="A19" s="26" t="s">
        <v>191</v>
      </c>
      <c r="B19" s="50">
        <v>0</v>
      </c>
      <c r="C19" s="79">
        <f t="shared" si="0"/>
        <v>0</v>
      </c>
      <c r="D19" s="52"/>
      <c r="E19" s="79">
        <f t="shared" si="1"/>
        <v>0</v>
      </c>
      <c r="F19" s="52"/>
      <c r="G19" s="79">
        <f t="shared" si="2"/>
        <v>0</v>
      </c>
      <c r="H19" s="52"/>
      <c r="I19" s="79">
        <f t="shared" si="3"/>
        <v>0</v>
      </c>
      <c r="J19" s="52"/>
      <c r="K19" s="79">
        <f t="shared" si="4"/>
        <v>0</v>
      </c>
      <c r="L19" s="50">
        <v>0</v>
      </c>
      <c r="M19" s="79">
        <f t="shared" si="5"/>
        <v>0</v>
      </c>
      <c r="N19" s="52"/>
      <c r="O19" s="79">
        <f t="shared" si="6"/>
        <v>0</v>
      </c>
      <c r="P19" s="52"/>
      <c r="Q19" s="79">
        <f t="shared" si="7"/>
        <v>0</v>
      </c>
      <c r="R19" s="52"/>
      <c r="S19" s="79">
        <f t="shared" si="8"/>
        <v>0</v>
      </c>
      <c r="T19" s="52"/>
      <c r="U19" s="90">
        <f t="shared" si="9"/>
        <v>0</v>
      </c>
      <c r="V19" s="52"/>
      <c r="W19" s="51">
        <f t="shared" si="20"/>
        <v>0</v>
      </c>
      <c r="X19" s="52"/>
      <c r="Y19" s="51">
        <f t="shared" si="20"/>
        <v>0</v>
      </c>
      <c r="Z19" s="52"/>
      <c r="AA19" s="51">
        <f t="shared" si="20"/>
        <v>0</v>
      </c>
      <c r="AB19" s="52"/>
      <c r="AC19" s="51">
        <f t="shared" si="20"/>
        <v>0</v>
      </c>
      <c r="AD19" s="52"/>
      <c r="AE19" s="51">
        <f t="shared" si="20"/>
        <v>0</v>
      </c>
      <c r="AF19" s="50"/>
      <c r="AG19" s="51">
        <f t="shared" si="20"/>
        <v>0</v>
      </c>
      <c r="AH19" s="52"/>
      <c r="AI19" s="51">
        <f t="shared" si="20"/>
        <v>0</v>
      </c>
      <c r="AJ19" s="52"/>
      <c r="AK19" s="51">
        <f t="shared" si="20"/>
        <v>0</v>
      </c>
      <c r="AL19" s="52"/>
      <c r="AM19" s="51">
        <f t="shared" si="20"/>
        <v>0</v>
      </c>
      <c r="AN19" s="52"/>
      <c r="AO19" s="51">
        <f t="shared" si="20"/>
        <v>0</v>
      </c>
    </row>
    <row r="20" spans="1:41" s="38" customFormat="1" x14ac:dyDescent="0.25">
      <c r="A20" s="26" t="s">
        <v>135</v>
      </c>
      <c r="B20" s="50">
        <v>0</v>
      </c>
      <c r="C20" s="79">
        <f t="shared" si="0"/>
        <v>0</v>
      </c>
      <c r="D20" s="52"/>
      <c r="E20" s="79">
        <f t="shared" si="1"/>
        <v>0</v>
      </c>
      <c r="F20" s="52"/>
      <c r="G20" s="79">
        <f t="shared" si="2"/>
        <v>0</v>
      </c>
      <c r="H20" s="52"/>
      <c r="I20" s="79">
        <f t="shared" si="3"/>
        <v>0</v>
      </c>
      <c r="J20" s="52"/>
      <c r="K20" s="79">
        <f t="shared" si="4"/>
        <v>0</v>
      </c>
      <c r="L20" s="50">
        <v>0</v>
      </c>
      <c r="M20" s="79">
        <f t="shared" si="5"/>
        <v>0</v>
      </c>
      <c r="N20" s="52"/>
      <c r="O20" s="79">
        <f t="shared" si="6"/>
        <v>0</v>
      </c>
      <c r="P20" s="52"/>
      <c r="Q20" s="79">
        <f t="shared" si="7"/>
        <v>0</v>
      </c>
      <c r="R20" s="52"/>
      <c r="S20" s="79">
        <f t="shared" si="8"/>
        <v>0</v>
      </c>
      <c r="T20" s="52"/>
      <c r="U20" s="90">
        <f t="shared" si="9"/>
        <v>0</v>
      </c>
      <c r="V20" s="52"/>
      <c r="W20" s="51">
        <f t="shared" si="20"/>
        <v>0</v>
      </c>
      <c r="X20" s="52"/>
      <c r="Y20" s="51">
        <f t="shared" si="20"/>
        <v>0</v>
      </c>
      <c r="Z20" s="52"/>
      <c r="AA20" s="51">
        <f t="shared" si="20"/>
        <v>0</v>
      </c>
      <c r="AB20" s="52"/>
      <c r="AC20" s="51">
        <f t="shared" si="20"/>
        <v>0</v>
      </c>
      <c r="AD20" s="52"/>
      <c r="AE20" s="51">
        <f t="shared" si="20"/>
        <v>0</v>
      </c>
      <c r="AF20" s="50"/>
      <c r="AG20" s="51">
        <f t="shared" si="20"/>
        <v>0</v>
      </c>
      <c r="AH20" s="52"/>
      <c r="AI20" s="51">
        <f t="shared" si="20"/>
        <v>0</v>
      </c>
      <c r="AJ20" s="52"/>
      <c r="AK20" s="51">
        <f t="shared" si="20"/>
        <v>0</v>
      </c>
      <c r="AL20" s="52"/>
      <c r="AM20" s="51">
        <f t="shared" si="20"/>
        <v>0</v>
      </c>
      <c r="AN20" s="52"/>
      <c r="AO20" s="51">
        <f t="shared" si="20"/>
        <v>0</v>
      </c>
    </row>
    <row r="21" spans="1:41" x14ac:dyDescent="0.25">
      <c r="A21" s="26" t="s">
        <v>136</v>
      </c>
      <c r="B21" s="50">
        <v>0</v>
      </c>
      <c r="C21" s="79">
        <f t="shared" si="0"/>
        <v>0</v>
      </c>
      <c r="D21" s="52"/>
      <c r="E21" s="79">
        <f t="shared" si="1"/>
        <v>0</v>
      </c>
      <c r="F21" s="52"/>
      <c r="G21" s="79">
        <f t="shared" si="2"/>
        <v>0</v>
      </c>
      <c r="H21" s="52"/>
      <c r="I21" s="79">
        <f t="shared" si="3"/>
        <v>0</v>
      </c>
      <c r="J21" s="52"/>
      <c r="K21" s="79">
        <f t="shared" si="4"/>
        <v>0</v>
      </c>
      <c r="L21" s="50">
        <v>0</v>
      </c>
      <c r="M21" s="79">
        <f t="shared" si="5"/>
        <v>0</v>
      </c>
      <c r="N21" s="52"/>
      <c r="O21" s="79">
        <f t="shared" si="6"/>
        <v>0</v>
      </c>
      <c r="P21" s="52"/>
      <c r="Q21" s="79">
        <f t="shared" si="7"/>
        <v>0</v>
      </c>
      <c r="R21" s="52"/>
      <c r="S21" s="79">
        <f t="shared" si="8"/>
        <v>0</v>
      </c>
      <c r="T21" s="52"/>
      <c r="U21" s="90">
        <f t="shared" si="9"/>
        <v>0</v>
      </c>
      <c r="V21" s="52"/>
      <c r="W21" s="51">
        <f t="shared" si="20"/>
        <v>0</v>
      </c>
      <c r="X21" s="52"/>
      <c r="Y21" s="51">
        <f t="shared" si="20"/>
        <v>0</v>
      </c>
      <c r="Z21" s="52"/>
      <c r="AA21" s="51">
        <f t="shared" si="20"/>
        <v>0</v>
      </c>
      <c r="AB21" s="52"/>
      <c r="AC21" s="51">
        <f t="shared" si="20"/>
        <v>0</v>
      </c>
      <c r="AD21" s="52"/>
      <c r="AE21" s="51">
        <f t="shared" si="20"/>
        <v>0</v>
      </c>
      <c r="AF21" s="50"/>
      <c r="AG21" s="51">
        <f t="shared" si="20"/>
        <v>0</v>
      </c>
      <c r="AH21" s="52"/>
      <c r="AI21" s="51">
        <f t="shared" si="20"/>
        <v>0</v>
      </c>
      <c r="AJ21" s="52"/>
      <c r="AK21" s="51">
        <f t="shared" si="20"/>
        <v>0</v>
      </c>
      <c r="AL21" s="52"/>
      <c r="AM21" s="51">
        <f t="shared" si="20"/>
        <v>0</v>
      </c>
      <c r="AN21" s="52"/>
      <c r="AO21" s="51">
        <f t="shared" si="20"/>
        <v>0</v>
      </c>
    </row>
    <row r="22" spans="1:41" x14ac:dyDescent="0.25">
      <c r="A22" s="26" t="s">
        <v>137</v>
      </c>
      <c r="B22" s="50">
        <v>0</v>
      </c>
      <c r="C22" s="79">
        <f t="shared" si="0"/>
        <v>0</v>
      </c>
      <c r="D22" s="52"/>
      <c r="E22" s="79">
        <f t="shared" si="1"/>
        <v>0</v>
      </c>
      <c r="F22" s="52"/>
      <c r="G22" s="79">
        <f t="shared" si="2"/>
        <v>0</v>
      </c>
      <c r="H22" s="52"/>
      <c r="I22" s="79">
        <f t="shared" si="3"/>
        <v>0</v>
      </c>
      <c r="J22" s="52"/>
      <c r="K22" s="79">
        <f t="shared" si="4"/>
        <v>0</v>
      </c>
      <c r="L22" s="50">
        <v>0</v>
      </c>
      <c r="M22" s="79">
        <f t="shared" si="5"/>
        <v>0</v>
      </c>
      <c r="N22" s="52"/>
      <c r="O22" s="79">
        <f t="shared" si="6"/>
        <v>0</v>
      </c>
      <c r="P22" s="52"/>
      <c r="Q22" s="79">
        <f t="shared" si="7"/>
        <v>0</v>
      </c>
      <c r="R22" s="52"/>
      <c r="S22" s="79">
        <f t="shared" si="8"/>
        <v>0</v>
      </c>
      <c r="T22" s="52"/>
      <c r="U22" s="90">
        <f t="shared" si="9"/>
        <v>0</v>
      </c>
      <c r="V22" s="52"/>
      <c r="W22" s="51">
        <f t="shared" si="20"/>
        <v>0</v>
      </c>
      <c r="X22" s="52"/>
      <c r="Y22" s="51">
        <f t="shared" si="20"/>
        <v>0</v>
      </c>
      <c r="Z22" s="52"/>
      <c r="AA22" s="51">
        <f t="shared" si="20"/>
        <v>0</v>
      </c>
      <c r="AB22" s="52"/>
      <c r="AC22" s="51">
        <f t="shared" si="20"/>
        <v>0</v>
      </c>
      <c r="AD22" s="52"/>
      <c r="AE22" s="51">
        <f t="shared" si="20"/>
        <v>0</v>
      </c>
      <c r="AF22" s="50"/>
      <c r="AG22" s="51">
        <f t="shared" si="20"/>
        <v>0</v>
      </c>
      <c r="AH22" s="52"/>
      <c r="AI22" s="51">
        <f t="shared" si="16"/>
        <v>0</v>
      </c>
      <c r="AJ22" s="52"/>
      <c r="AK22" s="51">
        <f t="shared" si="20"/>
        <v>0</v>
      </c>
      <c r="AL22" s="52"/>
      <c r="AM22" s="51">
        <f t="shared" si="20"/>
        <v>0</v>
      </c>
      <c r="AN22" s="52"/>
      <c r="AO22" s="51">
        <f t="shared" si="20"/>
        <v>0</v>
      </c>
    </row>
    <row r="23" spans="1:41" x14ac:dyDescent="0.25">
      <c r="A23" s="26" t="s">
        <v>138</v>
      </c>
      <c r="B23" s="50">
        <v>0</v>
      </c>
      <c r="C23" s="79">
        <f t="shared" si="0"/>
        <v>0</v>
      </c>
      <c r="D23" s="52"/>
      <c r="E23" s="79">
        <f t="shared" si="1"/>
        <v>0</v>
      </c>
      <c r="F23" s="52"/>
      <c r="G23" s="79">
        <f t="shared" si="2"/>
        <v>0</v>
      </c>
      <c r="H23" s="52"/>
      <c r="I23" s="79">
        <f t="shared" si="3"/>
        <v>0</v>
      </c>
      <c r="J23" s="52"/>
      <c r="K23" s="79">
        <f t="shared" si="4"/>
        <v>0</v>
      </c>
      <c r="L23" s="50">
        <v>0</v>
      </c>
      <c r="M23" s="79">
        <f t="shared" si="5"/>
        <v>0</v>
      </c>
      <c r="N23" s="52"/>
      <c r="O23" s="79">
        <f t="shared" si="6"/>
        <v>0</v>
      </c>
      <c r="P23" s="52"/>
      <c r="Q23" s="79">
        <f t="shared" si="7"/>
        <v>0</v>
      </c>
      <c r="R23" s="52"/>
      <c r="S23" s="79">
        <f t="shared" si="8"/>
        <v>0</v>
      </c>
      <c r="T23" s="52"/>
      <c r="U23" s="90">
        <f t="shared" si="9"/>
        <v>0</v>
      </c>
      <c r="V23" s="52"/>
      <c r="W23" s="51">
        <f t="shared" si="20"/>
        <v>0</v>
      </c>
      <c r="X23" s="52"/>
      <c r="Y23" s="51">
        <f t="shared" si="20"/>
        <v>0</v>
      </c>
      <c r="Z23" s="52"/>
      <c r="AA23" s="51">
        <f t="shared" si="20"/>
        <v>0</v>
      </c>
      <c r="AB23" s="52"/>
      <c r="AC23" s="51">
        <f t="shared" si="20"/>
        <v>0</v>
      </c>
      <c r="AD23" s="52"/>
      <c r="AE23" s="53">
        <f t="shared" si="14"/>
        <v>0</v>
      </c>
      <c r="AF23" s="50"/>
      <c r="AG23" s="51">
        <f t="shared" si="20"/>
        <v>0</v>
      </c>
      <c r="AH23" s="52"/>
      <c r="AI23" s="51">
        <f t="shared" si="16"/>
        <v>0</v>
      </c>
      <c r="AJ23" s="52"/>
      <c r="AK23" s="51">
        <f t="shared" si="20"/>
        <v>0</v>
      </c>
      <c r="AL23" s="52"/>
      <c r="AM23" s="51">
        <f t="shared" si="20"/>
        <v>0</v>
      </c>
      <c r="AN23" s="52"/>
      <c r="AO23" s="51">
        <f t="shared" si="20"/>
        <v>0</v>
      </c>
    </row>
    <row r="24" spans="1:41" x14ac:dyDescent="0.25">
      <c r="A24" s="26" t="s">
        <v>139</v>
      </c>
      <c r="B24" s="50">
        <v>0</v>
      </c>
      <c r="C24" s="79">
        <f t="shared" si="0"/>
        <v>0</v>
      </c>
      <c r="D24" s="52"/>
      <c r="E24" s="79">
        <f t="shared" si="1"/>
        <v>0</v>
      </c>
      <c r="F24" s="52"/>
      <c r="G24" s="79">
        <f t="shared" si="2"/>
        <v>0</v>
      </c>
      <c r="H24" s="52"/>
      <c r="I24" s="79">
        <f t="shared" si="3"/>
        <v>0</v>
      </c>
      <c r="J24" s="52"/>
      <c r="K24" s="79">
        <f t="shared" si="4"/>
        <v>0</v>
      </c>
      <c r="L24" s="50">
        <v>0</v>
      </c>
      <c r="M24" s="79">
        <f t="shared" si="5"/>
        <v>0</v>
      </c>
      <c r="N24" s="52"/>
      <c r="O24" s="79">
        <f t="shared" si="6"/>
        <v>0</v>
      </c>
      <c r="P24" s="52"/>
      <c r="Q24" s="79">
        <f t="shared" si="7"/>
        <v>0</v>
      </c>
      <c r="R24" s="52"/>
      <c r="S24" s="79">
        <f t="shared" si="8"/>
        <v>0</v>
      </c>
      <c r="T24" s="52"/>
      <c r="U24" s="90">
        <f t="shared" si="9"/>
        <v>0</v>
      </c>
      <c r="V24" s="52"/>
      <c r="W24" s="51">
        <f t="shared" si="10"/>
        <v>0</v>
      </c>
      <c r="X24" s="52"/>
      <c r="Y24" s="51">
        <f t="shared" si="11"/>
        <v>0</v>
      </c>
      <c r="Z24" s="52"/>
      <c r="AA24" s="51">
        <f t="shared" si="20"/>
        <v>0</v>
      </c>
      <c r="AB24" s="52"/>
      <c r="AC24" s="51">
        <f t="shared" si="20"/>
        <v>0</v>
      </c>
      <c r="AD24" s="52"/>
      <c r="AE24" s="53">
        <f t="shared" si="14"/>
        <v>0</v>
      </c>
      <c r="AF24" s="50"/>
      <c r="AG24" s="51">
        <f t="shared" si="20"/>
        <v>0</v>
      </c>
      <c r="AH24" s="52"/>
      <c r="AI24" s="51">
        <f t="shared" si="16"/>
        <v>0</v>
      </c>
      <c r="AJ24" s="52"/>
      <c r="AK24" s="51">
        <f t="shared" si="17"/>
        <v>0</v>
      </c>
      <c r="AL24" s="52"/>
      <c r="AM24" s="51">
        <f t="shared" si="18"/>
        <v>0</v>
      </c>
      <c r="AN24" s="52"/>
      <c r="AO24" s="53">
        <f t="shared" si="19"/>
        <v>0</v>
      </c>
    </row>
    <row r="25" spans="1:41" x14ac:dyDescent="0.25">
      <c r="A25" s="26" t="s">
        <v>140</v>
      </c>
      <c r="B25" s="50">
        <v>0</v>
      </c>
      <c r="C25" s="79">
        <f t="shared" si="0"/>
        <v>0</v>
      </c>
      <c r="D25" s="52"/>
      <c r="E25" s="79">
        <f t="shared" si="1"/>
        <v>0</v>
      </c>
      <c r="F25" s="52"/>
      <c r="G25" s="79">
        <f t="shared" si="2"/>
        <v>0</v>
      </c>
      <c r="H25" s="52"/>
      <c r="I25" s="79">
        <f t="shared" si="3"/>
        <v>0</v>
      </c>
      <c r="J25" s="52"/>
      <c r="K25" s="79">
        <f t="shared" si="4"/>
        <v>0</v>
      </c>
      <c r="L25" s="50">
        <v>0.6347222222222223</v>
      </c>
      <c r="M25" s="79">
        <f t="shared" si="5"/>
        <v>0.95208333333333339</v>
      </c>
      <c r="N25" s="52"/>
      <c r="O25" s="79">
        <f t="shared" si="6"/>
        <v>0</v>
      </c>
      <c r="P25" s="52"/>
      <c r="Q25" s="79">
        <f t="shared" si="7"/>
        <v>0</v>
      </c>
      <c r="R25" s="52"/>
      <c r="S25" s="79">
        <f t="shared" si="8"/>
        <v>0</v>
      </c>
      <c r="T25" s="52"/>
      <c r="U25" s="90">
        <f t="shared" si="9"/>
        <v>0</v>
      </c>
      <c r="V25" s="52"/>
      <c r="W25" s="51">
        <f t="shared" si="10"/>
        <v>0</v>
      </c>
      <c r="X25" s="52"/>
      <c r="Y25" s="51">
        <f t="shared" si="11"/>
        <v>0</v>
      </c>
      <c r="Z25" s="52"/>
      <c r="AA25" s="51">
        <f t="shared" si="12"/>
        <v>0</v>
      </c>
      <c r="AB25" s="52"/>
      <c r="AC25" s="51">
        <f t="shared" si="13"/>
        <v>0</v>
      </c>
      <c r="AD25" s="52"/>
      <c r="AE25" s="53">
        <f t="shared" si="14"/>
        <v>0</v>
      </c>
      <c r="AF25" s="50"/>
      <c r="AG25" s="51">
        <f t="shared" si="15"/>
        <v>0</v>
      </c>
      <c r="AH25" s="52"/>
      <c r="AI25" s="51">
        <f t="shared" si="16"/>
        <v>0</v>
      </c>
      <c r="AJ25" s="52"/>
      <c r="AK25" s="51">
        <f t="shared" si="17"/>
        <v>0</v>
      </c>
      <c r="AL25" s="52"/>
      <c r="AM25" s="51">
        <f t="shared" si="18"/>
        <v>0</v>
      </c>
      <c r="AN25" s="52"/>
      <c r="AO25" s="53">
        <f t="shared" si="19"/>
        <v>0</v>
      </c>
    </row>
    <row r="26" spans="1:41" x14ac:dyDescent="0.25">
      <c r="A26" s="26" t="s">
        <v>141</v>
      </c>
      <c r="B26" s="50">
        <v>0</v>
      </c>
      <c r="C26" s="79">
        <f t="shared" si="0"/>
        <v>0</v>
      </c>
      <c r="D26" s="52"/>
      <c r="E26" s="79">
        <f t="shared" si="1"/>
        <v>0</v>
      </c>
      <c r="F26" s="52"/>
      <c r="G26" s="79">
        <f t="shared" si="2"/>
        <v>0</v>
      </c>
      <c r="H26" s="52"/>
      <c r="I26" s="79">
        <f t="shared" si="3"/>
        <v>0</v>
      </c>
      <c r="J26" s="52"/>
      <c r="K26" s="79">
        <f t="shared" si="4"/>
        <v>0</v>
      </c>
      <c r="L26" s="50">
        <v>0</v>
      </c>
      <c r="M26" s="79">
        <f t="shared" si="5"/>
        <v>0</v>
      </c>
      <c r="N26" s="52"/>
      <c r="O26" s="79">
        <f t="shared" si="6"/>
        <v>0</v>
      </c>
      <c r="P26" s="52"/>
      <c r="Q26" s="79">
        <f t="shared" si="7"/>
        <v>0</v>
      </c>
      <c r="R26" s="52"/>
      <c r="S26" s="79">
        <f t="shared" si="8"/>
        <v>0</v>
      </c>
      <c r="T26" s="52"/>
      <c r="U26" s="90">
        <f t="shared" si="9"/>
        <v>0</v>
      </c>
      <c r="V26" s="52"/>
      <c r="W26" s="51">
        <f t="shared" si="10"/>
        <v>0</v>
      </c>
      <c r="X26" s="52"/>
      <c r="Y26" s="51">
        <f t="shared" si="11"/>
        <v>0</v>
      </c>
      <c r="Z26" s="52"/>
      <c r="AA26" s="51">
        <f t="shared" si="12"/>
        <v>0</v>
      </c>
      <c r="AB26" s="52"/>
      <c r="AC26" s="51">
        <f t="shared" si="13"/>
        <v>0</v>
      </c>
      <c r="AD26" s="52"/>
      <c r="AE26" s="53">
        <f t="shared" si="14"/>
        <v>0</v>
      </c>
      <c r="AF26" s="50"/>
      <c r="AG26" s="51">
        <f t="shared" si="15"/>
        <v>0</v>
      </c>
      <c r="AH26" s="52"/>
      <c r="AI26" s="51">
        <f t="shared" si="16"/>
        <v>0</v>
      </c>
      <c r="AJ26" s="52"/>
      <c r="AK26" s="51">
        <f t="shared" si="17"/>
        <v>0</v>
      </c>
      <c r="AL26" s="52"/>
      <c r="AM26" s="51">
        <f t="shared" si="18"/>
        <v>0</v>
      </c>
      <c r="AN26" s="52"/>
      <c r="AO26" s="53">
        <f t="shared" si="19"/>
        <v>0</v>
      </c>
    </row>
    <row r="27" spans="1:41" x14ac:dyDescent="0.25">
      <c r="A27" s="26" t="s">
        <v>142</v>
      </c>
      <c r="B27" s="50">
        <v>0</v>
      </c>
      <c r="C27" s="79">
        <f t="shared" si="0"/>
        <v>0</v>
      </c>
      <c r="D27" s="52"/>
      <c r="E27" s="79">
        <f t="shared" si="1"/>
        <v>0</v>
      </c>
      <c r="F27" s="52"/>
      <c r="G27" s="79">
        <f t="shared" si="2"/>
        <v>0</v>
      </c>
      <c r="H27" s="52"/>
      <c r="I27" s="79">
        <f t="shared" si="3"/>
        <v>0</v>
      </c>
      <c r="J27" s="52"/>
      <c r="K27" s="79">
        <f t="shared" si="4"/>
        <v>0</v>
      </c>
      <c r="L27" s="50">
        <v>0</v>
      </c>
      <c r="M27" s="79">
        <f t="shared" si="5"/>
        <v>0</v>
      </c>
      <c r="N27" s="52"/>
      <c r="O27" s="79">
        <f t="shared" si="6"/>
        <v>0</v>
      </c>
      <c r="P27" s="52"/>
      <c r="Q27" s="79">
        <f t="shared" si="7"/>
        <v>0</v>
      </c>
      <c r="R27" s="52"/>
      <c r="S27" s="79">
        <f t="shared" si="8"/>
        <v>0</v>
      </c>
      <c r="T27" s="52"/>
      <c r="U27" s="90">
        <f t="shared" si="9"/>
        <v>0</v>
      </c>
      <c r="V27" s="52"/>
      <c r="W27" s="51">
        <f t="shared" si="10"/>
        <v>0</v>
      </c>
      <c r="X27" s="52"/>
      <c r="Y27" s="51">
        <f t="shared" si="11"/>
        <v>0</v>
      </c>
      <c r="Z27" s="52"/>
      <c r="AA27" s="51">
        <f t="shared" si="12"/>
        <v>0</v>
      </c>
      <c r="AB27" s="52"/>
      <c r="AC27" s="51">
        <f t="shared" si="13"/>
        <v>0</v>
      </c>
      <c r="AD27" s="52"/>
      <c r="AE27" s="53">
        <f t="shared" si="14"/>
        <v>0</v>
      </c>
      <c r="AF27" s="50"/>
      <c r="AG27" s="51">
        <f t="shared" si="15"/>
        <v>0</v>
      </c>
      <c r="AH27" s="52"/>
      <c r="AI27" s="51">
        <f t="shared" si="16"/>
        <v>0</v>
      </c>
      <c r="AJ27" s="52"/>
      <c r="AK27" s="51">
        <f t="shared" si="17"/>
        <v>0</v>
      </c>
      <c r="AL27" s="52"/>
      <c r="AM27" s="51">
        <f t="shared" si="18"/>
        <v>0</v>
      </c>
      <c r="AN27" s="52"/>
      <c r="AO27" s="53">
        <f t="shared" si="19"/>
        <v>0</v>
      </c>
    </row>
    <row r="28" spans="1:41" x14ac:dyDescent="0.25">
      <c r="A28" s="26" t="s">
        <v>143</v>
      </c>
      <c r="B28" s="50">
        <v>0</v>
      </c>
      <c r="C28" s="79">
        <f t="shared" si="0"/>
        <v>0</v>
      </c>
      <c r="D28" s="52"/>
      <c r="E28" s="79">
        <f t="shared" si="1"/>
        <v>0</v>
      </c>
      <c r="F28" s="52"/>
      <c r="G28" s="79">
        <f t="shared" si="2"/>
        <v>0</v>
      </c>
      <c r="H28" s="52"/>
      <c r="I28" s="79">
        <f t="shared" si="3"/>
        <v>0</v>
      </c>
      <c r="J28" s="52"/>
      <c r="K28" s="79">
        <f t="shared" si="4"/>
        <v>0</v>
      </c>
      <c r="L28" s="50">
        <v>0</v>
      </c>
      <c r="M28" s="79">
        <f t="shared" si="5"/>
        <v>0</v>
      </c>
      <c r="N28" s="52"/>
      <c r="O28" s="79">
        <f t="shared" si="6"/>
        <v>0</v>
      </c>
      <c r="P28" s="52"/>
      <c r="Q28" s="79">
        <f t="shared" si="7"/>
        <v>0</v>
      </c>
      <c r="R28" s="52"/>
      <c r="S28" s="79">
        <f t="shared" si="8"/>
        <v>0</v>
      </c>
      <c r="T28" s="52"/>
      <c r="U28" s="90">
        <f t="shared" si="9"/>
        <v>0</v>
      </c>
      <c r="V28" s="52"/>
      <c r="W28" s="51">
        <f t="shared" si="10"/>
        <v>0</v>
      </c>
      <c r="X28" s="52"/>
      <c r="Y28" s="51">
        <f t="shared" si="11"/>
        <v>0</v>
      </c>
      <c r="Z28" s="52"/>
      <c r="AA28" s="51">
        <f t="shared" si="12"/>
        <v>0</v>
      </c>
      <c r="AB28" s="52"/>
      <c r="AC28" s="51">
        <f t="shared" si="13"/>
        <v>0</v>
      </c>
      <c r="AD28" s="52"/>
      <c r="AE28" s="53">
        <f t="shared" si="14"/>
        <v>0</v>
      </c>
      <c r="AF28" s="50"/>
      <c r="AG28" s="51">
        <f t="shared" si="15"/>
        <v>0</v>
      </c>
      <c r="AH28" s="52"/>
      <c r="AI28" s="51">
        <f t="shared" si="16"/>
        <v>0</v>
      </c>
      <c r="AJ28" s="52"/>
      <c r="AK28" s="51">
        <f t="shared" si="17"/>
        <v>0</v>
      </c>
      <c r="AL28" s="52"/>
      <c r="AM28" s="51">
        <f t="shared" si="18"/>
        <v>0</v>
      </c>
      <c r="AN28" s="52"/>
      <c r="AO28" s="53">
        <f t="shared" si="19"/>
        <v>0</v>
      </c>
    </row>
    <row r="29" spans="1:41" x14ac:dyDescent="0.25">
      <c r="A29" s="26" t="s">
        <v>192</v>
      </c>
      <c r="B29" s="50">
        <v>0</v>
      </c>
      <c r="C29" s="79">
        <f t="shared" si="0"/>
        <v>0</v>
      </c>
      <c r="D29" s="52"/>
      <c r="E29" s="79">
        <f t="shared" si="1"/>
        <v>0</v>
      </c>
      <c r="F29" s="52"/>
      <c r="G29" s="79">
        <f t="shared" si="2"/>
        <v>0</v>
      </c>
      <c r="H29" s="52"/>
      <c r="I29" s="79">
        <f t="shared" si="3"/>
        <v>0</v>
      </c>
      <c r="J29" s="52"/>
      <c r="K29" s="79">
        <f t="shared" si="4"/>
        <v>0</v>
      </c>
      <c r="L29" s="50">
        <v>0</v>
      </c>
      <c r="M29" s="79">
        <f t="shared" si="5"/>
        <v>0</v>
      </c>
      <c r="N29" s="52"/>
      <c r="O29" s="79">
        <f t="shared" si="6"/>
        <v>0</v>
      </c>
      <c r="P29" s="52"/>
      <c r="Q29" s="79">
        <f t="shared" si="7"/>
        <v>0</v>
      </c>
      <c r="R29" s="52"/>
      <c r="S29" s="79">
        <f t="shared" si="8"/>
        <v>0</v>
      </c>
      <c r="T29" s="52"/>
      <c r="U29" s="90">
        <f t="shared" si="9"/>
        <v>0</v>
      </c>
      <c r="V29" s="52"/>
      <c r="W29" s="51">
        <f t="shared" si="10"/>
        <v>0</v>
      </c>
      <c r="X29" s="52"/>
      <c r="Y29" s="51">
        <f t="shared" si="11"/>
        <v>0</v>
      </c>
      <c r="Z29" s="52"/>
      <c r="AA29" s="51">
        <f t="shared" si="12"/>
        <v>0</v>
      </c>
      <c r="AB29" s="52"/>
      <c r="AC29" s="51">
        <f t="shared" si="13"/>
        <v>0</v>
      </c>
      <c r="AD29" s="52"/>
      <c r="AE29" s="53">
        <f t="shared" si="14"/>
        <v>0</v>
      </c>
      <c r="AF29" s="50"/>
      <c r="AG29" s="51">
        <f t="shared" si="15"/>
        <v>0</v>
      </c>
      <c r="AH29" s="52"/>
      <c r="AI29" s="51">
        <f t="shared" si="16"/>
        <v>0</v>
      </c>
      <c r="AJ29" s="52"/>
      <c r="AK29" s="51">
        <f t="shared" si="17"/>
        <v>0</v>
      </c>
      <c r="AL29" s="52"/>
      <c r="AM29" s="51">
        <f t="shared" si="18"/>
        <v>0</v>
      </c>
      <c r="AN29" s="52"/>
      <c r="AO29" s="53">
        <f t="shared" si="19"/>
        <v>0</v>
      </c>
    </row>
    <row r="30" spans="1:41" x14ac:dyDescent="0.25">
      <c r="A30" s="26" t="s">
        <v>144</v>
      </c>
      <c r="B30" s="50">
        <v>0</v>
      </c>
      <c r="C30" s="79">
        <f t="shared" si="0"/>
        <v>0</v>
      </c>
      <c r="D30" s="52"/>
      <c r="E30" s="79">
        <f t="shared" si="1"/>
        <v>0</v>
      </c>
      <c r="F30" s="52"/>
      <c r="G30" s="79">
        <f t="shared" si="2"/>
        <v>0</v>
      </c>
      <c r="H30" s="52"/>
      <c r="I30" s="79">
        <f t="shared" si="3"/>
        <v>0</v>
      </c>
      <c r="J30" s="52"/>
      <c r="K30" s="79">
        <f t="shared" si="4"/>
        <v>0</v>
      </c>
      <c r="L30" s="50">
        <v>0</v>
      </c>
      <c r="M30" s="79">
        <f t="shared" si="5"/>
        <v>0</v>
      </c>
      <c r="N30" s="52"/>
      <c r="O30" s="79">
        <f t="shared" si="6"/>
        <v>0</v>
      </c>
      <c r="P30" s="52"/>
      <c r="Q30" s="79">
        <f t="shared" si="7"/>
        <v>0</v>
      </c>
      <c r="R30" s="52"/>
      <c r="S30" s="79">
        <f t="shared" si="8"/>
        <v>0</v>
      </c>
      <c r="T30" s="52"/>
      <c r="U30" s="90">
        <f t="shared" si="9"/>
        <v>0</v>
      </c>
      <c r="V30" s="52"/>
      <c r="W30" s="51">
        <f t="shared" si="10"/>
        <v>0</v>
      </c>
      <c r="X30" s="52"/>
      <c r="Y30" s="51">
        <f t="shared" si="11"/>
        <v>0</v>
      </c>
      <c r="Z30" s="52"/>
      <c r="AA30" s="51">
        <f t="shared" si="12"/>
        <v>0</v>
      </c>
      <c r="AB30" s="52"/>
      <c r="AC30" s="51">
        <f t="shared" si="13"/>
        <v>0</v>
      </c>
      <c r="AD30" s="52"/>
      <c r="AE30" s="53">
        <f t="shared" si="14"/>
        <v>0</v>
      </c>
      <c r="AF30" s="50"/>
      <c r="AG30" s="51">
        <f t="shared" si="15"/>
        <v>0</v>
      </c>
      <c r="AH30" s="52"/>
      <c r="AI30" s="51">
        <f t="shared" si="16"/>
        <v>0</v>
      </c>
      <c r="AJ30" s="52"/>
      <c r="AK30" s="51">
        <f t="shared" si="17"/>
        <v>0</v>
      </c>
      <c r="AL30" s="52"/>
      <c r="AM30" s="51">
        <f t="shared" si="18"/>
        <v>0</v>
      </c>
      <c r="AN30" s="52"/>
      <c r="AO30" s="53">
        <f t="shared" si="19"/>
        <v>0</v>
      </c>
    </row>
    <row r="31" spans="1:41" x14ac:dyDescent="0.25">
      <c r="A31" s="26" t="s">
        <v>145</v>
      </c>
      <c r="B31" s="50">
        <v>0</v>
      </c>
      <c r="C31" s="79">
        <f t="shared" si="0"/>
        <v>0</v>
      </c>
      <c r="D31" s="52"/>
      <c r="E31" s="79">
        <f t="shared" si="1"/>
        <v>0</v>
      </c>
      <c r="F31" s="52"/>
      <c r="G31" s="79">
        <f t="shared" si="2"/>
        <v>0</v>
      </c>
      <c r="H31" s="52"/>
      <c r="I31" s="79">
        <f t="shared" si="3"/>
        <v>0</v>
      </c>
      <c r="J31" s="52"/>
      <c r="K31" s="79">
        <f t="shared" si="4"/>
        <v>0</v>
      </c>
      <c r="L31" s="50">
        <v>0</v>
      </c>
      <c r="M31" s="79">
        <f t="shared" si="5"/>
        <v>0</v>
      </c>
      <c r="N31" s="52"/>
      <c r="O31" s="79">
        <f t="shared" si="6"/>
        <v>0</v>
      </c>
      <c r="P31" s="52"/>
      <c r="Q31" s="79">
        <f t="shared" si="7"/>
        <v>0</v>
      </c>
      <c r="R31" s="52"/>
      <c r="S31" s="79">
        <f t="shared" si="8"/>
        <v>0</v>
      </c>
      <c r="T31" s="52"/>
      <c r="U31" s="90">
        <f t="shared" si="9"/>
        <v>0</v>
      </c>
      <c r="V31" s="52"/>
      <c r="W31" s="51">
        <f t="shared" si="10"/>
        <v>0</v>
      </c>
      <c r="X31" s="52"/>
      <c r="Y31" s="51">
        <f t="shared" si="11"/>
        <v>0</v>
      </c>
      <c r="Z31" s="52"/>
      <c r="AA31" s="51">
        <f t="shared" si="12"/>
        <v>0</v>
      </c>
      <c r="AB31" s="52"/>
      <c r="AC31" s="51">
        <f t="shared" si="13"/>
        <v>0</v>
      </c>
      <c r="AD31" s="52"/>
      <c r="AE31" s="53">
        <f t="shared" si="14"/>
        <v>0</v>
      </c>
      <c r="AF31" s="50"/>
      <c r="AG31" s="51">
        <f t="shared" si="15"/>
        <v>0</v>
      </c>
      <c r="AH31" s="52"/>
      <c r="AI31" s="51">
        <f t="shared" si="16"/>
        <v>0</v>
      </c>
      <c r="AJ31" s="52"/>
      <c r="AK31" s="51">
        <f t="shared" si="17"/>
        <v>0</v>
      </c>
      <c r="AL31" s="52"/>
      <c r="AM31" s="51">
        <f t="shared" si="18"/>
        <v>0</v>
      </c>
      <c r="AN31" s="52"/>
      <c r="AO31" s="53">
        <f t="shared" si="19"/>
        <v>0</v>
      </c>
    </row>
    <row r="32" spans="1:41" x14ac:dyDescent="0.25">
      <c r="A32" s="26" t="s">
        <v>146</v>
      </c>
      <c r="B32" s="50">
        <v>0</v>
      </c>
      <c r="C32" s="79">
        <f t="shared" si="0"/>
        <v>0</v>
      </c>
      <c r="D32" s="52"/>
      <c r="E32" s="79">
        <f t="shared" si="1"/>
        <v>0</v>
      </c>
      <c r="F32" s="52"/>
      <c r="G32" s="79">
        <f t="shared" si="2"/>
        <v>0</v>
      </c>
      <c r="H32" s="52"/>
      <c r="I32" s="79">
        <f t="shared" si="3"/>
        <v>0</v>
      </c>
      <c r="J32" s="52"/>
      <c r="K32" s="79">
        <f t="shared" si="4"/>
        <v>0</v>
      </c>
      <c r="L32" s="50">
        <v>0</v>
      </c>
      <c r="M32" s="79">
        <f t="shared" si="5"/>
        <v>0</v>
      </c>
      <c r="N32" s="52"/>
      <c r="O32" s="79">
        <f t="shared" si="6"/>
        <v>0</v>
      </c>
      <c r="P32" s="52"/>
      <c r="Q32" s="79">
        <f t="shared" si="7"/>
        <v>0</v>
      </c>
      <c r="R32" s="52"/>
      <c r="S32" s="79">
        <f t="shared" si="8"/>
        <v>0</v>
      </c>
      <c r="T32" s="52"/>
      <c r="U32" s="90">
        <f t="shared" si="9"/>
        <v>0</v>
      </c>
      <c r="V32" s="52"/>
      <c r="W32" s="51">
        <f t="shared" si="10"/>
        <v>0</v>
      </c>
      <c r="X32" s="52"/>
      <c r="Y32" s="51">
        <f t="shared" si="11"/>
        <v>0</v>
      </c>
      <c r="Z32" s="52"/>
      <c r="AA32" s="51">
        <f t="shared" si="12"/>
        <v>0</v>
      </c>
      <c r="AB32" s="52"/>
      <c r="AC32" s="51">
        <f t="shared" si="13"/>
        <v>0</v>
      </c>
      <c r="AD32" s="52"/>
      <c r="AE32" s="53">
        <f t="shared" si="14"/>
        <v>0</v>
      </c>
      <c r="AF32" s="50"/>
      <c r="AG32" s="51">
        <f t="shared" si="15"/>
        <v>0</v>
      </c>
      <c r="AH32" s="52"/>
      <c r="AI32" s="51">
        <f t="shared" si="16"/>
        <v>0</v>
      </c>
      <c r="AJ32" s="52"/>
      <c r="AK32" s="51">
        <f t="shared" si="17"/>
        <v>0</v>
      </c>
      <c r="AL32" s="52"/>
      <c r="AM32" s="51">
        <f t="shared" si="18"/>
        <v>0</v>
      </c>
      <c r="AN32" s="52"/>
      <c r="AO32" s="53">
        <f t="shared" si="19"/>
        <v>0</v>
      </c>
    </row>
    <row r="33" spans="1:41" x14ac:dyDescent="0.25">
      <c r="A33" s="27" t="s">
        <v>72</v>
      </c>
      <c r="B33" s="50">
        <v>0</v>
      </c>
      <c r="C33" s="79">
        <f t="shared" si="0"/>
        <v>0</v>
      </c>
      <c r="D33" s="52"/>
      <c r="E33" s="79">
        <f t="shared" si="1"/>
        <v>0</v>
      </c>
      <c r="F33" s="52"/>
      <c r="G33" s="79">
        <f t="shared" si="2"/>
        <v>0</v>
      </c>
      <c r="H33" s="52"/>
      <c r="I33" s="79">
        <f t="shared" si="3"/>
        <v>0</v>
      </c>
      <c r="J33" s="52"/>
      <c r="K33" s="79">
        <f t="shared" si="4"/>
        <v>0</v>
      </c>
      <c r="L33" s="50">
        <v>0</v>
      </c>
      <c r="M33" s="79">
        <f t="shared" si="5"/>
        <v>0</v>
      </c>
      <c r="N33" s="52"/>
      <c r="O33" s="79">
        <f t="shared" si="6"/>
        <v>0</v>
      </c>
      <c r="P33" s="52"/>
      <c r="Q33" s="79">
        <f t="shared" si="7"/>
        <v>0</v>
      </c>
      <c r="R33" s="52"/>
      <c r="S33" s="79">
        <f t="shared" si="8"/>
        <v>0</v>
      </c>
      <c r="T33" s="52"/>
      <c r="U33" s="90">
        <f t="shared" si="9"/>
        <v>0</v>
      </c>
      <c r="V33" s="52"/>
      <c r="W33" s="51">
        <f t="shared" si="10"/>
        <v>0</v>
      </c>
      <c r="X33" s="52"/>
      <c r="Y33" s="51">
        <f t="shared" si="11"/>
        <v>0</v>
      </c>
      <c r="Z33" s="52"/>
      <c r="AA33" s="51">
        <f t="shared" si="12"/>
        <v>0</v>
      </c>
      <c r="AB33" s="52"/>
      <c r="AC33" s="51">
        <f t="shared" si="13"/>
        <v>0</v>
      </c>
      <c r="AD33" s="52"/>
      <c r="AE33" s="53">
        <f t="shared" si="14"/>
        <v>0</v>
      </c>
      <c r="AF33" s="50"/>
      <c r="AG33" s="51">
        <f t="shared" si="15"/>
        <v>0</v>
      </c>
      <c r="AH33" s="52"/>
      <c r="AI33" s="51">
        <f t="shared" si="16"/>
        <v>0</v>
      </c>
      <c r="AJ33" s="52"/>
      <c r="AK33" s="51">
        <f t="shared" si="17"/>
        <v>0</v>
      </c>
      <c r="AL33" s="52"/>
      <c r="AM33" s="51">
        <f t="shared" si="18"/>
        <v>0</v>
      </c>
      <c r="AN33" s="52"/>
      <c r="AO33" s="53">
        <f t="shared" si="19"/>
        <v>0</v>
      </c>
    </row>
    <row r="34" spans="1:41" x14ac:dyDescent="0.25">
      <c r="A34" s="27" t="s">
        <v>73</v>
      </c>
      <c r="B34" s="50">
        <v>0</v>
      </c>
      <c r="C34" s="79">
        <f t="shared" si="0"/>
        <v>0</v>
      </c>
      <c r="D34" s="52"/>
      <c r="E34" s="79">
        <f t="shared" si="1"/>
        <v>0</v>
      </c>
      <c r="F34" s="52"/>
      <c r="G34" s="79">
        <f t="shared" si="2"/>
        <v>0</v>
      </c>
      <c r="H34" s="52"/>
      <c r="I34" s="79">
        <f t="shared" si="3"/>
        <v>0</v>
      </c>
      <c r="J34" s="52"/>
      <c r="K34" s="79">
        <f t="shared" si="4"/>
        <v>0</v>
      </c>
      <c r="L34" s="50">
        <v>0</v>
      </c>
      <c r="M34" s="79">
        <f t="shared" si="5"/>
        <v>0</v>
      </c>
      <c r="N34" s="52"/>
      <c r="O34" s="79">
        <f t="shared" si="6"/>
        <v>0</v>
      </c>
      <c r="P34" s="52"/>
      <c r="Q34" s="79">
        <f t="shared" si="7"/>
        <v>0</v>
      </c>
      <c r="R34" s="52"/>
      <c r="S34" s="79">
        <f t="shared" si="8"/>
        <v>0</v>
      </c>
      <c r="T34" s="52"/>
      <c r="U34" s="90">
        <f t="shared" si="9"/>
        <v>0</v>
      </c>
      <c r="V34" s="52"/>
      <c r="W34" s="51">
        <f t="shared" si="10"/>
        <v>0</v>
      </c>
      <c r="X34" s="52"/>
      <c r="Y34" s="51">
        <f t="shared" si="11"/>
        <v>0</v>
      </c>
      <c r="Z34" s="52"/>
      <c r="AA34" s="51">
        <f t="shared" si="12"/>
        <v>0</v>
      </c>
      <c r="AB34" s="52"/>
      <c r="AC34" s="51">
        <f t="shared" si="13"/>
        <v>0</v>
      </c>
      <c r="AD34" s="52"/>
      <c r="AE34" s="53">
        <f t="shared" si="14"/>
        <v>0</v>
      </c>
      <c r="AF34" s="50"/>
      <c r="AG34" s="51">
        <f t="shared" si="15"/>
        <v>0</v>
      </c>
      <c r="AH34" s="52"/>
      <c r="AI34" s="51">
        <f t="shared" si="16"/>
        <v>0</v>
      </c>
      <c r="AJ34" s="52"/>
      <c r="AK34" s="51">
        <f t="shared" si="17"/>
        <v>0</v>
      </c>
      <c r="AL34" s="52"/>
      <c r="AM34" s="51">
        <f t="shared" si="18"/>
        <v>0</v>
      </c>
      <c r="AN34" s="52"/>
      <c r="AO34" s="53">
        <f t="shared" si="19"/>
        <v>0</v>
      </c>
    </row>
    <row r="35" spans="1:41" x14ac:dyDescent="0.25">
      <c r="A35" s="27" t="s">
        <v>74</v>
      </c>
      <c r="B35" s="50">
        <v>0</v>
      </c>
      <c r="C35" s="79">
        <f t="shared" si="0"/>
        <v>0</v>
      </c>
      <c r="D35" s="52"/>
      <c r="E35" s="79">
        <f t="shared" si="1"/>
        <v>0</v>
      </c>
      <c r="F35" s="52"/>
      <c r="G35" s="79">
        <f t="shared" si="2"/>
        <v>0</v>
      </c>
      <c r="H35" s="52"/>
      <c r="I35" s="79">
        <f t="shared" si="3"/>
        <v>0</v>
      </c>
      <c r="J35" s="52"/>
      <c r="K35" s="79">
        <f t="shared" si="4"/>
        <v>0</v>
      </c>
      <c r="L35" s="50">
        <v>0</v>
      </c>
      <c r="M35" s="79">
        <f t="shared" si="5"/>
        <v>0</v>
      </c>
      <c r="N35" s="52"/>
      <c r="O35" s="79">
        <f t="shared" si="6"/>
        <v>0</v>
      </c>
      <c r="P35" s="52"/>
      <c r="Q35" s="79">
        <f t="shared" si="7"/>
        <v>0</v>
      </c>
      <c r="R35" s="52"/>
      <c r="S35" s="79">
        <f t="shared" si="8"/>
        <v>0</v>
      </c>
      <c r="T35" s="52"/>
      <c r="U35" s="90">
        <f t="shared" si="9"/>
        <v>0</v>
      </c>
      <c r="V35" s="52"/>
      <c r="W35" s="51">
        <f t="shared" si="10"/>
        <v>0</v>
      </c>
      <c r="X35" s="52"/>
      <c r="Y35" s="51">
        <f t="shared" si="11"/>
        <v>0</v>
      </c>
      <c r="Z35" s="52"/>
      <c r="AA35" s="51">
        <f t="shared" si="12"/>
        <v>0</v>
      </c>
      <c r="AB35" s="52"/>
      <c r="AC35" s="51">
        <f t="shared" si="13"/>
        <v>0</v>
      </c>
      <c r="AD35" s="52"/>
      <c r="AE35" s="53">
        <f t="shared" si="14"/>
        <v>0</v>
      </c>
      <c r="AF35" s="50"/>
      <c r="AG35" s="51">
        <f t="shared" si="15"/>
        <v>0</v>
      </c>
      <c r="AH35" s="52"/>
      <c r="AI35" s="51">
        <f t="shared" si="16"/>
        <v>0</v>
      </c>
      <c r="AJ35" s="52"/>
      <c r="AK35" s="51">
        <f t="shared" si="17"/>
        <v>0</v>
      </c>
      <c r="AL35" s="52"/>
      <c r="AM35" s="51">
        <f t="shared" si="18"/>
        <v>0</v>
      </c>
      <c r="AN35" s="52"/>
      <c r="AO35" s="53">
        <f t="shared" si="19"/>
        <v>0</v>
      </c>
    </row>
    <row r="36" spans="1:41" x14ac:dyDescent="0.25">
      <c r="A36" s="27" t="s">
        <v>75</v>
      </c>
      <c r="B36" s="50">
        <v>0</v>
      </c>
      <c r="C36" s="79">
        <f t="shared" si="0"/>
        <v>0</v>
      </c>
      <c r="D36" s="52"/>
      <c r="E36" s="79">
        <f t="shared" si="1"/>
        <v>0</v>
      </c>
      <c r="F36" s="52"/>
      <c r="G36" s="79">
        <f t="shared" si="2"/>
        <v>0</v>
      </c>
      <c r="H36" s="52"/>
      <c r="I36" s="79">
        <f t="shared" si="3"/>
        <v>0</v>
      </c>
      <c r="J36" s="52"/>
      <c r="K36" s="79">
        <f t="shared" si="4"/>
        <v>0</v>
      </c>
      <c r="L36" s="50">
        <v>0</v>
      </c>
      <c r="M36" s="79">
        <f t="shared" si="5"/>
        <v>0</v>
      </c>
      <c r="N36" s="52"/>
      <c r="O36" s="79">
        <f t="shared" si="6"/>
        <v>0</v>
      </c>
      <c r="P36" s="52"/>
      <c r="Q36" s="79">
        <f t="shared" si="7"/>
        <v>0</v>
      </c>
      <c r="R36" s="52"/>
      <c r="S36" s="79">
        <f t="shared" si="8"/>
        <v>0</v>
      </c>
      <c r="T36" s="52"/>
      <c r="U36" s="90">
        <f t="shared" si="9"/>
        <v>0</v>
      </c>
      <c r="V36" s="52"/>
      <c r="W36" s="51">
        <f t="shared" si="10"/>
        <v>0</v>
      </c>
      <c r="X36" s="52"/>
      <c r="Y36" s="51">
        <f t="shared" si="11"/>
        <v>0</v>
      </c>
      <c r="Z36" s="52"/>
      <c r="AA36" s="51">
        <f t="shared" si="12"/>
        <v>0</v>
      </c>
      <c r="AB36" s="52"/>
      <c r="AC36" s="51">
        <f t="shared" si="13"/>
        <v>0</v>
      </c>
      <c r="AD36" s="52"/>
      <c r="AE36" s="53">
        <f t="shared" si="14"/>
        <v>0</v>
      </c>
      <c r="AF36" s="50"/>
      <c r="AG36" s="51">
        <f t="shared" si="15"/>
        <v>0</v>
      </c>
      <c r="AH36" s="52"/>
      <c r="AI36" s="51">
        <f t="shared" si="16"/>
        <v>0</v>
      </c>
      <c r="AJ36" s="52"/>
      <c r="AK36" s="51">
        <f t="shared" si="17"/>
        <v>0</v>
      </c>
      <c r="AL36" s="52"/>
      <c r="AM36" s="51">
        <f t="shared" si="18"/>
        <v>0</v>
      </c>
      <c r="AN36" s="52"/>
      <c r="AO36" s="53">
        <f t="shared" si="19"/>
        <v>0</v>
      </c>
    </row>
    <row r="37" spans="1:41" x14ac:dyDescent="0.25">
      <c r="A37" s="27" t="s">
        <v>76</v>
      </c>
      <c r="B37" s="50">
        <v>0</v>
      </c>
      <c r="C37" s="79">
        <f t="shared" si="0"/>
        <v>0</v>
      </c>
      <c r="D37" s="52"/>
      <c r="E37" s="79">
        <f t="shared" si="1"/>
        <v>0</v>
      </c>
      <c r="F37" s="52"/>
      <c r="G37" s="79">
        <f t="shared" si="2"/>
        <v>0</v>
      </c>
      <c r="H37" s="52"/>
      <c r="I37" s="79">
        <f t="shared" si="3"/>
        <v>0</v>
      </c>
      <c r="J37" s="52"/>
      <c r="K37" s="79">
        <f t="shared" si="4"/>
        <v>0</v>
      </c>
      <c r="L37" s="50">
        <v>0</v>
      </c>
      <c r="M37" s="79">
        <f t="shared" si="5"/>
        <v>0</v>
      </c>
      <c r="N37" s="52"/>
      <c r="O37" s="79">
        <f t="shared" si="6"/>
        <v>0</v>
      </c>
      <c r="P37" s="52"/>
      <c r="Q37" s="79">
        <f t="shared" si="7"/>
        <v>0</v>
      </c>
      <c r="R37" s="52"/>
      <c r="S37" s="79">
        <f t="shared" si="8"/>
        <v>0</v>
      </c>
      <c r="T37" s="52"/>
      <c r="U37" s="90">
        <f t="shared" si="9"/>
        <v>0</v>
      </c>
      <c r="V37" s="52"/>
      <c r="W37" s="51">
        <f t="shared" si="10"/>
        <v>0</v>
      </c>
      <c r="X37" s="52"/>
      <c r="Y37" s="51">
        <f t="shared" si="11"/>
        <v>0</v>
      </c>
      <c r="Z37" s="52">
        <v>0.19791666666666696</v>
      </c>
      <c r="AA37" s="51">
        <f t="shared" si="12"/>
        <v>0</v>
      </c>
      <c r="AB37" s="52">
        <v>0.1701388888888892</v>
      </c>
      <c r="AC37" s="51">
        <f t="shared" si="13"/>
        <v>0</v>
      </c>
      <c r="AD37" s="52"/>
      <c r="AE37" s="53">
        <f t="shared" si="14"/>
        <v>0</v>
      </c>
      <c r="AF37" s="50"/>
      <c r="AG37" s="51">
        <f t="shared" si="15"/>
        <v>0</v>
      </c>
      <c r="AH37" s="52"/>
      <c r="AI37" s="51">
        <f t="shared" si="16"/>
        <v>0</v>
      </c>
      <c r="AJ37" s="52">
        <v>0</v>
      </c>
      <c r="AK37" s="51">
        <f t="shared" si="17"/>
        <v>0</v>
      </c>
      <c r="AL37" s="52">
        <v>0</v>
      </c>
      <c r="AM37" s="51">
        <f t="shared" si="18"/>
        <v>0</v>
      </c>
      <c r="AN37" s="52"/>
      <c r="AO37" s="53">
        <f t="shared" si="19"/>
        <v>0</v>
      </c>
    </row>
    <row r="38" spans="1:41" ht="15.75" thickBot="1" x14ac:dyDescent="0.3">
      <c r="A38" s="27" t="s">
        <v>77</v>
      </c>
      <c r="B38" s="50">
        <v>0</v>
      </c>
      <c r="C38" s="79">
        <f t="shared" si="0"/>
        <v>0</v>
      </c>
      <c r="D38" s="52"/>
      <c r="E38" s="79">
        <f t="shared" si="1"/>
        <v>0</v>
      </c>
      <c r="F38" s="52"/>
      <c r="G38" s="79">
        <f t="shared" si="2"/>
        <v>0</v>
      </c>
      <c r="H38" s="52"/>
      <c r="I38" s="79">
        <f t="shared" si="3"/>
        <v>0</v>
      </c>
      <c r="J38" s="52"/>
      <c r="K38" s="79">
        <f t="shared" si="4"/>
        <v>0</v>
      </c>
      <c r="L38" s="50">
        <v>0</v>
      </c>
      <c r="M38" s="79">
        <f t="shared" si="5"/>
        <v>0</v>
      </c>
      <c r="N38" s="52"/>
      <c r="O38" s="79">
        <f t="shared" si="6"/>
        <v>0</v>
      </c>
      <c r="P38" s="52"/>
      <c r="Q38" s="79">
        <f t="shared" si="7"/>
        <v>0</v>
      </c>
      <c r="R38" s="52"/>
      <c r="S38" s="79">
        <f t="shared" si="8"/>
        <v>0</v>
      </c>
      <c r="T38" s="52"/>
      <c r="U38" s="90">
        <f t="shared" si="9"/>
        <v>0</v>
      </c>
      <c r="V38" s="56"/>
      <c r="W38" s="55">
        <f t="shared" si="10"/>
        <v>0</v>
      </c>
      <c r="X38" s="56"/>
      <c r="Y38" s="55">
        <f t="shared" si="11"/>
        <v>0</v>
      </c>
      <c r="Z38" s="56"/>
      <c r="AA38" s="55">
        <f t="shared" si="12"/>
        <v>0</v>
      </c>
      <c r="AB38" s="56"/>
      <c r="AC38" s="55">
        <f t="shared" si="13"/>
        <v>0</v>
      </c>
      <c r="AD38" s="56"/>
      <c r="AE38" s="57">
        <f t="shared" si="14"/>
        <v>0</v>
      </c>
      <c r="AF38" s="54"/>
      <c r="AG38" s="55">
        <f t="shared" si="15"/>
        <v>0</v>
      </c>
      <c r="AH38" s="56"/>
      <c r="AI38" s="55">
        <f t="shared" si="16"/>
        <v>0</v>
      </c>
      <c r="AJ38" s="56"/>
      <c r="AK38" s="55">
        <f t="shared" si="17"/>
        <v>0</v>
      </c>
      <c r="AL38" s="56"/>
      <c r="AM38" s="55">
        <f t="shared" si="18"/>
        <v>0</v>
      </c>
      <c r="AN38" s="56"/>
      <c r="AO38" s="57">
        <f t="shared" si="19"/>
        <v>0</v>
      </c>
    </row>
    <row r="39" spans="1:41" x14ac:dyDescent="0.25">
      <c r="A39" s="27" t="s">
        <v>78</v>
      </c>
      <c r="B39" s="50">
        <v>0</v>
      </c>
      <c r="C39" s="79">
        <f t="shared" si="0"/>
        <v>0</v>
      </c>
      <c r="D39" s="52"/>
      <c r="E39" s="79">
        <f t="shared" si="1"/>
        <v>0</v>
      </c>
      <c r="F39" s="52"/>
      <c r="G39" s="79">
        <f t="shared" si="2"/>
        <v>0</v>
      </c>
      <c r="H39" s="52"/>
      <c r="I39" s="79">
        <f t="shared" si="3"/>
        <v>0</v>
      </c>
      <c r="J39" s="52"/>
      <c r="K39" s="79">
        <f t="shared" si="4"/>
        <v>0</v>
      </c>
      <c r="L39" s="50">
        <v>0</v>
      </c>
      <c r="M39" s="79">
        <f t="shared" si="5"/>
        <v>0</v>
      </c>
      <c r="N39" s="52"/>
      <c r="O39" s="79">
        <f t="shared" si="6"/>
        <v>0</v>
      </c>
      <c r="P39" s="52"/>
      <c r="Q39" s="79">
        <f t="shared" si="7"/>
        <v>0</v>
      </c>
      <c r="R39" s="52"/>
      <c r="S39" s="79">
        <f t="shared" si="8"/>
        <v>0</v>
      </c>
      <c r="T39" s="52"/>
      <c r="U39" s="90">
        <f t="shared" si="9"/>
        <v>0</v>
      </c>
      <c r="V39" s="43"/>
      <c r="X39" s="43"/>
      <c r="Z39" s="43"/>
      <c r="AB39" s="43"/>
      <c r="AD39" s="43"/>
      <c r="AF39" s="43"/>
      <c r="AH39" s="43"/>
      <c r="AJ39" s="43"/>
      <c r="AL39" s="43"/>
      <c r="AN39" s="43"/>
    </row>
    <row r="40" spans="1:41" ht="15.75" thickBot="1" x14ac:dyDescent="0.3">
      <c r="A40" s="28" t="s">
        <v>79</v>
      </c>
      <c r="B40" s="50">
        <v>0</v>
      </c>
      <c r="C40" s="79">
        <f t="shared" si="0"/>
        <v>0</v>
      </c>
      <c r="D40" s="52"/>
      <c r="E40" s="79">
        <f t="shared" si="1"/>
        <v>0</v>
      </c>
      <c r="F40" s="52"/>
      <c r="G40" s="79">
        <f t="shared" si="2"/>
        <v>0</v>
      </c>
      <c r="H40" s="52"/>
      <c r="I40" s="79">
        <f t="shared" si="3"/>
        <v>0</v>
      </c>
      <c r="J40" s="52"/>
      <c r="K40" s="79">
        <f t="shared" si="4"/>
        <v>0</v>
      </c>
      <c r="L40" s="50">
        <v>1.388888888888884E-2</v>
      </c>
      <c r="M40" s="79">
        <f t="shared" si="5"/>
        <v>2.0833333333333256E-2</v>
      </c>
      <c r="N40" s="52"/>
      <c r="O40" s="79">
        <f t="shared" si="6"/>
        <v>0</v>
      </c>
      <c r="P40" s="52"/>
      <c r="Q40" s="79">
        <f t="shared" si="7"/>
        <v>0</v>
      </c>
      <c r="R40" s="52"/>
      <c r="S40" s="79">
        <f t="shared" si="8"/>
        <v>0</v>
      </c>
      <c r="T40" s="52"/>
      <c r="U40" s="90">
        <f t="shared" si="9"/>
        <v>0</v>
      </c>
      <c r="Z40" s="37">
        <v>140.46666666666701</v>
      </c>
      <c r="AB40" s="37">
        <v>61.3333333333333</v>
      </c>
      <c r="AJ40" s="37">
        <v>94.1666666666667</v>
      </c>
      <c r="AL40" s="37">
        <v>137.75</v>
      </c>
    </row>
    <row r="41" spans="1:41" ht="15.75" thickBot="1" x14ac:dyDescent="0.3">
      <c r="A41" s="28" t="s">
        <v>80</v>
      </c>
      <c r="B41" s="50">
        <v>0</v>
      </c>
      <c r="C41" s="79">
        <f t="shared" si="0"/>
        <v>0</v>
      </c>
      <c r="D41" s="52"/>
      <c r="E41" s="79">
        <f t="shared" si="1"/>
        <v>0</v>
      </c>
      <c r="F41" s="52"/>
      <c r="G41" s="79">
        <f t="shared" si="2"/>
        <v>0</v>
      </c>
      <c r="H41" s="52"/>
      <c r="I41" s="79">
        <f t="shared" si="3"/>
        <v>0</v>
      </c>
      <c r="J41" s="52"/>
      <c r="K41" s="79">
        <f t="shared" si="4"/>
        <v>0</v>
      </c>
      <c r="L41" s="50">
        <v>0</v>
      </c>
      <c r="M41" s="79">
        <f t="shared" si="5"/>
        <v>0</v>
      </c>
      <c r="N41" s="52"/>
      <c r="O41" s="79">
        <f t="shared" si="6"/>
        <v>0</v>
      </c>
      <c r="P41" s="52"/>
      <c r="Q41" s="79">
        <f t="shared" si="7"/>
        <v>0</v>
      </c>
      <c r="R41" s="52"/>
      <c r="S41" s="79">
        <f t="shared" si="8"/>
        <v>0</v>
      </c>
      <c r="T41" s="52"/>
      <c r="U41" s="90">
        <f t="shared" si="9"/>
        <v>0</v>
      </c>
      <c r="Z41" s="37">
        <v>139.96666666666701</v>
      </c>
      <c r="AB41" s="37">
        <v>60.8333333333333</v>
      </c>
      <c r="AJ41" s="37">
        <v>93.383333333333297</v>
      </c>
      <c r="AL41" s="37">
        <v>136.96666666666701</v>
      </c>
    </row>
    <row r="42" spans="1:41" ht="15.75" thickBot="1" x14ac:dyDescent="0.3">
      <c r="A42" s="28" t="s">
        <v>227</v>
      </c>
      <c r="B42" s="54">
        <v>0</v>
      </c>
      <c r="C42" s="88">
        <f t="shared" si="0"/>
        <v>0</v>
      </c>
      <c r="D42" s="56"/>
      <c r="E42" s="88">
        <f t="shared" si="1"/>
        <v>0</v>
      </c>
      <c r="F42" s="56"/>
      <c r="G42" s="88">
        <f t="shared" si="2"/>
        <v>0</v>
      </c>
      <c r="H42" s="56"/>
      <c r="I42" s="88">
        <f t="shared" si="3"/>
        <v>0</v>
      </c>
      <c r="J42" s="56"/>
      <c r="K42" s="88">
        <f t="shared" si="4"/>
        <v>0</v>
      </c>
      <c r="L42" s="54">
        <v>0</v>
      </c>
      <c r="M42" s="88">
        <f t="shared" si="5"/>
        <v>0</v>
      </c>
      <c r="N42" s="56"/>
      <c r="O42" s="88">
        <f t="shared" si="6"/>
        <v>0</v>
      </c>
      <c r="P42" s="56"/>
      <c r="Q42" s="88">
        <f t="shared" si="7"/>
        <v>0</v>
      </c>
      <c r="R42" s="56"/>
      <c r="S42" s="88">
        <f t="shared" si="8"/>
        <v>0</v>
      </c>
      <c r="T42" s="56"/>
      <c r="U42" s="91">
        <f t="shared" si="9"/>
        <v>0</v>
      </c>
      <c r="Z42" s="37">
        <v>139.96666666666701</v>
      </c>
      <c r="AB42" s="37">
        <v>60.8333333333333</v>
      </c>
      <c r="AJ42" s="37">
        <v>93.383333333333297</v>
      </c>
      <c r="AL42" s="37">
        <v>136.96666666666701</v>
      </c>
    </row>
    <row r="43" spans="1:41" x14ac:dyDescent="0.25">
      <c r="B43" s="77">
        <f>SUM(B4:B42)</f>
        <v>0.28125</v>
      </c>
      <c r="C43"/>
      <c r="D43" s="77">
        <f>SUM(D4:D42)</f>
        <v>0</v>
      </c>
      <c r="E43"/>
      <c r="F43" s="77">
        <f>SUM(F4:F42)</f>
        <v>0</v>
      </c>
      <c r="G43"/>
      <c r="H43" s="77">
        <f>SUM(H4:H42)</f>
        <v>0</v>
      </c>
      <c r="I43"/>
      <c r="J43" s="77">
        <f>SUM(J4:J42)</f>
        <v>0</v>
      </c>
      <c r="K43"/>
      <c r="L43" s="77">
        <f>SUM(L4:L42)</f>
        <v>0.66666666666666674</v>
      </c>
      <c r="M43"/>
      <c r="N43" s="77">
        <f>SUM(N4:N42)</f>
        <v>0</v>
      </c>
      <c r="O43"/>
      <c r="P43" s="77">
        <f>SUM(P4:P42)</f>
        <v>0</v>
      </c>
      <c r="Q43"/>
      <c r="R43" s="77">
        <f>SUM(R4:R42)</f>
        <v>0</v>
      </c>
      <c r="S43"/>
      <c r="T43" s="77">
        <f>SUM(T4:T42)</f>
        <v>0</v>
      </c>
      <c r="U43"/>
    </row>
    <row r="44" spans="1:41" x14ac:dyDescent="0.25">
      <c r="B44" s="37">
        <v>6.75</v>
      </c>
      <c r="L44" s="37">
        <v>16</v>
      </c>
    </row>
    <row r="45" spans="1:41" x14ac:dyDescent="0.25">
      <c r="B45" s="37">
        <v>0</v>
      </c>
      <c r="L45" s="37">
        <v>16</v>
      </c>
    </row>
    <row r="46" spans="1:41" x14ac:dyDescent="0.25">
      <c r="B46" s="37">
        <v>6.75</v>
      </c>
    </row>
    <row r="47" spans="1:41" x14ac:dyDescent="0.25">
      <c r="B47" s="37">
        <v>0</v>
      </c>
    </row>
  </sheetData>
  <mergeCells count="24">
    <mergeCell ref="X2:Y2"/>
    <mergeCell ref="B1:K1"/>
    <mergeCell ref="L1:U1"/>
    <mergeCell ref="V1:AE1"/>
    <mergeCell ref="AF1:AO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AL2:AM2"/>
    <mergeCell ref="AN2:AO2"/>
    <mergeCell ref="Z2:AA2"/>
    <mergeCell ref="AB2:AC2"/>
    <mergeCell ref="AD2:AE2"/>
    <mergeCell ref="AF2:AG2"/>
    <mergeCell ref="AH2:AI2"/>
    <mergeCell ref="AJ2:AK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E39"/>
  <sheetViews>
    <sheetView zoomScale="55" zoomScaleNormal="55" workbookViewId="0">
      <selection activeCell="B2" sqref="B2:DB2"/>
    </sheetView>
  </sheetViews>
  <sheetFormatPr defaultRowHeight="15" x14ac:dyDescent="0.25"/>
  <cols>
    <col min="1" max="1" width="34.28515625" style="37" bestFit="1" customWidth="1"/>
    <col min="2" max="16384" width="9.140625" style="37"/>
  </cols>
  <sheetData>
    <row r="1" spans="1:31" ht="15.75" customHeight="1" thickBot="1" x14ac:dyDescent="0.3">
      <c r="B1" s="73" t="s">
        <v>50</v>
      </c>
      <c r="C1" s="68"/>
      <c r="D1" s="68"/>
      <c r="E1" s="68"/>
      <c r="F1" s="68"/>
      <c r="G1" s="68"/>
      <c r="H1" s="68"/>
      <c r="I1" s="68"/>
      <c r="J1" s="68"/>
      <c r="K1" s="69"/>
      <c r="L1" s="73" t="s">
        <v>53</v>
      </c>
      <c r="M1" s="68"/>
      <c r="N1" s="68"/>
      <c r="O1" s="68"/>
      <c r="P1" s="68"/>
      <c r="Q1" s="68"/>
      <c r="R1" s="68"/>
      <c r="S1" s="68"/>
      <c r="T1" s="68"/>
      <c r="U1" s="69"/>
      <c r="V1" s="73" t="s">
        <v>55</v>
      </c>
      <c r="W1" s="68"/>
      <c r="X1" s="68"/>
      <c r="Y1" s="68"/>
      <c r="Z1" s="68"/>
      <c r="AA1" s="68"/>
      <c r="AB1" s="68"/>
      <c r="AC1" s="68"/>
      <c r="AD1" s="68"/>
      <c r="AE1" s="69"/>
    </row>
    <row r="2" spans="1:31" x14ac:dyDescent="0.25">
      <c r="B2" s="65">
        <f ca="1">SunDates!$H1</f>
        <v>43134</v>
      </c>
      <c r="C2" s="66"/>
      <c r="D2" s="65">
        <f ca="1">SunDates!$H2</f>
        <v>43141</v>
      </c>
      <c r="E2" s="66"/>
      <c r="F2" s="65">
        <f ca="1">SunDates!$H3</f>
        <v>43148</v>
      </c>
      <c r="G2" s="66"/>
      <c r="H2" s="65">
        <f ca="1">SunDates!$H4</f>
        <v>43155</v>
      </c>
      <c r="I2" s="66"/>
      <c r="J2" s="65">
        <f ca="1">SunDates!$H5</f>
        <v>43159</v>
      </c>
      <c r="K2" s="66"/>
      <c r="L2" s="65">
        <f ca="1">SunDates!$H1</f>
        <v>43134</v>
      </c>
      <c r="M2" s="66"/>
      <c r="N2" s="65">
        <f ca="1">SunDates!$H2</f>
        <v>43141</v>
      </c>
      <c r="O2" s="66"/>
      <c r="P2" s="65">
        <f ca="1">SunDates!$H3</f>
        <v>43148</v>
      </c>
      <c r="Q2" s="66"/>
      <c r="R2" s="65">
        <f ca="1">SunDates!$H4</f>
        <v>43155</v>
      </c>
      <c r="S2" s="66"/>
      <c r="T2" s="65">
        <f ca="1">SunDates!$H5</f>
        <v>43159</v>
      </c>
      <c r="U2" s="66"/>
      <c r="V2" s="65">
        <f ca="1">SunDates!$H1</f>
        <v>43134</v>
      </c>
      <c r="W2" s="66"/>
      <c r="X2" s="65">
        <f ca="1">SunDates!$H2</f>
        <v>43141</v>
      </c>
      <c r="Y2" s="66"/>
      <c r="Z2" s="65">
        <f ca="1">SunDates!$H3</f>
        <v>43148</v>
      </c>
      <c r="AA2" s="66"/>
      <c r="AB2" s="65">
        <f ca="1">SunDates!$H4</f>
        <v>43155</v>
      </c>
      <c r="AC2" s="66"/>
      <c r="AD2" s="65">
        <f ca="1">SunDates!$H5</f>
        <v>43159</v>
      </c>
      <c r="AE2" s="66"/>
    </row>
    <row r="3" spans="1:31" ht="15.75" thickBot="1" x14ac:dyDescent="0.3">
      <c r="B3" s="40" t="s">
        <v>169</v>
      </c>
      <c r="C3" s="41" t="s">
        <v>170</v>
      </c>
      <c r="D3" s="41" t="s">
        <v>169</v>
      </c>
      <c r="E3" s="41" t="s">
        <v>170</v>
      </c>
      <c r="F3" s="41" t="s">
        <v>169</v>
      </c>
      <c r="G3" s="41" t="s">
        <v>170</v>
      </c>
      <c r="H3" s="41" t="s">
        <v>169</v>
      </c>
      <c r="I3" s="41" t="s">
        <v>170</v>
      </c>
      <c r="J3" s="41" t="s">
        <v>169</v>
      </c>
      <c r="K3" s="42" t="s">
        <v>170</v>
      </c>
      <c r="L3" s="40" t="s">
        <v>169</v>
      </c>
      <c r="M3" s="41" t="s">
        <v>170</v>
      </c>
      <c r="N3" s="41" t="s">
        <v>169</v>
      </c>
      <c r="O3" s="41" t="s">
        <v>170</v>
      </c>
      <c r="P3" s="41" t="s">
        <v>169</v>
      </c>
      <c r="Q3" s="41" t="s">
        <v>170</v>
      </c>
      <c r="R3" s="41" t="s">
        <v>169</v>
      </c>
      <c r="S3" s="41" t="s">
        <v>170</v>
      </c>
      <c r="T3" s="41" t="s">
        <v>169</v>
      </c>
      <c r="U3" s="42" t="s">
        <v>170</v>
      </c>
      <c r="V3" s="40" t="s">
        <v>169</v>
      </c>
      <c r="W3" s="41" t="s">
        <v>170</v>
      </c>
      <c r="X3" s="41" t="s">
        <v>169</v>
      </c>
      <c r="Y3" s="41" t="s">
        <v>170</v>
      </c>
      <c r="Z3" s="41" t="s">
        <v>169</v>
      </c>
      <c r="AA3" s="41" t="s">
        <v>170</v>
      </c>
      <c r="AB3" s="41" t="s">
        <v>169</v>
      </c>
      <c r="AC3" s="41" t="s">
        <v>170</v>
      </c>
      <c r="AD3" s="41" t="s">
        <v>169</v>
      </c>
      <c r="AE3" s="42" t="s">
        <v>170</v>
      </c>
    </row>
    <row r="4" spans="1:31" x14ac:dyDescent="0.25">
      <c r="A4" s="25" t="s">
        <v>62</v>
      </c>
      <c r="B4" s="46"/>
      <c r="C4" s="47">
        <f t="shared" ref="C4:C24" si="0">IFERROR(B4/B$39,0%)</f>
        <v>0</v>
      </c>
      <c r="D4" s="48"/>
      <c r="E4" s="47">
        <f t="shared" ref="E4:E23" si="1">IFERROR(D4/D$39,0%)</f>
        <v>0</v>
      </c>
      <c r="F4" s="48"/>
      <c r="G4" s="47">
        <f t="shared" ref="G4:G22" si="2">IFERROR(F4/F$39,0%)</f>
        <v>0</v>
      </c>
      <c r="H4" s="48"/>
      <c r="I4" s="47">
        <f t="shared" ref="I4:I23" si="3">IFERROR(H4/H$39,0%)</f>
        <v>0</v>
      </c>
      <c r="J4" s="48"/>
      <c r="K4" s="49">
        <f t="shared" ref="K4:K23" si="4">IFERROR(J4/J$39,0%)</f>
        <v>0</v>
      </c>
      <c r="L4" s="46"/>
      <c r="M4" s="47">
        <f t="shared" ref="M4:M23" si="5">IFERROR(L4/L$39,0%)</f>
        <v>0</v>
      </c>
      <c r="N4" s="48"/>
      <c r="O4" s="47">
        <f t="shared" ref="O4:O23" si="6">IFERROR(N4/N$39,0%)</f>
        <v>0</v>
      </c>
      <c r="P4" s="48"/>
      <c r="Q4" s="47">
        <f t="shared" ref="Q4:Q23" si="7">IFERROR(P4/P$39,0%)</f>
        <v>0</v>
      </c>
      <c r="R4" s="48"/>
      <c r="S4" s="47">
        <f t="shared" ref="S4:S24" si="8">IFERROR(R4/R$39,0%)</f>
        <v>0</v>
      </c>
      <c r="T4" s="48"/>
      <c r="U4" s="49">
        <f t="shared" ref="U4:U23" si="9">IFERROR(T4/T$39,0%)</f>
        <v>0</v>
      </c>
      <c r="V4" s="46"/>
      <c r="W4" s="47">
        <f t="shared" ref="W4:W23" si="10">IFERROR(V4/V$39,0%)</f>
        <v>0</v>
      </c>
      <c r="X4" s="48"/>
      <c r="Y4" s="47">
        <f t="shared" ref="Y4:Y20" si="11">IFERROR(X4/X$39,0%)</f>
        <v>0</v>
      </c>
      <c r="Z4" s="48"/>
      <c r="AA4" s="47">
        <f t="shared" ref="AA4:AA23" si="12">IFERROR(Z4/Z$39,0%)</f>
        <v>0</v>
      </c>
      <c r="AB4" s="48"/>
      <c r="AC4" s="47">
        <f t="shared" ref="AC4:AC23" si="13">IFERROR(AB4/AB$39,0%)</f>
        <v>0</v>
      </c>
      <c r="AD4" s="48"/>
      <c r="AE4" s="49">
        <f t="shared" ref="AE4:AE23" si="14">IFERROR(AD4/AD$39,0%)</f>
        <v>0</v>
      </c>
    </row>
    <row r="5" spans="1:31" x14ac:dyDescent="0.25">
      <c r="A5" s="26" t="s">
        <v>63</v>
      </c>
      <c r="B5" s="50"/>
      <c r="C5" s="51">
        <f t="shared" si="0"/>
        <v>0</v>
      </c>
      <c r="D5" s="52"/>
      <c r="E5" s="51">
        <f t="shared" si="1"/>
        <v>0</v>
      </c>
      <c r="F5" s="52"/>
      <c r="G5" s="51">
        <f t="shared" si="2"/>
        <v>0</v>
      </c>
      <c r="H5" s="52"/>
      <c r="I5" s="51">
        <f t="shared" si="3"/>
        <v>0</v>
      </c>
      <c r="J5" s="52"/>
      <c r="K5" s="53">
        <f t="shared" si="4"/>
        <v>0</v>
      </c>
      <c r="L5" s="50"/>
      <c r="M5" s="51">
        <f t="shared" si="5"/>
        <v>0</v>
      </c>
      <c r="N5" s="52"/>
      <c r="O5" s="51">
        <f t="shared" si="6"/>
        <v>0</v>
      </c>
      <c r="P5" s="52"/>
      <c r="Q5" s="51">
        <f t="shared" si="7"/>
        <v>0</v>
      </c>
      <c r="R5" s="52"/>
      <c r="S5" s="51">
        <f t="shared" si="8"/>
        <v>0</v>
      </c>
      <c r="T5" s="52"/>
      <c r="U5" s="53">
        <f t="shared" si="9"/>
        <v>0</v>
      </c>
      <c r="V5" s="50"/>
      <c r="W5" s="51">
        <f t="shared" si="10"/>
        <v>0</v>
      </c>
      <c r="X5" s="52"/>
      <c r="Y5" s="51">
        <f t="shared" si="11"/>
        <v>0</v>
      </c>
      <c r="Z5" s="52"/>
      <c r="AA5" s="51">
        <f t="shared" si="12"/>
        <v>0</v>
      </c>
      <c r="AB5" s="52"/>
      <c r="AC5" s="51">
        <f t="shared" si="13"/>
        <v>0</v>
      </c>
      <c r="AD5" s="52"/>
      <c r="AE5" s="53">
        <f t="shared" si="14"/>
        <v>0</v>
      </c>
    </row>
    <row r="6" spans="1:31" x14ac:dyDescent="0.25">
      <c r="A6" s="26" t="s">
        <v>64</v>
      </c>
      <c r="B6" s="50"/>
      <c r="C6" s="51">
        <f t="shared" si="0"/>
        <v>0</v>
      </c>
      <c r="D6" s="52"/>
      <c r="E6" s="51">
        <f t="shared" si="1"/>
        <v>0</v>
      </c>
      <c r="F6" s="52"/>
      <c r="G6" s="51">
        <f t="shared" si="2"/>
        <v>0</v>
      </c>
      <c r="H6" s="52"/>
      <c r="I6" s="51">
        <f t="shared" si="3"/>
        <v>0</v>
      </c>
      <c r="J6" s="52"/>
      <c r="K6" s="53">
        <f t="shared" si="4"/>
        <v>0</v>
      </c>
      <c r="L6" s="50"/>
      <c r="M6" s="51">
        <f t="shared" si="5"/>
        <v>0</v>
      </c>
      <c r="N6" s="52"/>
      <c r="O6" s="51">
        <f t="shared" si="6"/>
        <v>0</v>
      </c>
      <c r="P6" s="52"/>
      <c r="Q6" s="51">
        <f t="shared" si="7"/>
        <v>0</v>
      </c>
      <c r="R6" s="52"/>
      <c r="S6" s="51">
        <f t="shared" si="8"/>
        <v>0</v>
      </c>
      <c r="T6" s="52"/>
      <c r="U6" s="53">
        <f t="shared" si="9"/>
        <v>0</v>
      </c>
      <c r="V6" s="50"/>
      <c r="W6" s="51">
        <f t="shared" si="10"/>
        <v>0</v>
      </c>
      <c r="X6" s="52"/>
      <c r="Y6" s="51">
        <f t="shared" si="11"/>
        <v>0</v>
      </c>
      <c r="Z6" s="52"/>
      <c r="AA6" s="51">
        <f t="shared" si="12"/>
        <v>0</v>
      </c>
      <c r="AB6" s="52"/>
      <c r="AC6" s="51">
        <f t="shared" si="13"/>
        <v>0</v>
      </c>
      <c r="AD6" s="52"/>
      <c r="AE6" s="53">
        <f t="shared" si="14"/>
        <v>0</v>
      </c>
    </row>
    <row r="7" spans="1:31" x14ac:dyDescent="0.25">
      <c r="A7" s="26" t="s">
        <v>65</v>
      </c>
      <c r="B7" s="50"/>
      <c r="C7" s="51">
        <f t="shared" si="0"/>
        <v>0</v>
      </c>
      <c r="D7" s="52"/>
      <c r="E7" s="51">
        <f t="shared" si="1"/>
        <v>0</v>
      </c>
      <c r="F7" s="52"/>
      <c r="G7" s="51">
        <f t="shared" si="2"/>
        <v>0</v>
      </c>
      <c r="H7" s="52"/>
      <c r="I7" s="51">
        <f t="shared" si="3"/>
        <v>0</v>
      </c>
      <c r="J7" s="52"/>
      <c r="K7" s="53">
        <f t="shared" si="4"/>
        <v>0</v>
      </c>
      <c r="L7" s="50"/>
      <c r="M7" s="51">
        <f t="shared" si="5"/>
        <v>0</v>
      </c>
      <c r="N7" s="52"/>
      <c r="O7" s="51">
        <f t="shared" si="6"/>
        <v>0</v>
      </c>
      <c r="P7" s="52"/>
      <c r="Q7" s="51">
        <f t="shared" si="7"/>
        <v>0</v>
      </c>
      <c r="R7" s="52"/>
      <c r="S7" s="51">
        <f t="shared" si="8"/>
        <v>0</v>
      </c>
      <c r="T7" s="52"/>
      <c r="U7" s="53">
        <f t="shared" si="9"/>
        <v>0</v>
      </c>
      <c r="V7" s="50"/>
      <c r="W7" s="51">
        <f t="shared" si="10"/>
        <v>0</v>
      </c>
      <c r="X7" s="52"/>
      <c r="Y7" s="51">
        <f t="shared" si="11"/>
        <v>0</v>
      </c>
      <c r="Z7" s="52"/>
      <c r="AA7" s="51">
        <f t="shared" si="12"/>
        <v>0</v>
      </c>
      <c r="AB7" s="52"/>
      <c r="AC7" s="51">
        <f t="shared" si="13"/>
        <v>0</v>
      </c>
      <c r="AD7" s="52"/>
      <c r="AE7" s="53">
        <f t="shared" si="14"/>
        <v>0</v>
      </c>
    </row>
    <row r="8" spans="1:31" x14ac:dyDescent="0.25">
      <c r="A8" s="26" t="s">
        <v>66</v>
      </c>
      <c r="B8" s="50"/>
      <c r="C8" s="51">
        <f t="shared" si="0"/>
        <v>0</v>
      </c>
      <c r="D8" s="52"/>
      <c r="E8" s="51">
        <f t="shared" si="1"/>
        <v>0</v>
      </c>
      <c r="F8" s="52"/>
      <c r="G8" s="51">
        <f t="shared" si="2"/>
        <v>0</v>
      </c>
      <c r="H8" s="52"/>
      <c r="I8" s="51">
        <f t="shared" si="3"/>
        <v>0</v>
      </c>
      <c r="J8" s="52"/>
      <c r="K8" s="53">
        <f t="shared" si="4"/>
        <v>0</v>
      </c>
      <c r="L8" s="50"/>
      <c r="M8" s="51">
        <f t="shared" si="5"/>
        <v>0</v>
      </c>
      <c r="N8" s="52"/>
      <c r="O8" s="51">
        <f t="shared" si="6"/>
        <v>0</v>
      </c>
      <c r="P8" s="52"/>
      <c r="Q8" s="51">
        <f t="shared" si="7"/>
        <v>0</v>
      </c>
      <c r="R8" s="52"/>
      <c r="S8" s="51">
        <f t="shared" si="8"/>
        <v>0</v>
      </c>
      <c r="T8" s="52"/>
      <c r="U8" s="53">
        <f t="shared" si="9"/>
        <v>0</v>
      </c>
      <c r="V8" s="50"/>
      <c r="W8" s="51">
        <f t="shared" si="10"/>
        <v>0</v>
      </c>
      <c r="X8" s="52"/>
      <c r="Y8" s="51">
        <f t="shared" si="11"/>
        <v>0</v>
      </c>
      <c r="Z8" s="52"/>
      <c r="AA8" s="51">
        <f t="shared" si="12"/>
        <v>0</v>
      </c>
      <c r="AB8" s="52"/>
      <c r="AC8" s="51">
        <f t="shared" si="13"/>
        <v>0</v>
      </c>
      <c r="AD8" s="52"/>
      <c r="AE8" s="53">
        <f t="shared" si="14"/>
        <v>0</v>
      </c>
    </row>
    <row r="9" spans="1:31" x14ac:dyDescent="0.25">
      <c r="A9" s="26" t="s">
        <v>67</v>
      </c>
      <c r="B9" s="50"/>
      <c r="C9" s="51">
        <f t="shared" si="0"/>
        <v>0</v>
      </c>
      <c r="D9" s="52"/>
      <c r="E9" s="51">
        <f t="shared" si="1"/>
        <v>0</v>
      </c>
      <c r="F9" s="52"/>
      <c r="G9" s="51">
        <f t="shared" si="2"/>
        <v>0</v>
      </c>
      <c r="H9" s="52"/>
      <c r="I9" s="51">
        <f t="shared" si="3"/>
        <v>0</v>
      </c>
      <c r="J9" s="52"/>
      <c r="K9" s="53">
        <f t="shared" si="4"/>
        <v>0</v>
      </c>
      <c r="L9" s="50"/>
      <c r="M9" s="51">
        <f t="shared" si="5"/>
        <v>0</v>
      </c>
      <c r="N9" s="52"/>
      <c r="O9" s="51">
        <f t="shared" si="6"/>
        <v>0</v>
      </c>
      <c r="P9" s="52"/>
      <c r="Q9" s="51">
        <f t="shared" si="7"/>
        <v>0</v>
      </c>
      <c r="R9" s="52"/>
      <c r="S9" s="51">
        <f t="shared" si="8"/>
        <v>0</v>
      </c>
      <c r="T9" s="52"/>
      <c r="U9" s="53">
        <f t="shared" si="9"/>
        <v>0</v>
      </c>
      <c r="V9" s="50"/>
      <c r="W9" s="51">
        <f t="shared" si="10"/>
        <v>0</v>
      </c>
      <c r="X9" s="52"/>
      <c r="Y9" s="51">
        <f t="shared" si="11"/>
        <v>0</v>
      </c>
      <c r="Z9" s="52"/>
      <c r="AA9" s="51">
        <f t="shared" si="12"/>
        <v>0</v>
      </c>
      <c r="AB9" s="52"/>
      <c r="AC9" s="51">
        <f t="shared" si="13"/>
        <v>0</v>
      </c>
      <c r="AD9" s="52"/>
      <c r="AE9" s="53">
        <f t="shared" si="14"/>
        <v>0</v>
      </c>
    </row>
    <row r="10" spans="1:31" x14ac:dyDescent="0.25">
      <c r="A10" s="26" t="s">
        <v>68</v>
      </c>
      <c r="B10" s="50"/>
      <c r="C10" s="51">
        <f t="shared" si="0"/>
        <v>0</v>
      </c>
      <c r="D10" s="52"/>
      <c r="E10" s="51">
        <f t="shared" si="1"/>
        <v>0</v>
      </c>
      <c r="F10" s="52"/>
      <c r="G10" s="51">
        <f t="shared" si="2"/>
        <v>0</v>
      </c>
      <c r="H10" s="52"/>
      <c r="I10" s="51">
        <f t="shared" si="3"/>
        <v>0</v>
      </c>
      <c r="J10" s="52"/>
      <c r="K10" s="53">
        <f t="shared" si="4"/>
        <v>0</v>
      </c>
      <c r="L10" s="50"/>
      <c r="M10" s="51">
        <f t="shared" si="5"/>
        <v>0</v>
      </c>
      <c r="N10" s="52"/>
      <c r="O10" s="51">
        <f t="shared" si="6"/>
        <v>0</v>
      </c>
      <c r="P10" s="52"/>
      <c r="Q10" s="51">
        <f t="shared" si="7"/>
        <v>0</v>
      </c>
      <c r="R10" s="52"/>
      <c r="S10" s="51">
        <f t="shared" si="8"/>
        <v>0</v>
      </c>
      <c r="T10" s="52"/>
      <c r="U10" s="53">
        <f t="shared" si="9"/>
        <v>0</v>
      </c>
      <c r="V10" s="50"/>
      <c r="W10" s="51">
        <f t="shared" si="10"/>
        <v>0</v>
      </c>
      <c r="X10" s="52"/>
      <c r="Y10" s="51">
        <f t="shared" si="11"/>
        <v>0</v>
      </c>
      <c r="Z10" s="52"/>
      <c r="AA10" s="51">
        <f t="shared" si="12"/>
        <v>0</v>
      </c>
      <c r="AB10" s="52"/>
      <c r="AC10" s="51">
        <f t="shared" si="13"/>
        <v>0</v>
      </c>
      <c r="AD10" s="52"/>
      <c r="AE10" s="53">
        <f t="shared" si="14"/>
        <v>0</v>
      </c>
    </row>
    <row r="11" spans="1:31" x14ac:dyDescent="0.25">
      <c r="A11" s="26" t="s">
        <v>69</v>
      </c>
      <c r="B11" s="50"/>
      <c r="C11" s="51">
        <f t="shared" si="0"/>
        <v>0</v>
      </c>
      <c r="D11" s="52"/>
      <c r="E11" s="51">
        <f t="shared" si="1"/>
        <v>0</v>
      </c>
      <c r="F11" s="52"/>
      <c r="G11" s="51">
        <f t="shared" si="2"/>
        <v>0</v>
      </c>
      <c r="H11" s="52"/>
      <c r="I11" s="51">
        <f t="shared" si="3"/>
        <v>0</v>
      </c>
      <c r="J11" s="52"/>
      <c r="K11" s="53">
        <f t="shared" si="4"/>
        <v>0</v>
      </c>
      <c r="L11" s="50"/>
      <c r="M11" s="51">
        <f t="shared" si="5"/>
        <v>0</v>
      </c>
      <c r="N11" s="52"/>
      <c r="O11" s="51">
        <f t="shared" si="6"/>
        <v>0</v>
      </c>
      <c r="P11" s="52"/>
      <c r="Q11" s="51">
        <f t="shared" si="7"/>
        <v>0</v>
      </c>
      <c r="R11" s="52"/>
      <c r="S11" s="51">
        <f t="shared" si="8"/>
        <v>0</v>
      </c>
      <c r="T11" s="52"/>
      <c r="U11" s="53">
        <f t="shared" si="9"/>
        <v>0</v>
      </c>
      <c r="V11" s="50"/>
      <c r="W11" s="51">
        <f t="shared" si="10"/>
        <v>0</v>
      </c>
      <c r="X11" s="52"/>
      <c r="Y11" s="51">
        <f t="shared" si="11"/>
        <v>0</v>
      </c>
      <c r="Z11" s="52"/>
      <c r="AA11" s="51">
        <f t="shared" si="12"/>
        <v>0</v>
      </c>
      <c r="AB11" s="52"/>
      <c r="AC11" s="51">
        <f t="shared" si="13"/>
        <v>0</v>
      </c>
      <c r="AD11" s="52"/>
      <c r="AE11" s="53">
        <f t="shared" si="14"/>
        <v>0</v>
      </c>
    </row>
    <row r="12" spans="1:31" x14ac:dyDescent="0.25">
      <c r="A12" s="26" t="s">
        <v>131</v>
      </c>
      <c r="B12" s="50"/>
      <c r="C12" s="51">
        <f t="shared" si="0"/>
        <v>0</v>
      </c>
      <c r="D12" s="52"/>
      <c r="E12" s="51">
        <f t="shared" si="1"/>
        <v>0</v>
      </c>
      <c r="F12" s="52"/>
      <c r="G12" s="51">
        <f t="shared" si="2"/>
        <v>0</v>
      </c>
      <c r="H12" s="52"/>
      <c r="I12" s="51">
        <f t="shared" si="3"/>
        <v>0</v>
      </c>
      <c r="J12" s="52"/>
      <c r="K12" s="53">
        <f t="shared" si="4"/>
        <v>0</v>
      </c>
      <c r="L12" s="50"/>
      <c r="M12" s="51">
        <f t="shared" si="5"/>
        <v>0</v>
      </c>
      <c r="N12" s="52"/>
      <c r="O12" s="51">
        <f t="shared" si="6"/>
        <v>0</v>
      </c>
      <c r="P12" s="52"/>
      <c r="Q12" s="51">
        <f t="shared" si="7"/>
        <v>0</v>
      </c>
      <c r="R12" s="52"/>
      <c r="S12" s="51">
        <f t="shared" si="8"/>
        <v>0</v>
      </c>
      <c r="T12" s="52"/>
      <c r="U12" s="53">
        <f t="shared" si="9"/>
        <v>0</v>
      </c>
      <c r="V12" s="50"/>
      <c r="W12" s="51">
        <f t="shared" si="10"/>
        <v>0</v>
      </c>
      <c r="X12" s="52"/>
      <c r="Y12" s="51">
        <f t="shared" si="11"/>
        <v>0</v>
      </c>
      <c r="Z12" s="52"/>
      <c r="AA12" s="51">
        <f t="shared" si="12"/>
        <v>0</v>
      </c>
      <c r="AB12" s="52"/>
      <c r="AC12" s="51">
        <f t="shared" si="13"/>
        <v>0</v>
      </c>
      <c r="AD12" s="52"/>
      <c r="AE12" s="53">
        <f t="shared" si="14"/>
        <v>0</v>
      </c>
    </row>
    <row r="13" spans="1:31" x14ac:dyDescent="0.25">
      <c r="A13" s="26" t="s">
        <v>132</v>
      </c>
      <c r="B13" s="50"/>
      <c r="C13" s="51">
        <f t="shared" si="0"/>
        <v>0</v>
      </c>
      <c r="D13" s="52"/>
      <c r="E13" s="51">
        <f t="shared" si="1"/>
        <v>0</v>
      </c>
      <c r="F13" s="52"/>
      <c r="G13" s="51">
        <f t="shared" si="2"/>
        <v>0</v>
      </c>
      <c r="H13" s="52"/>
      <c r="I13" s="51">
        <f t="shared" si="3"/>
        <v>0</v>
      </c>
      <c r="J13" s="52"/>
      <c r="K13" s="53">
        <f t="shared" si="4"/>
        <v>0</v>
      </c>
      <c r="L13" s="50"/>
      <c r="M13" s="51">
        <f t="shared" si="5"/>
        <v>0</v>
      </c>
      <c r="N13" s="52"/>
      <c r="O13" s="51">
        <f t="shared" si="6"/>
        <v>0</v>
      </c>
      <c r="P13" s="52"/>
      <c r="Q13" s="51">
        <f t="shared" si="7"/>
        <v>0</v>
      </c>
      <c r="R13" s="52"/>
      <c r="S13" s="51">
        <f t="shared" si="8"/>
        <v>0</v>
      </c>
      <c r="T13" s="52"/>
      <c r="U13" s="53">
        <f t="shared" si="9"/>
        <v>0</v>
      </c>
      <c r="V13" s="50"/>
      <c r="W13" s="51">
        <f t="shared" si="10"/>
        <v>0</v>
      </c>
      <c r="X13" s="52"/>
      <c r="Y13" s="51">
        <f t="shared" si="11"/>
        <v>0</v>
      </c>
      <c r="Z13" s="52"/>
      <c r="AA13" s="51">
        <f t="shared" si="12"/>
        <v>0</v>
      </c>
      <c r="AB13" s="52"/>
      <c r="AC13" s="51">
        <f t="shared" si="13"/>
        <v>0</v>
      </c>
      <c r="AD13" s="52"/>
      <c r="AE13" s="53">
        <f t="shared" si="14"/>
        <v>0</v>
      </c>
    </row>
    <row r="14" spans="1:31" x14ac:dyDescent="0.25">
      <c r="A14" s="26" t="s">
        <v>133</v>
      </c>
      <c r="B14" s="50"/>
      <c r="C14" s="51">
        <f t="shared" si="0"/>
        <v>0</v>
      </c>
      <c r="D14" s="52"/>
      <c r="E14" s="51">
        <f t="shared" si="1"/>
        <v>0</v>
      </c>
      <c r="F14" s="52"/>
      <c r="G14" s="51">
        <f t="shared" si="2"/>
        <v>0</v>
      </c>
      <c r="H14" s="52"/>
      <c r="I14" s="51">
        <f t="shared" si="3"/>
        <v>0</v>
      </c>
      <c r="J14" s="52"/>
      <c r="K14" s="53">
        <f t="shared" si="4"/>
        <v>0</v>
      </c>
      <c r="L14" s="50"/>
      <c r="M14" s="51">
        <f t="shared" si="5"/>
        <v>0</v>
      </c>
      <c r="N14" s="52"/>
      <c r="O14" s="51">
        <f t="shared" si="6"/>
        <v>0</v>
      </c>
      <c r="P14" s="52"/>
      <c r="Q14" s="51">
        <f t="shared" si="7"/>
        <v>0</v>
      </c>
      <c r="R14" s="52"/>
      <c r="S14" s="51">
        <f t="shared" si="8"/>
        <v>0</v>
      </c>
      <c r="T14" s="52"/>
      <c r="U14" s="53">
        <f t="shared" si="9"/>
        <v>0</v>
      </c>
      <c r="V14" s="50"/>
      <c r="W14" s="51">
        <f t="shared" si="10"/>
        <v>0</v>
      </c>
      <c r="X14" s="52"/>
      <c r="Y14" s="51">
        <f t="shared" si="11"/>
        <v>0</v>
      </c>
      <c r="Z14" s="52"/>
      <c r="AA14" s="51">
        <f t="shared" si="12"/>
        <v>0</v>
      </c>
      <c r="AB14" s="52"/>
      <c r="AC14" s="51">
        <f t="shared" si="13"/>
        <v>0</v>
      </c>
      <c r="AD14" s="52"/>
      <c r="AE14" s="53">
        <f t="shared" si="14"/>
        <v>0</v>
      </c>
    </row>
    <row r="15" spans="1:31" x14ac:dyDescent="0.25">
      <c r="A15" s="26" t="s">
        <v>134</v>
      </c>
      <c r="B15" s="50"/>
      <c r="C15" s="51">
        <f t="shared" si="0"/>
        <v>0</v>
      </c>
      <c r="D15" s="52"/>
      <c r="E15" s="51">
        <f t="shared" si="1"/>
        <v>0</v>
      </c>
      <c r="F15" s="52"/>
      <c r="G15" s="51">
        <f t="shared" si="2"/>
        <v>0</v>
      </c>
      <c r="H15" s="52"/>
      <c r="I15" s="51">
        <f t="shared" si="3"/>
        <v>0</v>
      </c>
      <c r="J15" s="52"/>
      <c r="K15" s="53">
        <f t="shared" si="4"/>
        <v>0</v>
      </c>
      <c r="L15" s="50"/>
      <c r="M15" s="51">
        <f t="shared" si="5"/>
        <v>0</v>
      </c>
      <c r="N15" s="52"/>
      <c r="O15" s="51">
        <f t="shared" si="6"/>
        <v>0</v>
      </c>
      <c r="P15" s="52"/>
      <c r="Q15" s="51">
        <f t="shared" si="7"/>
        <v>0</v>
      </c>
      <c r="R15" s="52"/>
      <c r="S15" s="51">
        <f t="shared" si="8"/>
        <v>0</v>
      </c>
      <c r="T15" s="52"/>
      <c r="U15" s="53">
        <f t="shared" si="9"/>
        <v>0</v>
      </c>
      <c r="V15" s="50"/>
      <c r="W15" s="51">
        <f t="shared" si="10"/>
        <v>0</v>
      </c>
      <c r="X15" s="52"/>
      <c r="Y15" s="51">
        <f t="shared" si="11"/>
        <v>0</v>
      </c>
      <c r="Z15" s="52"/>
      <c r="AA15" s="51">
        <f t="shared" si="12"/>
        <v>0</v>
      </c>
      <c r="AB15" s="52"/>
      <c r="AC15" s="51">
        <f t="shared" si="13"/>
        <v>0</v>
      </c>
      <c r="AD15" s="52"/>
      <c r="AE15" s="53">
        <f t="shared" si="14"/>
        <v>0</v>
      </c>
    </row>
    <row r="16" spans="1:31" x14ac:dyDescent="0.25">
      <c r="A16" s="26" t="s">
        <v>191</v>
      </c>
      <c r="B16" s="50"/>
      <c r="C16" s="51">
        <f t="shared" si="0"/>
        <v>0</v>
      </c>
      <c r="D16" s="52"/>
      <c r="E16" s="51">
        <f t="shared" si="1"/>
        <v>0</v>
      </c>
      <c r="F16" s="52"/>
      <c r="G16" s="51">
        <f t="shared" si="2"/>
        <v>0</v>
      </c>
      <c r="H16" s="52"/>
      <c r="I16" s="51">
        <f t="shared" si="3"/>
        <v>0</v>
      </c>
      <c r="J16" s="52"/>
      <c r="K16" s="53">
        <f t="shared" si="4"/>
        <v>0</v>
      </c>
      <c r="L16" s="50"/>
      <c r="M16" s="51">
        <f t="shared" si="5"/>
        <v>0</v>
      </c>
      <c r="N16" s="52"/>
      <c r="O16" s="51">
        <f t="shared" si="6"/>
        <v>0</v>
      </c>
      <c r="P16" s="52"/>
      <c r="Q16" s="51">
        <f t="shared" si="7"/>
        <v>0</v>
      </c>
      <c r="R16" s="52"/>
      <c r="S16" s="51">
        <f t="shared" si="8"/>
        <v>0</v>
      </c>
      <c r="T16" s="52"/>
      <c r="U16" s="53">
        <f t="shared" si="9"/>
        <v>0</v>
      </c>
      <c r="V16" s="50"/>
      <c r="W16" s="51">
        <f t="shared" si="10"/>
        <v>0</v>
      </c>
      <c r="X16" s="52"/>
      <c r="Y16" s="51">
        <f t="shared" si="11"/>
        <v>0</v>
      </c>
      <c r="Z16" s="52"/>
      <c r="AA16" s="51">
        <f t="shared" si="12"/>
        <v>0</v>
      </c>
      <c r="AB16" s="52"/>
      <c r="AC16" s="51">
        <f t="shared" si="13"/>
        <v>0</v>
      </c>
      <c r="AD16" s="52"/>
      <c r="AE16" s="53">
        <f t="shared" si="14"/>
        <v>0</v>
      </c>
    </row>
    <row r="17" spans="1:31" x14ac:dyDescent="0.25">
      <c r="A17" s="26" t="s">
        <v>135</v>
      </c>
      <c r="B17" s="50"/>
      <c r="C17" s="51">
        <f t="shared" si="0"/>
        <v>0</v>
      </c>
      <c r="D17" s="52"/>
      <c r="E17" s="51">
        <f t="shared" si="1"/>
        <v>0</v>
      </c>
      <c r="F17" s="52"/>
      <c r="G17" s="51">
        <f t="shared" si="2"/>
        <v>0</v>
      </c>
      <c r="H17" s="52"/>
      <c r="I17" s="51">
        <f t="shared" si="3"/>
        <v>0</v>
      </c>
      <c r="J17" s="52"/>
      <c r="K17" s="53">
        <f t="shared" si="4"/>
        <v>0</v>
      </c>
      <c r="L17" s="50"/>
      <c r="M17" s="51">
        <f t="shared" si="5"/>
        <v>0</v>
      </c>
      <c r="N17" s="52"/>
      <c r="O17" s="51">
        <f t="shared" si="6"/>
        <v>0</v>
      </c>
      <c r="P17" s="52"/>
      <c r="Q17" s="51">
        <f t="shared" si="7"/>
        <v>0</v>
      </c>
      <c r="R17" s="52"/>
      <c r="S17" s="51">
        <f t="shared" si="8"/>
        <v>0</v>
      </c>
      <c r="T17" s="52"/>
      <c r="U17" s="53">
        <f t="shared" si="9"/>
        <v>0</v>
      </c>
      <c r="V17" s="50"/>
      <c r="W17" s="51">
        <f t="shared" si="10"/>
        <v>0</v>
      </c>
      <c r="X17" s="52"/>
      <c r="Y17" s="51">
        <f t="shared" si="11"/>
        <v>0</v>
      </c>
      <c r="Z17" s="52"/>
      <c r="AA17" s="51">
        <f t="shared" si="12"/>
        <v>0</v>
      </c>
      <c r="AB17" s="52"/>
      <c r="AC17" s="51">
        <f t="shared" si="13"/>
        <v>0</v>
      </c>
      <c r="AD17" s="52"/>
      <c r="AE17" s="53">
        <f t="shared" si="14"/>
        <v>0</v>
      </c>
    </row>
    <row r="18" spans="1:31" x14ac:dyDescent="0.25">
      <c r="A18" s="26" t="s">
        <v>136</v>
      </c>
      <c r="B18" s="50"/>
      <c r="C18" s="51">
        <f t="shared" si="0"/>
        <v>0</v>
      </c>
      <c r="D18" s="52"/>
      <c r="E18" s="51">
        <f t="shared" si="1"/>
        <v>0</v>
      </c>
      <c r="F18" s="52"/>
      <c r="G18" s="51">
        <f t="shared" si="2"/>
        <v>0</v>
      </c>
      <c r="H18" s="52"/>
      <c r="I18" s="51">
        <f t="shared" si="3"/>
        <v>0</v>
      </c>
      <c r="J18" s="52"/>
      <c r="K18" s="53">
        <f t="shared" si="4"/>
        <v>0</v>
      </c>
      <c r="L18" s="50"/>
      <c r="M18" s="51">
        <f t="shared" si="5"/>
        <v>0</v>
      </c>
      <c r="N18" s="52"/>
      <c r="O18" s="51">
        <f t="shared" si="6"/>
        <v>0</v>
      </c>
      <c r="P18" s="52"/>
      <c r="Q18" s="51">
        <f t="shared" si="7"/>
        <v>0</v>
      </c>
      <c r="R18" s="52"/>
      <c r="S18" s="51">
        <f t="shared" si="8"/>
        <v>0</v>
      </c>
      <c r="T18" s="52"/>
      <c r="U18" s="53">
        <f t="shared" si="9"/>
        <v>0</v>
      </c>
      <c r="V18" s="50"/>
      <c r="W18" s="51">
        <f t="shared" si="10"/>
        <v>0</v>
      </c>
      <c r="X18" s="52"/>
      <c r="Y18" s="51">
        <f t="shared" si="11"/>
        <v>0</v>
      </c>
      <c r="Z18" s="52"/>
      <c r="AA18" s="51">
        <f t="shared" si="12"/>
        <v>0</v>
      </c>
      <c r="AB18" s="52"/>
      <c r="AC18" s="51">
        <f t="shared" si="13"/>
        <v>0</v>
      </c>
      <c r="AD18" s="52"/>
      <c r="AE18" s="53">
        <f t="shared" si="14"/>
        <v>0</v>
      </c>
    </row>
    <row r="19" spans="1:31" x14ac:dyDescent="0.25">
      <c r="A19" s="26" t="s">
        <v>137</v>
      </c>
      <c r="B19" s="50"/>
      <c r="C19" s="51">
        <f t="shared" si="0"/>
        <v>0</v>
      </c>
      <c r="D19" s="52"/>
      <c r="E19" s="51">
        <f t="shared" si="1"/>
        <v>0</v>
      </c>
      <c r="F19" s="52"/>
      <c r="G19" s="51">
        <f t="shared" si="2"/>
        <v>0</v>
      </c>
      <c r="H19" s="52"/>
      <c r="I19" s="51">
        <f t="shared" si="3"/>
        <v>0</v>
      </c>
      <c r="J19" s="52"/>
      <c r="K19" s="53">
        <f t="shared" si="4"/>
        <v>0</v>
      </c>
      <c r="L19" s="50"/>
      <c r="M19" s="51">
        <f t="shared" si="5"/>
        <v>0</v>
      </c>
      <c r="N19" s="52"/>
      <c r="O19" s="51">
        <f t="shared" si="6"/>
        <v>0</v>
      </c>
      <c r="P19" s="52"/>
      <c r="Q19" s="51">
        <f t="shared" si="7"/>
        <v>0</v>
      </c>
      <c r="R19" s="52"/>
      <c r="S19" s="51">
        <f t="shared" si="8"/>
        <v>0</v>
      </c>
      <c r="T19" s="52"/>
      <c r="U19" s="53">
        <f t="shared" si="9"/>
        <v>0</v>
      </c>
      <c r="V19" s="50"/>
      <c r="W19" s="51">
        <f t="shared" si="10"/>
        <v>0</v>
      </c>
      <c r="X19" s="52"/>
      <c r="Y19" s="51">
        <f t="shared" si="11"/>
        <v>0</v>
      </c>
      <c r="Z19" s="52"/>
      <c r="AA19" s="51">
        <f t="shared" si="12"/>
        <v>0</v>
      </c>
      <c r="AB19" s="52"/>
      <c r="AC19" s="51">
        <f t="shared" si="13"/>
        <v>0</v>
      </c>
      <c r="AD19" s="52"/>
      <c r="AE19" s="53">
        <f t="shared" si="14"/>
        <v>0</v>
      </c>
    </row>
    <row r="20" spans="1:31" x14ac:dyDescent="0.25">
      <c r="A20" s="26" t="s">
        <v>138</v>
      </c>
      <c r="B20" s="50"/>
      <c r="C20" s="51">
        <f t="shared" si="0"/>
        <v>0</v>
      </c>
      <c r="D20" s="52"/>
      <c r="E20" s="51">
        <f t="shared" si="1"/>
        <v>0</v>
      </c>
      <c r="F20" s="52"/>
      <c r="G20" s="51">
        <f t="shared" si="2"/>
        <v>0</v>
      </c>
      <c r="H20" s="52"/>
      <c r="I20" s="51">
        <f t="shared" si="3"/>
        <v>0</v>
      </c>
      <c r="J20" s="52"/>
      <c r="K20" s="51">
        <f t="shared" si="4"/>
        <v>0</v>
      </c>
      <c r="L20" s="50"/>
      <c r="M20" s="51">
        <f t="shared" si="5"/>
        <v>0</v>
      </c>
      <c r="N20" s="52"/>
      <c r="O20" s="51">
        <f t="shared" si="6"/>
        <v>0</v>
      </c>
      <c r="P20" s="52"/>
      <c r="Q20" s="51">
        <f t="shared" si="7"/>
        <v>0</v>
      </c>
      <c r="R20" s="52"/>
      <c r="S20" s="51">
        <f t="shared" si="8"/>
        <v>0</v>
      </c>
      <c r="T20" s="52"/>
      <c r="U20" s="51">
        <f t="shared" si="9"/>
        <v>0</v>
      </c>
      <c r="V20" s="50"/>
      <c r="W20" s="51">
        <f t="shared" si="10"/>
        <v>0</v>
      </c>
      <c r="X20" s="52"/>
      <c r="Y20" s="51">
        <f t="shared" si="11"/>
        <v>0</v>
      </c>
      <c r="Z20" s="51"/>
      <c r="AA20" s="51">
        <f t="shared" si="12"/>
        <v>0</v>
      </c>
      <c r="AB20" s="52"/>
      <c r="AC20" s="51">
        <f t="shared" si="13"/>
        <v>0</v>
      </c>
      <c r="AD20" s="52"/>
      <c r="AE20" s="51">
        <f t="shared" si="14"/>
        <v>0</v>
      </c>
    </row>
    <row r="21" spans="1:31" s="38" customFormat="1" x14ac:dyDescent="0.25">
      <c r="A21" s="26" t="s">
        <v>139</v>
      </c>
      <c r="B21" s="50"/>
      <c r="C21" s="51">
        <f t="shared" si="0"/>
        <v>0</v>
      </c>
      <c r="D21" s="52"/>
      <c r="E21" s="51">
        <f t="shared" si="1"/>
        <v>0</v>
      </c>
      <c r="F21" s="52"/>
      <c r="G21" s="51">
        <f t="shared" si="2"/>
        <v>0</v>
      </c>
      <c r="H21" s="52"/>
      <c r="I21" s="51">
        <f t="shared" si="3"/>
        <v>0</v>
      </c>
      <c r="J21" s="52"/>
      <c r="K21" s="51">
        <f t="shared" si="4"/>
        <v>0</v>
      </c>
      <c r="L21" s="50"/>
      <c r="M21" s="51">
        <f t="shared" si="5"/>
        <v>0</v>
      </c>
      <c r="N21" s="52"/>
      <c r="O21" s="51">
        <f t="shared" si="6"/>
        <v>0</v>
      </c>
      <c r="P21" s="52"/>
      <c r="Q21" s="51">
        <f t="shared" si="7"/>
        <v>0</v>
      </c>
      <c r="R21" s="52"/>
      <c r="S21" s="51">
        <f t="shared" si="8"/>
        <v>0</v>
      </c>
      <c r="T21" s="52"/>
      <c r="U21" s="51">
        <f t="shared" si="9"/>
        <v>0</v>
      </c>
      <c r="V21" s="50"/>
      <c r="W21" s="51">
        <f t="shared" si="10"/>
        <v>0</v>
      </c>
      <c r="X21" s="52"/>
      <c r="Y21" s="51">
        <f t="shared" ref="Y21:Y24" si="15">IFERROR(X21/X$39,0%)</f>
        <v>0</v>
      </c>
      <c r="Z21" s="51"/>
      <c r="AA21" s="51">
        <f t="shared" si="12"/>
        <v>0</v>
      </c>
      <c r="AB21" s="52"/>
      <c r="AC21" s="51">
        <f t="shared" si="13"/>
        <v>0</v>
      </c>
      <c r="AD21" s="52"/>
      <c r="AE21" s="51">
        <f t="shared" si="14"/>
        <v>0</v>
      </c>
    </row>
    <row r="22" spans="1:31" s="38" customFormat="1" x14ac:dyDescent="0.25">
      <c r="A22" s="26" t="s">
        <v>140</v>
      </c>
      <c r="B22" s="50"/>
      <c r="C22" s="51">
        <f t="shared" si="0"/>
        <v>0</v>
      </c>
      <c r="D22" s="52"/>
      <c r="E22" s="51">
        <f t="shared" si="1"/>
        <v>0</v>
      </c>
      <c r="F22" s="52"/>
      <c r="G22" s="51">
        <f t="shared" si="2"/>
        <v>0</v>
      </c>
      <c r="H22" s="52"/>
      <c r="I22" s="51">
        <f t="shared" si="3"/>
        <v>0</v>
      </c>
      <c r="J22" s="52"/>
      <c r="K22" s="51">
        <f t="shared" si="4"/>
        <v>0</v>
      </c>
      <c r="L22" s="50"/>
      <c r="M22" s="51">
        <f t="shared" si="5"/>
        <v>0</v>
      </c>
      <c r="N22" s="52"/>
      <c r="O22" s="51">
        <f t="shared" si="6"/>
        <v>0</v>
      </c>
      <c r="P22" s="52"/>
      <c r="Q22" s="51">
        <f t="shared" si="7"/>
        <v>0</v>
      </c>
      <c r="R22" s="52"/>
      <c r="S22" s="51">
        <f t="shared" si="8"/>
        <v>0</v>
      </c>
      <c r="T22" s="52"/>
      <c r="U22" s="51">
        <f t="shared" si="9"/>
        <v>0</v>
      </c>
      <c r="V22" s="50"/>
      <c r="W22" s="51">
        <f t="shared" si="10"/>
        <v>0</v>
      </c>
      <c r="X22" s="52"/>
      <c r="Y22" s="51">
        <f t="shared" si="15"/>
        <v>0</v>
      </c>
      <c r="Z22" s="51"/>
      <c r="AA22" s="51">
        <f t="shared" si="12"/>
        <v>0</v>
      </c>
      <c r="AB22" s="52"/>
      <c r="AC22" s="51">
        <f t="shared" si="13"/>
        <v>0</v>
      </c>
      <c r="AD22" s="52"/>
      <c r="AE22" s="51">
        <f t="shared" si="14"/>
        <v>0</v>
      </c>
    </row>
    <row r="23" spans="1:31" x14ac:dyDescent="0.25">
      <c r="A23" s="26" t="s">
        <v>141</v>
      </c>
      <c r="B23" s="50"/>
      <c r="C23" s="51">
        <f t="shared" si="0"/>
        <v>0</v>
      </c>
      <c r="D23" s="52"/>
      <c r="E23" s="51">
        <f t="shared" si="1"/>
        <v>0</v>
      </c>
      <c r="F23" s="52"/>
      <c r="G23" s="51">
        <f t="shared" ref="G23:G38" si="16">IFERROR(F23/F$39,0%)</f>
        <v>0</v>
      </c>
      <c r="H23" s="52"/>
      <c r="I23" s="51">
        <f t="shared" si="3"/>
        <v>0</v>
      </c>
      <c r="J23" s="52"/>
      <c r="K23" s="51">
        <f t="shared" si="4"/>
        <v>0</v>
      </c>
      <c r="L23" s="50"/>
      <c r="M23" s="51">
        <f t="shared" si="5"/>
        <v>0</v>
      </c>
      <c r="N23" s="52"/>
      <c r="O23" s="51">
        <f t="shared" si="6"/>
        <v>0</v>
      </c>
      <c r="P23" s="52"/>
      <c r="Q23" s="51">
        <f t="shared" si="7"/>
        <v>0</v>
      </c>
      <c r="R23" s="52"/>
      <c r="S23" s="51">
        <f t="shared" si="8"/>
        <v>0</v>
      </c>
      <c r="T23" s="52"/>
      <c r="U23" s="51">
        <f t="shared" si="9"/>
        <v>0</v>
      </c>
      <c r="V23" s="50"/>
      <c r="W23" s="51">
        <f t="shared" si="10"/>
        <v>0</v>
      </c>
      <c r="X23" s="52"/>
      <c r="Y23" s="51">
        <f t="shared" si="15"/>
        <v>0</v>
      </c>
      <c r="Z23" s="51"/>
      <c r="AA23" s="51">
        <f t="shared" si="12"/>
        <v>0</v>
      </c>
      <c r="AB23" s="52"/>
      <c r="AC23" s="51">
        <f t="shared" si="13"/>
        <v>0</v>
      </c>
      <c r="AD23" s="52"/>
      <c r="AE23" s="51">
        <f t="shared" si="14"/>
        <v>0</v>
      </c>
    </row>
    <row r="24" spans="1:31" x14ac:dyDescent="0.25">
      <c r="A24" s="26" t="s">
        <v>142</v>
      </c>
      <c r="B24" s="50"/>
      <c r="C24" s="51">
        <f t="shared" si="0"/>
        <v>0</v>
      </c>
      <c r="D24" s="52"/>
      <c r="E24" s="51">
        <f t="shared" ref="E24:E38" si="17">IFERROR(D24/D$39,0%)</f>
        <v>0</v>
      </c>
      <c r="F24" s="52"/>
      <c r="G24" s="51">
        <f t="shared" si="16"/>
        <v>0</v>
      </c>
      <c r="H24" s="52"/>
      <c r="I24" s="51">
        <f t="shared" ref="I24:I38" si="18">IFERROR(H24/H$39,0%)</f>
        <v>0</v>
      </c>
      <c r="J24" s="52"/>
      <c r="K24" s="53">
        <f t="shared" ref="K24:K38" si="19">IFERROR(J24/J$39,0%)</f>
        <v>0</v>
      </c>
      <c r="L24" s="50"/>
      <c r="M24" s="51">
        <f t="shared" ref="M24:M38" si="20">IFERROR(L24/L$39,0%)</f>
        <v>0</v>
      </c>
      <c r="N24" s="52"/>
      <c r="O24" s="51">
        <f t="shared" ref="O24:O38" si="21">IFERROR(N24/N$39,0%)</f>
        <v>0</v>
      </c>
      <c r="P24" s="52"/>
      <c r="Q24" s="51">
        <f t="shared" ref="Q24:Q38" si="22">IFERROR(P24/P$39,0%)</f>
        <v>0</v>
      </c>
      <c r="R24" s="52"/>
      <c r="S24" s="51">
        <f t="shared" si="8"/>
        <v>0</v>
      </c>
      <c r="T24" s="52"/>
      <c r="U24" s="53">
        <f t="shared" ref="U24:U38" si="23">IFERROR(T24/T$39,0%)</f>
        <v>0</v>
      </c>
      <c r="V24" s="50"/>
      <c r="W24" s="51">
        <f t="shared" ref="W24:W38" si="24">IFERROR(V24/V$39,0%)</f>
        <v>0</v>
      </c>
      <c r="X24" s="52"/>
      <c r="Y24" s="51">
        <f t="shared" si="15"/>
        <v>0</v>
      </c>
      <c r="Z24" s="51"/>
      <c r="AA24" s="51">
        <f t="shared" ref="AA24:AA38" si="25">IFERROR(Z24/Z$39,0%)</f>
        <v>0</v>
      </c>
      <c r="AB24" s="52"/>
      <c r="AC24" s="51">
        <f t="shared" ref="AC24:AC38" si="26">IFERROR(AB24/AB$39,0%)</f>
        <v>0</v>
      </c>
      <c r="AD24" s="52"/>
      <c r="AE24" s="53">
        <f t="shared" ref="AE24:AE38" si="27">IFERROR(AD24/AD$39,0%)</f>
        <v>0</v>
      </c>
    </row>
    <row r="25" spans="1:31" x14ac:dyDescent="0.25">
      <c r="A25" s="26" t="s">
        <v>143</v>
      </c>
      <c r="B25" s="50"/>
      <c r="C25" s="51">
        <f t="shared" ref="C25:C38" si="28">IFERROR(B25/B$39,0%)</f>
        <v>0</v>
      </c>
      <c r="D25" s="52"/>
      <c r="E25" s="51">
        <f t="shared" si="17"/>
        <v>0</v>
      </c>
      <c r="F25" s="52"/>
      <c r="G25" s="51">
        <f t="shared" si="16"/>
        <v>0</v>
      </c>
      <c r="H25" s="52"/>
      <c r="I25" s="51">
        <f t="shared" si="18"/>
        <v>0</v>
      </c>
      <c r="J25" s="52"/>
      <c r="K25" s="53">
        <f t="shared" si="19"/>
        <v>0</v>
      </c>
      <c r="L25" s="50"/>
      <c r="M25" s="51">
        <f t="shared" si="20"/>
        <v>0</v>
      </c>
      <c r="N25" s="52"/>
      <c r="O25" s="51">
        <f t="shared" si="21"/>
        <v>0</v>
      </c>
      <c r="P25" s="52"/>
      <c r="Q25" s="51">
        <f t="shared" si="22"/>
        <v>0</v>
      </c>
      <c r="R25" s="52"/>
      <c r="S25" s="51">
        <f t="shared" ref="S25:S38" si="29">IFERROR(R25/R$39,0%)</f>
        <v>0</v>
      </c>
      <c r="T25" s="52"/>
      <c r="U25" s="53">
        <f t="shared" si="23"/>
        <v>0</v>
      </c>
      <c r="V25" s="50"/>
      <c r="W25" s="51">
        <f t="shared" si="24"/>
        <v>0</v>
      </c>
      <c r="X25" s="52"/>
      <c r="Y25" s="51">
        <f t="shared" ref="Y25:Y38" si="30">IFERROR(X25/X$39,0%)</f>
        <v>0</v>
      </c>
      <c r="Z25" s="52"/>
      <c r="AA25" s="51">
        <f t="shared" si="25"/>
        <v>0</v>
      </c>
      <c r="AB25" s="52"/>
      <c r="AC25" s="51">
        <f t="shared" si="26"/>
        <v>0</v>
      </c>
      <c r="AD25" s="52"/>
      <c r="AE25" s="53">
        <f t="shared" si="27"/>
        <v>0</v>
      </c>
    </row>
    <row r="26" spans="1:31" x14ac:dyDescent="0.25">
      <c r="A26" s="26" t="s">
        <v>192</v>
      </c>
      <c r="B26" s="50"/>
      <c r="C26" s="51">
        <f t="shared" si="28"/>
        <v>0</v>
      </c>
      <c r="D26" s="52"/>
      <c r="E26" s="51">
        <f t="shared" si="17"/>
        <v>0</v>
      </c>
      <c r="F26" s="52"/>
      <c r="G26" s="51">
        <f t="shared" si="16"/>
        <v>0</v>
      </c>
      <c r="H26" s="52"/>
      <c r="I26" s="51">
        <f t="shared" si="18"/>
        <v>0</v>
      </c>
      <c r="J26" s="52"/>
      <c r="K26" s="53">
        <f t="shared" si="19"/>
        <v>0</v>
      </c>
      <c r="L26" s="50"/>
      <c r="M26" s="51">
        <f t="shared" si="20"/>
        <v>0</v>
      </c>
      <c r="N26" s="52"/>
      <c r="O26" s="51">
        <f t="shared" si="21"/>
        <v>0</v>
      </c>
      <c r="P26" s="52"/>
      <c r="Q26" s="51">
        <f t="shared" si="22"/>
        <v>0</v>
      </c>
      <c r="R26" s="52"/>
      <c r="S26" s="51">
        <f t="shared" si="29"/>
        <v>0</v>
      </c>
      <c r="T26" s="52"/>
      <c r="U26" s="53">
        <f t="shared" si="23"/>
        <v>0</v>
      </c>
      <c r="V26" s="50"/>
      <c r="W26" s="51">
        <f t="shared" si="24"/>
        <v>0</v>
      </c>
      <c r="X26" s="52"/>
      <c r="Y26" s="51">
        <f t="shared" si="30"/>
        <v>0</v>
      </c>
      <c r="Z26" s="52"/>
      <c r="AA26" s="51">
        <f t="shared" si="25"/>
        <v>0</v>
      </c>
      <c r="AB26" s="52"/>
      <c r="AC26" s="51">
        <f t="shared" si="26"/>
        <v>0</v>
      </c>
      <c r="AD26" s="52"/>
      <c r="AE26" s="53">
        <f t="shared" si="27"/>
        <v>0</v>
      </c>
    </row>
    <row r="27" spans="1:31" x14ac:dyDescent="0.25">
      <c r="A27" s="26" t="s">
        <v>144</v>
      </c>
      <c r="B27" s="50"/>
      <c r="C27" s="51">
        <f t="shared" si="28"/>
        <v>0</v>
      </c>
      <c r="D27" s="52"/>
      <c r="E27" s="51">
        <f t="shared" si="17"/>
        <v>0</v>
      </c>
      <c r="F27" s="52"/>
      <c r="G27" s="51">
        <f t="shared" si="16"/>
        <v>0</v>
      </c>
      <c r="H27" s="52"/>
      <c r="I27" s="51">
        <f t="shared" si="18"/>
        <v>0</v>
      </c>
      <c r="J27" s="52"/>
      <c r="K27" s="53">
        <f t="shared" si="19"/>
        <v>0</v>
      </c>
      <c r="L27" s="50"/>
      <c r="M27" s="51">
        <f t="shared" si="20"/>
        <v>0</v>
      </c>
      <c r="N27" s="52"/>
      <c r="O27" s="51">
        <f t="shared" si="21"/>
        <v>0</v>
      </c>
      <c r="P27" s="52"/>
      <c r="Q27" s="51">
        <f t="shared" si="22"/>
        <v>0</v>
      </c>
      <c r="R27" s="52"/>
      <c r="S27" s="51">
        <f t="shared" si="29"/>
        <v>0</v>
      </c>
      <c r="T27" s="52"/>
      <c r="U27" s="53">
        <f t="shared" si="23"/>
        <v>0</v>
      </c>
      <c r="V27" s="50"/>
      <c r="W27" s="51">
        <f t="shared" si="24"/>
        <v>0</v>
      </c>
      <c r="X27" s="52"/>
      <c r="Y27" s="51">
        <f t="shared" si="30"/>
        <v>0</v>
      </c>
      <c r="Z27" s="52"/>
      <c r="AA27" s="51">
        <f t="shared" si="25"/>
        <v>0</v>
      </c>
      <c r="AB27" s="52"/>
      <c r="AC27" s="51">
        <f t="shared" si="26"/>
        <v>0</v>
      </c>
      <c r="AD27" s="52"/>
      <c r="AE27" s="53">
        <f t="shared" si="27"/>
        <v>0</v>
      </c>
    </row>
    <row r="28" spans="1:31" x14ac:dyDescent="0.25">
      <c r="A28" s="26" t="s">
        <v>145</v>
      </c>
      <c r="B28" s="50"/>
      <c r="C28" s="51">
        <f t="shared" si="28"/>
        <v>0</v>
      </c>
      <c r="D28" s="52"/>
      <c r="E28" s="51">
        <f t="shared" si="17"/>
        <v>0</v>
      </c>
      <c r="F28" s="52"/>
      <c r="G28" s="51">
        <f t="shared" si="16"/>
        <v>0</v>
      </c>
      <c r="H28" s="52"/>
      <c r="I28" s="51">
        <f t="shared" si="18"/>
        <v>0</v>
      </c>
      <c r="J28" s="52"/>
      <c r="K28" s="53">
        <f t="shared" si="19"/>
        <v>0</v>
      </c>
      <c r="L28" s="50"/>
      <c r="M28" s="51">
        <f t="shared" si="20"/>
        <v>0</v>
      </c>
      <c r="N28" s="52"/>
      <c r="O28" s="51">
        <f t="shared" si="21"/>
        <v>0</v>
      </c>
      <c r="P28" s="52"/>
      <c r="Q28" s="51">
        <f t="shared" si="22"/>
        <v>0</v>
      </c>
      <c r="R28" s="52"/>
      <c r="S28" s="51">
        <f t="shared" si="29"/>
        <v>0</v>
      </c>
      <c r="T28" s="52"/>
      <c r="U28" s="53">
        <f t="shared" si="23"/>
        <v>0</v>
      </c>
      <c r="V28" s="50"/>
      <c r="W28" s="51">
        <f t="shared" si="24"/>
        <v>0</v>
      </c>
      <c r="X28" s="52"/>
      <c r="Y28" s="51">
        <f t="shared" si="30"/>
        <v>0</v>
      </c>
      <c r="Z28" s="52"/>
      <c r="AA28" s="51">
        <f t="shared" si="25"/>
        <v>0</v>
      </c>
      <c r="AB28" s="52"/>
      <c r="AC28" s="51">
        <f t="shared" si="26"/>
        <v>0</v>
      </c>
      <c r="AD28" s="52"/>
      <c r="AE28" s="53">
        <f t="shared" si="27"/>
        <v>0</v>
      </c>
    </row>
    <row r="29" spans="1:31" x14ac:dyDescent="0.25">
      <c r="A29" s="26" t="s">
        <v>146</v>
      </c>
      <c r="B29" s="50"/>
      <c r="C29" s="51">
        <f t="shared" si="28"/>
        <v>0</v>
      </c>
      <c r="D29" s="52"/>
      <c r="E29" s="51">
        <f t="shared" si="17"/>
        <v>0</v>
      </c>
      <c r="F29" s="52"/>
      <c r="G29" s="51">
        <f t="shared" si="16"/>
        <v>0</v>
      </c>
      <c r="H29" s="52"/>
      <c r="I29" s="51">
        <f t="shared" si="18"/>
        <v>0</v>
      </c>
      <c r="J29" s="52"/>
      <c r="K29" s="53">
        <f t="shared" si="19"/>
        <v>0</v>
      </c>
      <c r="L29" s="50"/>
      <c r="M29" s="51">
        <f t="shared" si="20"/>
        <v>0</v>
      </c>
      <c r="N29" s="52"/>
      <c r="O29" s="51">
        <f t="shared" si="21"/>
        <v>0</v>
      </c>
      <c r="P29" s="52"/>
      <c r="Q29" s="51">
        <f t="shared" si="22"/>
        <v>0</v>
      </c>
      <c r="R29" s="52"/>
      <c r="S29" s="51">
        <f t="shared" si="29"/>
        <v>0</v>
      </c>
      <c r="T29" s="52"/>
      <c r="U29" s="53">
        <f t="shared" si="23"/>
        <v>0</v>
      </c>
      <c r="V29" s="50"/>
      <c r="W29" s="51">
        <f t="shared" si="24"/>
        <v>0</v>
      </c>
      <c r="X29" s="52"/>
      <c r="Y29" s="51">
        <f t="shared" si="30"/>
        <v>0</v>
      </c>
      <c r="Z29" s="52"/>
      <c r="AA29" s="51">
        <f t="shared" si="25"/>
        <v>0</v>
      </c>
      <c r="AB29" s="52"/>
      <c r="AC29" s="51">
        <f t="shared" si="26"/>
        <v>0</v>
      </c>
      <c r="AD29" s="52"/>
      <c r="AE29" s="53">
        <f t="shared" si="27"/>
        <v>0</v>
      </c>
    </row>
    <row r="30" spans="1:31" x14ac:dyDescent="0.25">
      <c r="A30" s="27" t="s">
        <v>72</v>
      </c>
      <c r="B30" s="50"/>
      <c r="C30" s="51">
        <f t="shared" si="28"/>
        <v>0</v>
      </c>
      <c r="D30" s="52"/>
      <c r="E30" s="51">
        <f t="shared" si="17"/>
        <v>0</v>
      </c>
      <c r="F30" s="52"/>
      <c r="G30" s="51">
        <f t="shared" si="16"/>
        <v>0</v>
      </c>
      <c r="H30" s="52"/>
      <c r="I30" s="51">
        <f t="shared" si="18"/>
        <v>0</v>
      </c>
      <c r="J30" s="52"/>
      <c r="K30" s="53">
        <f t="shared" si="19"/>
        <v>0</v>
      </c>
      <c r="L30" s="50"/>
      <c r="M30" s="51">
        <f t="shared" si="20"/>
        <v>0</v>
      </c>
      <c r="N30" s="52"/>
      <c r="O30" s="51">
        <f t="shared" si="21"/>
        <v>0</v>
      </c>
      <c r="P30" s="52"/>
      <c r="Q30" s="51">
        <f t="shared" si="22"/>
        <v>0</v>
      </c>
      <c r="R30" s="52"/>
      <c r="S30" s="51">
        <f t="shared" si="29"/>
        <v>0</v>
      </c>
      <c r="T30" s="52"/>
      <c r="U30" s="53">
        <f t="shared" si="23"/>
        <v>0</v>
      </c>
      <c r="V30" s="50"/>
      <c r="W30" s="51">
        <f t="shared" si="24"/>
        <v>0</v>
      </c>
      <c r="X30" s="52"/>
      <c r="Y30" s="51">
        <f t="shared" si="30"/>
        <v>0</v>
      </c>
      <c r="Z30" s="52"/>
      <c r="AA30" s="51">
        <f t="shared" si="25"/>
        <v>0</v>
      </c>
      <c r="AB30" s="52"/>
      <c r="AC30" s="51">
        <f t="shared" si="26"/>
        <v>0</v>
      </c>
      <c r="AD30" s="52"/>
      <c r="AE30" s="53">
        <f t="shared" si="27"/>
        <v>0</v>
      </c>
    </row>
    <row r="31" spans="1:31" x14ac:dyDescent="0.25">
      <c r="A31" s="27" t="s">
        <v>73</v>
      </c>
      <c r="B31" s="50"/>
      <c r="C31" s="51">
        <f t="shared" si="28"/>
        <v>0</v>
      </c>
      <c r="D31" s="52"/>
      <c r="E31" s="51">
        <f t="shared" si="17"/>
        <v>0</v>
      </c>
      <c r="F31" s="52"/>
      <c r="G31" s="51">
        <f t="shared" si="16"/>
        <v>0</v>
      </c>
      <c r="H31" s="52"/>
      <c r="I31" s="51">
        <f t="shared" si="18"/>
        <v>0</v>
      </c>
      <c r="J31" s="52"/>
      <c r="K31" s="53">
        <f t="shared" si="19"/>
        <v>0</v>
      </c>
      <c r="L31" s="50"/>
      <c r="M31" s="51">
        <f t="shared" si="20"/>
        <v>0</v>
      </c>
      <c r="N31" s="52"/>
      <c r="O31" s="51">
        <f t="shared" si="21"/>
        <v>0</v>
      </c>
      <c r="P31" s="52"/>
      <c r="Q31" s="51">
        <f t="shared" si="22"/>
        <v>0</v>
      </c>
      <c r="R31" s="52"/>
      <c r="S31" s="51">
        <f t="shared" si="29"/>
        <v>0</v>
      </c>
      <c r="T31" s="52"/>
      <c r="U31" s="53">
        <f t="shared" si="23"/>
        <v>0</v>
      </c>
      <c r="V31" s="50"/>
      <c r="W31" s="51">
        <f t="shared" si="24"/>
        <v>0</v>
      </c>
      <c r="X31" s="52"/>
      <c r="Y31" s="51">
        <f t="shared" si="30"/>
        <v>0</v>
      </c>
      <c r="Z31" s="52"/>
      <c r="AA31" s="51">
        <f t="shared" si="25"/>
        <v>0</v>
      </c>
      <c r="AB31" s="52"/>
      <c r="AC31" s="51">
        <f t="shared" si="26"/>
        <v>0</v>
      </c>
      <c r="AD31" s="52"/>
      <c r="AE31" s="53">
        <f t="shared" si="27"/>
        <v>0</v>
      </c>
    </row>
    <row r="32" spans="1:31" x14ac:dyDescent="0.25">
      <c r="A32" s="27" t="s">
        <v>74</v>
      </c>
      <c r="B32" s="50"/>
      <c r="C32" s="51">
        <f t="shared" si="28"/>
        <v>0</v>
      </c>
      <c r="D32" s="52"/>
      <c r="E32" s="51">
        <f t="shared" si="17"/>
        <v>0</v>
      </c>
      <c r="F32" s="52"/>
      <c r="G32" s="51">
        <f t="shared" si="16"/>
        <v>0</v>
      </c>
      <c r="H32" s="52"/>
      <c r="I32" s="51">
        <f t="shared" si="18"/>
        <v>0</v>
      </c>
      <c r="J32" s="52"/>
      <c r="K32" s="53">
        <f t="shared" si="19"/>
        <v>0</v>
      </c>
      <c r="L32" s="50"/>
      <c r="M32" s="51">
        <f t="shared" si="20"/>
        <v>0</v>
      </c>
      <c r="N32" s="52"/>
      <c r="O32" s="51">
        <f t="shared" si="21"/>
        <v>0</v>
      </c>
      <c r="P32" s="52"/>
      <c r="Q32" s="51">
        <f t="shared" si="22"/>
        <v>0</v>
      </c>
      <c r="R32" s="52"/>
      <c r="S32" s="51">
        <f t="shared" si="29"/>
        <v>0</v>
      </c>
      <c r="T32" s="52"/>
      <c r="U32" s="53">
        <f t="shared" si="23"/>
        <v>0</v>
      </c>
      <c r="V32" s="50"/>
      <c r="W32" s="51">
        <f t="shared" si="24"/>
        <v>0</v>
      </c>
      <c r="X32" s="52"/>
      <c r="Y32" s="51">
        <f t="shared" si="30"/>
        <v>0</v>
      </c>
      <c r="Z32" s="52"/>
      <c r="AA32" s="51">
        <f t="shared" si="25"/>
        <v>0</v>
      </c>
      <c r="AB32" s="52"/>
      <c r="AC32" s="51">
        <f t="shared" si="26"/>
        <v>0</v>
      </c>
      <c r="AD32" s="52"/>
      <c r="AE32" s="53">
        <f t="shared" si="27"/>
        <v>0</v>
      </c>
    </row>
    <row r="33" spans="1:31" x14ac:dyDescent="0.25">
      <c r="A33" s="27" t="s">
        <v>75</v>
      </c>
      <c r="B33" s="50"/>
      <c r="C33" s="51">
        <f t="shared" si="28"/>
        <v>0</v>
      </c>
      <c r="D33" s="52"/>
      <c r="E33" s="51">
        <f t="shared" si="17"/>
        <v>0</v>
      </c>
      <c r="F33" s="52"/>
      <c r="G33" s="51">
        <f t="shared" si="16"/>
        <v>0</v>
      </c>
      <c r="H33" s="52"/>
      <c r="I33" s="51">
        <f t="shared" si="18"/>
        <v>0</v>
      </c>
      <c r="J33" s="52"/>
      <c r="K33" s="53">
        <f t="shared" si="19"/>
        <v>0</v>
      </c>
      <c r="L33" s="50"/>
      <c r="M33" s="51">
        <f t="shared" si="20"/>
        <v>0</v>
      </c>
      <c r="N33" s="52"/>
      <c r="O33" s="51">
        <f t="shared" si="21"/>
        <v>0</v>
      </c>
      <c r="P33" s="52"/>
      <c r="Q33" s="51">
        <f t="shared" si="22"/>
        <v>0</v>
      </c>
      <c r="R33" s="52"/>
      <c r="S33" s="51">
        <f t="shared" si="29"/>
        <v>0</v>
      </c>
      <c r="T33" s="52"/>
      <c r="U33" s="53">
        <f t="shared" si="23"/>
        <v>0</v>
      </c>
      <c r="V33" s="50"/>
      <c r="W33" s="51">
        <f t="shared" si="24"/>
        <v>0</v>
      </c>
      <c r="X33" s="52"/>
      <c r="Y33" s="51">
        <f t="shared" si="30"/>
        <v>0</v>
      </c>
      <c r="Z33" s="52"/>
      <c r="AA33" s="51">
        <f t="shared" si="25"/>
        <v>0</v>
      </c>
      <c r="AB33" s="52"/>
      <c r="AC33" s="51">
        <f t="shared" si="26"/>
        <v>0</v>
      </c>
      <c r="AD33" s="52"/>
      <c r="AE33" s="53">
        <f t="shared" si="27"/>
        <v>0</v>
      </c>
    </row>
    <row r="34" spans="1:31" x14ac:dyDescent="0.25">
      <c r="A34" s="27" t="s">
        <v>76</v>
      </c>
      <c r="B34" s="50"/>
      <c r="C34" s="51">
        <f t="shared" si="28"/>
        <v>0</v>
      </c>
      <c r="D34" s="52"/>
      <c r="E34" s="51">
        <f t="shared" si="17"/>
        <v>0</v>
      </c>
      <c r="F34" s="52"/>
      <c r="G34" s="51">
        <f t="shared" si="16"/>
        <v>0</v>
      </c>
      <c r="H34" s="52"/>
      <c r="I34" s="51">
        <f t="shared" si="18"/>
        <v>0</v>
      </c>
      <c r="J34" s="52"/>
      <c r="K34" s="53">
        <f t="shared" si="19"/>
        <v>0</v>
      </c>
      <c r="L34" s="50"/>
      <c r="M34" s="51">
        <f t="shared" si="20"/>
        <v>0</v>
      </c>
      <c r="N34" s="52"/>
      <c r="O34" s="51">
        <f t="shared" si="21"/>
        <v>0</v>
      </c>
      <c r="P34" s="52"/>
      <c r="Q34" s="51">
        <f t="shared" si="22"/>
        <v>0</v>
      </c>
      <c r="R34" s="52"/>
      <c r="S34" s="51">
        <f t="shared" si="29"/>
        <v>0</v>
      </c>
      <c r="T34" s="52"/>
      <c r="U34" s="53">
        <f t="shared" si="23"/>
        <v>0</v>
      </c>
      <c r="V34" s="50"/>
      <c r="W34" s="51">
        <f t="shared" si="24"/>
        <v>0</v>
      </c>
      <c r="X34" s="52"/>
      <c r="Y34" s="51">
        <f t="shared" si="30"/>
        <v>0</v>
      </c>
      <c r="Z34" s="52"/>
      <c r="AA34" s="51">
        <f t="shared" si="25"/>
        <v>0</v>
      </c>
      <c r="AB34" s="52"/>
      <c r="AC34" s="51">
        <f t="shared" si="26"/>
        <v>0</v>
      </c>
      <c r="AD34" s="52"/>
      <c r="AE34" s="53">
        <f t="shared" si="27"/>
        <v>0</v>
      </c>
    </row>
    <row r="35" spans="1:31" x14ac:dyDescent="0.25">
      <c r="A35" s="27" t="s">
        <v>77</v>
      </c>
      <c r="B35" s="50"/>
      <c r="C35" s="51">
        <f t="shared" si="28"/>
        <v>0</v>
      </c>
      <c r="D35" s="52"/>
      <c r="E35" s="51">
        <f t="shared" si="17"/>
        <v>0</v>
      </c>
      <c r="F35" s="52"/>
      <c r="G35" s="51">
        <f t="shared" si="16"/>
        <v>0</v>
      </c>
      <c r="H35" s="52"/>
      <c r="I35" s="51">
        <f t="shared" si="18"/>
        <v>0</v>
      </c>
      <c r="J35" s="52"/>
      <c r="K35" s="53">
        <f t="shared" si="19"/>
        <v>0</v>
      </c>
      <c r="L35" s="50"/>
      <c r="M35" s="51">
        <f t="shared" si="20"/>
        <v>0</v>
      </c>
      <c r="N35" s="52"/>
      <c r="O35" s="51">
        <f t="shared" si="21"/>
        <v>0</v>
      </c>
      <c r="P35" s="52"/>
      <c r="Q35" s="51">
        <f t="shared" si="22"/>
        <v>0</v>
      </c>
      <c r="R35" s="52"/>
      <c r="S35" s="51">
        <f t="shared" si="29"/>
        <v>0</v>
      </c>
      <c r="T35" s="52"/>
      <c r="U35" s="53">
        <f t="shared" si="23"/>
        <v>0</v>
      </c>
      <c r="V35" s="50"/>
      <c r="W35" s="51">
        <f t="shared" si="24"/>
        <v>0</v>
      </c>
      <c r="X35" s="52"/>
      <c r="Y35" s="51">
        <f t="shared" si="30"/>
        <v>0</v>
      </c>
      <c r="Z35" s="52"/>
      <c r="AA35" s="51">
        <f t="shared" si="25"/>
        <v>0</v>
      </c>
      <c r="AB35" s="52"/>
      <c r="AC35" s="51">
        <f t="shared" si="26"/>
        <v>0</v>
      </c>
      <c r="AD35" s="52"/>
      <c r="AE35" s="53">
        <f t="shared" si="27"/>
        <v>0</v>
      </c>
    </row>
    <row r="36" spans="1:31" x14ac:dyDescent="0.25">
      <c r="A36" s="27" t="s">
        <v>78</v>
      </c>
      <c r="B36" s="50"/>
      <c r="C36" s="51">
        <f t="shared" si="28"/>
        <v>0</v>
      </c>
      <c r="D36" s="52"/>
      <c r="E36" s="51">
        <f t="shared" si="17"/>
        <v>0</v>
      </c>
      <c r="F36" s="52"/>
      <c r="G36" s="51">
        <f t="shared" si="16"/>
        <v>0</v>
      </c>
      <c r="H36" s="52"/>
      <c r="I36" s="51">
        <f t="shared" si="18"/>
        <v>0</v>
      </c>
      <c r="J36" s="52"/>
      <c r="K36" s="53">
        <f t="shared" si="19"/>
        <v>0</v>
      </c>
      <c r="L36" s="50"/>
      <c r="M36" s="51">
        <f t="shared" si="20"/>
        <v>0</v>
      </c>
      <c r="N36" s="52"/>
      <c r="O36" s="51">
        <f t="shared" si="21"/>
        <v>0</v>
      </c>
      <c r="P36" s="52"/>
      <c r="Q36" s="51">
        <f t="shared" si="22"/>
        <v>0</v>
      </c>
      <c r="R36" s="52"/>
      <c r="S36" s="51">
        <f t="shared" si="29"/>
        <v>0</v>
      </c>
      <c r="T36" s="52"/>
      <c r="U36" s="53">
        <f t="shared" si="23"/>
        <v>0</v>
      </c>
      <c r="V36" s="50"/>
      <c r="W36" s="51">
        <f t="shared" si="24"/>
        <v>0</v>
      </c>
      <c r="X36" s="52"/>
      <c r="Y36" s="51">
        <f t="shared" si="30"/>
        <v>0</v>
      </c>
      <c r="Z36" s="52"/>
      <c r="AA36" s="51">
        <f t="shared" si="25"/>
        <v>0</v>
      </c>
      <c r="AB36" s="52"/>
      <c r="AC36" s="51">
        <f t="shared" si="26"/>
        <v>0</v>
      </c>
      <c r="AD36" s="52"/>
      <c r="AE36" s="53">
        <f t="shared" si="27"/>
        <v>0</v>
      </c>
    </row>
    <row r="37" spans="1:31" ht="15.75" thickBot="1" x14ac:dyDescent="0.3">
      <c r="A37" s="28" t="s">
        <v>79</v>
      </c>
      <c r="B37" s="50"/>
      <c r="C37" s="51">
        <f t="shared" si="28"/>
        <v>0</v>
      </c>
      <c r="D37" s="52"/>
      <c r="E37" s="51">
        <f t="shared" si="17"/>
        <v>0</v>
      </c>
      <c r="F37" s="52"/>
      <c r="G37" s="51">
        <f t="shared" si="16"/>
        <v>0</v>
      </c>
      <c r="H37" s="52"/>
      <c r="I37" s="51">
        <f t="shared" si="18"/>
        <v>0</v>
      </c>
      <c r="J37" s="52"/>
      <c r="K37" s="53">
        <f t="shared" si="19"/>
        <v>0</v>
      </c>
      <c r="L37" s="50"/>
      <c r="M37" s="51">
        <f t="shared" si="20"/>
        <v>0</v>
      </c>
      <c r="N37" s="52"/>
      <c r="O37" s="51">
        <f t="shared" si="21"/>
        <v>0</v>
      </c>
      <c r="P37" s="52"/>
      <c r="Q37" s="51">
        <f t="shared" si="22"/>
        <v>0</v>
      </c>
      <c r="R37" s="52"/>
      <c r="S37" s="51">
        <f t="shared" si="29"/>
        <v>0</v>
      </c>
      <c r="T37" s="52"/>
      <c r="U37" s="53">
        <f t="shared" si="23"/>
        <v>0</v>
      </c>
      <c r="V37" s="50"/>
      <c r="W37" s="51">
        <f t="shared" si="24"/>
        <v>0</v>
      </c>
      <c r="X37" s="52"/>
      <c r="Y37" s="51">
        <f t="shared" si="30"/>
        <v>0</v>
      </c>
      <c r="Z37" s="52"/>
      <c r="AA37" s="51">
        <f t="shared" si="25"/>
        <v>0</v>
      </c>
      <c r="AB37" s="52"/>
      <c r="AC37" s="51">
        <f t="shared" si="26"/>
        <v>0</v>
      </c>
      <c r="AD37" s="52"/>
      <c r="AE37" s="53">
        <f t="shared" si="27"/>
        <v>0</v>
      </c>
    </row>
    <row r="38" spans="1:31" ht="15.75" thickBot="1" x14ac:dyDescent="0.3">
      <c r="A38" s="28" t="s">
        <v>80</v>
      </c>
      <c r="B38" s="54"/>
      <c r="C38" s="55">
        <f t="shared" si="28"/>
        <v>0</v>
      </c>
      <c r="D38" s="56"/>
      <c r="E38" s="55">
        <f t="shared" si="17"/>
        <v>0</v>
      </c>
      <c r="F38" s="56"/>
      <c r="G38" s="55">
        <f t="shared" si="16"/>
        <v>0</v>
      </c>
      <c r="H38" s="56"/>
      <c r="I38" s="55">
        <f t="shared" si="18"/>
        <v>0</v>
      </c>
      <c r="J38" s="56"/>
      <c r="K38" s="57">
        <f t="shared" si="19"/>
        <v>0</v>
      </c>
      <c r="L38" s="54"/>
      <c r="M38" s="55">
        <f t="shared" si="20"/>
        <v>0</v>
      </c>
      <c r="N38" s="56"/>
      <c r="O38" s="55">
        <f t="shared" si="21"/>
        <v>0</v>
      </c>
      <c r="P38" s="56"/>
      <c r="Q38" s="55">
        <f t="shared" si="22"/>
        <v>0</v>
      </c>
      <c r="R38" s="56"/>
      <c r="S38" s="55">
        <f t="shared" si="29"/>
        <v>0</v>
      </c>
      <c r="T38" s="56"/>
      <c r="U38" s="57">
        <f t="shared" si="23"/>
        <v>0</v>
      </c>
      <c r="V38" s="54"/>
      <c r="W38" s="55">
        <f t="shared" si="24"/>
        <v>0</v>
      </c>
      <c r="X38" s="56"/>
      <c r="Y38" s="55">
        <f t="shared" si="30"/>
        <v>0</v>
      </c>
      <c r="Z38" s="56"/>
      <c r="AA38" s="55">
        <f t="shared" si="25"/>
        <v>0</v>
      </c>
      <c r="AB38" s="56"/>
      <c r="AC38" s="55">
        <f t="shared" si="26"/>
        <v>0</v>
      </c>
      <c r="AD38" s="56"/>
      <c r="AE38" s="57">
        <f t="shared" si="27"/>
        <v>0</v>
      </c>
    </row>
    <row r="39" spans="1:31" x14ac:dyDescent="0.25">
      <c r="B39" s="43"/>
      <c r="D39" s="43"/>
      <c r="F39" s="43"/>
      <c r="H39" s="43"/>
      <c r="J39" s="43"/>
      <c r="L39" s="43"/>
      <c r="N39" s="43"/>
      <c r="P39" s="43"/>
      <c r="R39" s="43"/>
      <c r="T39" s="43"/>
      <c r="V39" s="43"/>
      <c r="X39" s="43"/>
      <c r="Z39" s="43"/>
      <c r="AB39" s="43"/>
      <c r="AD39" s="43"/>
    </row>
  </sheetData>
  <mergeCells count="18">
    <mergeCell ref="B1:K1"/>
    <mergeCell ref="L1:U1"/>
    <mergeCell ref="V1:AE1"/>
    <mergeCell ref="B2:C2"/>
    <mergeCell ref="D2:E2"/>
    <mergeCell ref="F2:G2"/>
    <mergeCell ref="H2:I2"/>
    <mergeCell ref="J2:K2"/>
    <mergeCell ref="L2:M2"/>
    <mergeCell ref="Z2:AA2"/>
    <mergeCell ref="AB2:AC2"/>
    <mergeCell ref="AD2:AE2"/>
    <mergeCell ref="N2:O2"/>
    <mergeCell ref="P2:Q2"/>
    <mergeCell ref="R2:S2"/>
    <mergeCell ref="T2:U2"/>
    <mergeCell ref="V2:W2"/>
    <mergeCell ref="X2:Y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58"/>
  <sheetViews>
    <sheetView workbookViewId="0">
      <selection activeCell="B2" sqref="B2:DB2"/>
    </sheetView>
  </sheetViews>
  <sheetFormatPr defaultRowHeight="15" x14ac:dyDescent="0.25"/>
  <cols>
    <col min="1" max="1" width="34.28515625" style="37" bestFit="1" customWidth="1"/>
    <col min="2" max="16384" width="9.140625" style="37"/>
  </cols>
  <sheetData>
    <row r="1" spans="1:21" ht="15.75" customHeight="1" thickBot="1" x14ac:dyDescent="0.3">
      <c r="B1" s="73" t="s">
        <v>45</v>
      </c>
      <c r="C1" s="68"/>
      <c r="D1" s="68"/>
      <c r="E1" s="68"/>
      <c r="F1" s="68"/>
      <c r="G1" s="68"/>
      <c r="H1" s="68"/>
      <c r="I1" s="68"/>
      <c r="J1" s="68"/>
      <c r="K1" s="69"/>
      <c r="L1" s="73" t="s">
        <v>125</v>
      </c>
      <c r="M1" s="68"/>
      <c r="N1" s="68"/>
      <c r="O1" s="68"/>
      <c r="P1" s="68"/>
      <c r="Q1" s="68"/>
      <c r="R1" s="68"/>
      <c r="S1" s="68"/>
      <c r="T1" s="68"/>
      <c r="U1" s="69"/>
    </row>
    <row r="2" spans="1:21" x14ac:dyDescent="0.25">
      <c r="B2" s="65">
        <f ca="1">SunDates!$H1</f>
        <v>43134</v>
      </c>
      <c r="C2" s="66"/>
      <c r="D2" s="65">
        <f ca="1">SunDates!$H2</f>
        <v>43141</v>
      </c>
      <c r="E2" s="66"/>
      <c r="F2" s="65">
        <f ca="1">SunDates!$H3</f>
        <v>43148</v>
      </c>
      <c r="G2" s="66"/>
      <c r="H2" s="65">
        <f ca="1">SunDates!$H4</f>
        <v>43155</v>
      </c>
      <c r="I2" s="66"/>
      <c r="J2" s="65">
        <f ca="1">SunDates!$H5</f>
        <v>43159</v>
      </c>
      <c r="K2" s="66"/>
      <c r="L2" s="65">
        <f ca="1">SunDates!$H1</f>
        <v>43134</v>
      </c>
      <c r="M2" s="66"/>
      <c r="N2" s="65">
        <f ca="1">SunDates!$H2</f>
        <v>43141</v>
      </c>
      <c r="O2" s="66"/>
      <c r="P2" s="65">
        <f ca="1">SunDates!$H3</f>
        <v>43148</v>
      </c>
      <c r="Q2" s="66"/>
      <c r="R2" s="65">
        <f ca="1">SunDates!$H4</f>
        <v>43155</v>
      </c>
      <c r="S2" s="66"/>
      <c r="T2" s="65">
        <f ca="1">SunDates!$H5</f>
        <v>43159</v>
      </c>
      <c r="U2" s="66"/>
    </row>
    <row r="3" spans="1:21" ht="15.75" thickBot="1" x14ac:dyDescent="0.3">
      <c r="B3" s="85" t="s">
        <v>169</v>
      </c>
      <c r="C3" s="86" t="s">
        <v>170</v>
      </c>
      <c r="D3" s="86" t="s">
        <v>169</v>
      </c>
      <c r="E3" s="86" t="s">
        <v>170</v>
      </c>
      <c r="F3" s="86" t="s">
        <v>169</v>
      </c>
      <c r="G3" s="86" t="s">
        <v>170</v>
      </c>
      <c r="H3" s="86" t="s">
        <v>169</v>
      </c>
      <c r="I3" s="86" t="s">
        <v>170</v>
      </c>
      <c r="J3" s="86" t="s">
        <v>169</v>
      </c>
      <c r="K3" s="87" t="s">
        <v>170</v>
      </c>
      <c r="L3" s="40" t="s">
        <v>169</v>
      </c>
      <c r="M3" s="41" t="s">
        <v>170</v>
      </c>
      <c r="N3" s="41" t="s">
        <v>169</v>
      </c>
      <c r="O3" s="41" t="s">
        <v>170</v>
      </c>
      <c r="P3" s="41" t="s">
        <v>169</v>
      </c>
      <c r="Q3" s="41" t="s">
        <v>170</v>
      </c>
      <c r="R3" s="41" t="s">
        <v>169</v>
      </c>
      <c r="S3" s="41" t="s">
        <v>170</v>
      </c>
      <c r="T3" s="41" t="s">
        <v>169</v>
      </c>
      <c r="U3" s="42" t="s">
        <v>170</v>
      </c>
    </row>
    <row r="4" spans="1:21" x14ac:dyDescent="0.25">
      <c r="A4" s="80" t="s">
        <v>223</v>
      </c>
      <c r="B4" s="46">
        <v>0</v>
      </c>
      <c r="C4" s="78">
        <f t="shared" ref="C4:C42" si="0">IFERROR(B4/$B$43,0)</f>
        <v>0</v>
      </c>
      <c r="D4" s="48"/>
      <c r="E4" s="78">
        <f t="shared" ref="E4:E42" si="1">IFERROR(D4/$B$43,0)</f>
        <v>0</v>
      </c>
      <c r="F4" s="48"/>
      <c r="G4" s="78">
        <f t="shared" ref="G4:G42" si="2">IFERROR(F4/$B$43,0)</f>
        <v>0</v>
      </c>
      <c r="H4" s="48"/>
      <c r="I4" s="78">
        <f t="shared" ref="I4:I42" si="3">IFERROR(H4/$B$43,0)</f>
        <v>0</v>
      </c>
      <c r="J4" s="48"/>
      <c r="K4" s="89">
        <f t="shared" ref="K4:K42" si="4">IFERROR(J4/$B$43,0)</f>
        <v>0</v>
      </c>
      <c r="L4" s="48"/>
      <c r="M4" s="47">
        <f t="shared" ref="M4:M38" si="5">IFERROR(L4/L$39,0%)</f>
        <v>0</v>
      </c>
      <c r="N4" s="48"/>
      <c r="O4" s="47">
        <f t="shared" ref="O4:O38" si="6">IFERROR(N4/N$39,0%)</f>
        <v>0</v>
      </c>
      <c r="P4" s="48"/>
      <c r="Q4" s="47">
        <f t="shared" ref="Q4:Q38" si="7">IFERROR(P4/P$39,0%)</f>
        <v>0</v>
      </c>
      <c r="R4" s="48"/>
      <c r="S4" s="47">
        <f t="shared" ref="S4:S38" si="8">IFERROR(R4/R$39,0%)</f>
        <v>0</v>
      </c>
      <c r="T4" s="48"/>
      <c r="U4" s="49">
        <f t="shared" ref="U4:U38" si="9">IFERROR(T4/T$39,0%)</f>
        <v>0</v>
      </c>
    </row>
    <row r="5" spans="1:21" x14ac:dyDescent="0.25">
      <c r="A5" s="81" t="s">
        <v>224</v>
      </c>
      <c r="B5" s="50">
        <v>0</v>
      </c>
      <c r="C5" s="79">
        <f t="shared" si="0"/>
        <v>0</v>
      </c>
      <c r="D5" s="52"/>
      <c r="E5" s="79">
        <f t="shared" si="1"/>
        <v>0</v>
      </c>
      <c r="F5" s="52"/>
      <c r="G5" s="79">
        <f t="shared" si="2"/>
        <v>0</v>
      </c>
      <c r="H5" s="52"/>
      <c r="I5" s="79">
        <f t="shared" si="3"/>
        <v>0</v>
      </c>
      <c r="J5" s="52"/>
      <c r="K5" s="90">
        <f t="shared" si="4"/>
        <v>0</v>
      </c>
      <c r="L5" s="52"/>
      <c r="M5" s="51">
        <f t="shared" si="5"/>
        <v>0</v>
      </c>
      <c r="N5" s="52"/>
      <c r="O5" s="51">
        <f t="shared" si="6"/>
        <v>0</v>
      </c>
      <c r="P5" s="52"/>
      <c r="Q5" s="51">
        <f t="shared" si="7"/>
        <v>0</v>
      </c>
      <c r="R5" s="52"/>
      <c r="S5" s="51">
        <f t="shared" si="8"/>
        <v>0</v>
      </c>
      <c r="T5" s="52"/>
      <c r="U5" s="53">
        <f t="shared" si="9"/>
        <v>0</v>
      </c>
    </row>
    <row r="6" spans="1:21" x14ac:dyDescent="0.25">
      <c r="A6" s="81" t="s">
        <v>225</v>
      </c>
      <c r="B6" s="50">
        <v>0</v>
      </c>
      <c r="C6" s="79">
        <f t="shared" si="0"/>
        <v>0</v>
      </c>
      <c r="D6" s="52"/>
      <c r="E6" s="79">
        <f t="shared" si="1"/>
        <v>0</v>
      </c>
      <c r="F6" s="52"/>
      <c r="G6" s="79">
        <f t="shared" si="2"/>
        <v>0</v>
      </c>
      <c r="H6" s="52"/>
      <c r="I6" s="79">
        <f t="shared" si="3"/>
        <v>0</v>
      </c>
      <c r="J6" s="52"/>
      <c r="K6" s="90">
        <f t="shared" si="4"/>
        <v>0</v>
      </c>
      <c r="L6" s="52"/>
      <c r="M6" s="51">
        <f t="shared" si="5"/>
        <v>0</v>
      </c>
      <c r="N6" s="52"/>
      <c r="O6" s="51">
        <f t="shared" si="6"/>
        <v>0</v>
      </c>
      <c r="P6" s="52"/>
      <c r="Q6" s="51">
        <f t="shared" si="7"/>
        <v>0</v>
      </c>
      <c r="R6" s="52"/>
      <c r="S6" s="51">
        <f t="shared" si="8"/>
        <v>0</v>
      </c>
      <c r="T6" s="52"/>
      <c r="U6" s="53">
        <f t="shared" si="9"/>
        <v>0</v>
      </c>
    </row>
    <row r="7" spans="1:21" x14ac:dyDescent="0.25">
      <c r="A7" s="81" t="s">
        <v>226</v>
      </c>
      <c r="B7" s="50">
        <v>0</v>
      </c>
      <c r="C7" s="79">
        <f t="shared" si="0"/>
        <v>0</v>
      </c>
      <c r="D7" s="52"/>
      <c r="E7" s="79">
        <f t="shared" si="1"/>
        <v>0</v>
      </c>
      <c r="F7" s="52"/>
      <c r="G7" s="79">
        <f t="shared" si="2"/>
        <v>0</v>
      </c>
      <c r="H7" s="52"/>
      <c r="I7" s="79">
        <f t="shared" si="3"/>
        <v>0</v>
      </c>
      <c r="J7" s="52"/>
      <c r="K7" s="90">
        <f t="shared" si="4"/>
        <v>0</v>
      </c>
      <c r="L7" s="52"/>
      <c r="M7" s="51">
        <f t="shared" si="5"/>
        <v>0</v>
      </c>
      <c r="N7" s="52"/>
      <c r="O7" s="51">
        <f t="shared" si="6"/>
        <v>0</v>
      </c>
      <c r="P7" s="52"/>
      <c r="Q7" s="51">
        <f t="shared" si="7"/>
        <v>0</v>
      </c>
      <c r="R7" s="52"/>
      <c r="S7" s="51">
        <f t="shared" si="8"/>
        <v>0</v>
      </c>
      <c r="T7" s="52"/>
      <c r="U7" s="53">
        <f t="shared" si="9"/>
        <v>0</v>
      </c>
    </row>
    <row r="8" spans="1:21" x14ac:dyDescent="0.25">
      <c r="A8" s="82" t="s">
        <v>63</v>
      </c>
      <c r="B8" s="50">
        <v>0</v>
      </c>
      <c r="C8" s="79">
        <f t="shared" si="0"/>
        <v>0</v>
      </c>
      <c r="D8" s="52"/>
      <c r="E8" s="79">
        <f t="shared" si="1"/>
        <v>0</v>
      </c>
      <c r="F8" s="52"/>
      <c r="G8" s="79">
        <f t="shared" si="2"/>
        <v>0</v>
      </c>
      <c r="H8" s="52"/>
      <c r="I8" s="79">
        <f t="shared" si="3"/>
        <v>0</v>
      </c>
      <c r="J8" s="52"/>
      <c r="K8" s="90">
        <f t="shared" si="4"/>
        <v>0</v>
      </c>
      <c r="L8" s="52"/>
      <c r="M8" s="51">
        <f t="shared" si="5"/>
        <v>0</v>
      </c>
      <c r="N8" s="52"/>
      <c r="O8" s="51">
        <f t="shared" si="6"/>
        <v>0</v>
      </c>
      <c r="P8" s="52"/>
      <c r="Q8" s="51">
        <f t="shared" si="7"/>
        <v>0</v>
      </c>
      <c r="R8" s="52"/>
      <c r="S8" s="51">
        <f t="shared" si="8"/>
        <v>0</v>
      </c>
      <c r="T8" s="52"/>
      <c r="U8" s="53">
        <f t="shared" si="9"/>
        <v>0</v>
      </c>
    </row>
    <row r="9" spans="1:21" x14ac:dyDescent="0.25">
      <c r="A9" s="82" t="s">
        <v>64</v>
      </c>
      <c r="B9" s="50">
        <v>0</v>
      </c>
      <c r="C9" s="79">
        <f t="shared" si="0"/>
        <v>0</v>
      </c>
      <c r="D9" s="52"/>
      <c r="E9" s="79">
        <f t="shared" si="1"/>
        <v>0</v>
      </c>
      <c r="F9" s="52"/>
      <c r="G9" s="79">
        <f t="shared" si="2"/>
        <v>0</v>
      </c>
      <c r="H9" s="52"/>
      <c r="I9" s="79">
        <f t="shared" si="3"/>
        <v>0</v>
      </c>
      <c r="J9" s="52"/>
      <c r="K9" s="90">
        <f t="shared" si="4"/>
        <v>0</v>
      </c>
      <c r="L9" s="52"/>
      <c r="M9" s="51">
        <f t="shared" si="5"/>
        <v>0</v>
      </c>
      <c r="N9" s="52"/>
      <c r="O9" s="51">
        <f t="shared" si="6"/>
        <v>0</v>
      </c>
      <c r="P9" s="52"/>
      <c r="Q9" s="51">
        <f t="shared" si="7"/>
        <v>0</v>
      </c>
      <c r="R9" s="52"/>
      <c r="S9" s="51">
        <f t="shared" si="8"/>
        <v>0</v>
      </c>
      <c r="T9" s="52"/>
      <c r="U9" s="53">
        <f t="shared" si="9"/>
        <v>0</v>
      </c>
    </row>
    <row r="10" spans="1:21" x14ac:dyDescent="0.25">
      <c r="A10" s="82" t="s">
        <v>65</v>
      </c>
      <c r="B10" s="50">
        <v>0</v>
      </c>
      <c r="C10" s="79">
        <f t="shared" si="0"/>
        <v>0</v>
      </c>
      <c r="D10" s="52"/>
      <c r="E10" s="79">
        <f t="shared" si="1"/>
        <v>0</v>
      </c>
      <c r="F10" s="52"/>
      <c r="G10" s="79">
        <f t="shared" si="2"/>
        <v>0</v>
      </c>
      <c r="H10" s="52"/>
      <c r="I10" s="79">
        <f t="shared" si="3"/>
        <v>0</v>
      </c>
      <c r="J10" s="52"/>
      <c r="K10" s="90">
        <f t="shared" si="4"/>
        <v>0</v>
      </c>
      <c r="L10" s="52"/>
      <c r="M10" s="51">
        <f t="shared" si="5"/>
        <v>0</v>
      </c>
      <c r="N10" s="52"/>
      <c r="O10" s="51">
        <f t="shared" si="6"/>
        <v>0</v>
      </c>
      <c r="P10" s="52"/>
      <c r="Q10" s="51">
        <f t="shared" si="7"/>
        <v>0</v>
      </c>
      <c r="R10" s="52"/>
      <c r="S10" s="51">
        <f t="shared" si="8"/>
        <v>0</v>
      </c>
      <c r="T10" s="52"/>
      <c r="U10" s="53">
        <f t="shared" si="9"/>
        <v>0</v>
      </c>
    </row>
    <row r="11" spans="1:21" x14ac:dyDescent="0.25">
      <c r="A11" s="82" t="s">
        <v>66</v>
      </c>
      <c r="B11" s="50">
        <v>0</v>
      </c>
      <c r="C11" s="79">
        <f t="shared" si="0"/>
        <v>0</v>
      </c>
      <c r="D11" s="52"/>
      <c r="E11" s="79">
        <f t="shared" si="1"/>
        <v>0</v>
      </c>
      <c r="F11" s="52"/>
      <c r="G11" s="79">
        <f t="shared" si="2"/>
        <v>0</v>
      </c>
      <c r="H11" s="52"/>
      <c r="I11" s="79">
        <f t="shared" si="3"/>
        <v>0</v>
      </c>
      <c r="J11" s="52"/>
      <c r="K11" s="90">
        <f t="shared" si="4"/>
        <v>0</v>
      </c>
      <c r="L11" s="52"/>
      <c r="M11" s="51">
        <f t="shared" si="5"/>
        <v>0</v>
      </c>
      <c r="N11" s="52"/>
      <c r="O11" s="51">
        <f t="shared" si="6"/>
        <v>0</v>
      </c>
      <c r="P11" s="52"/>
      <c r="Q11" s="51">
        <f t="shared" si="7"/>
        <v>0</v>
      </c>
      <c r="R11" s="52"/>
      <c r="S11" s="51">
        <f t="shared" si="8"/>
        <v>0</v>
      </c>
      <c r="T11" s="52"/>
      <c r="U11" s="53">
        <f t="shared" si="9"/>
        <v>0</v>
      </c>
    </row>
    <row r="12" spans="1:21" x14ac:dyDescent="0.25">
      <c r="A12" s="82" t="s">
        <v>67</v>
      </c>
      <c r="B12" s="50">
        <v>0</v>
      </c>
      <c r="C12" s="79">
        <f t="shared" si="0"/>
        <v>0</v>
      </c>
      <c r="D12" s="52"/>
      <c r="E12" s="79">
        <f t="shared" si="1"/>
        <v>0</v>
      </c>
      <c r="F12" s="52"/>
      <c r="G12" s="79">
        <f t="shared" si="2"/>
        <v>0</v>
      </c>
      <c r="H12" s="52"/>
      <c r="I12" s="79">
        <f t="shared" si="3"/>
        <v>0</v>
      </c>
      <c r="J12" s="52"/>
      <c r="K12" s="90">
        <f t="shared" si="4"/>
        <v>0</v>
      </c>
      <c r="L12" s="52"/>
      <c r="M12" s="51">
        <f t="shared" si="5"/>
        <v>0</v>
      </c>
      <c r="N12" s="52"/>
      <c r="O12" s="51">
        <f t="shared" si="6"/>
        <v>0</v>
      </c>
      <c r="P12" s="52"/>
      <c r="Q12" s="51">
        <f t="shared" si="7"/>
        <v>0</v>
      </c>
      <c r="R12" s="52"/>
      <c r="S12" s="51">
        <f t="shared" si="8"/>
        <v>0</v>
      </c>
      <c r="T12" s="52"/>
      <c r="U12" s="53">
        <f t="shared" si="9"/>
        <v>0</v>
      </c>
    </row>
    <row r="13" spans="1:21" x14ac:dyDescent="0.25">
      <c r="A13" s="82" t="s">
        <v>68</v>
      </c>
      <c r="B13" s="50">
        <v>1.388888888888884E-2</v>
      </c>
      <c r="C13" s="79">
        <f t="shared" si="0"/>
        <v>7.8431372549019357E-2</v>
      </c>
      <c r="D13" s="52"/>
      <c r="E13" s="79">
        <f t="shared" si="1"/>
        <v>0</v>
      </c>
      <c r="F13" s="52"/>
      <c r="G13" s="79">
        <f t="shared" si="2"/>
        <v>0</v>
      </c>
      <c r="H13" s="52"/>
      <c r="I13" s="79">
        <f t="shared" si="3"/>
        <v>0</v>
      </c>
      <c r="J13" s="52"/>
      <c r="K13" s="90">
        <f t="shared" si="4"/>
        <v>0</v>
      </c>
      <c r="L13" s="52"/>
      <c r="M13" s="51">
        <f t="shared" si="5"/>
        <v>0</v>
      </c>
      <c r="N13" s="52"/>
      <c r="O13" s="51">
        <f t="shared" si="6"/>
        <v>0</v>
      </c>
      <c r="P13" s="52"/>
      <c r="Q13" s="51">
        <f t="shared" si="7"/>
        <v>0</v>
      </c>
      <c r="R13" s="52"/>
      <c r="S13" s="51">
        <f t="shared" si="8"/>
        <v>0</v>
      </c>
      <c r="T13" s="52"/>
      <c r="U13" s="53">
        <f t="shared" si="9"/>
        <v>0</v>
      </c>
    </row>
    <row r="14" spans="1:21" s="38" customFormat="1" x14ac:dyDescent="0.25">
      <c r="A14" s="82" t="s">
        <v>69</v>
      </c>
      <c r="B14" s="50">
        <v>0</v>
      </c>
      <c r="C14" s="79">
        <f t="shared" si="0"/>
        <v>0</v>
      </c>
      <c r="D14" s="52"/>
      <c r="E14" s="79">
        <f t="shared" si="1"/>
        <v>0</v>
      </c>
      <c r="F14" s="52"/>
      <c r="G14" s="79">
        <f t="shared" si="2"/>
        <v>0</v>
      </c>
      <c r="H14" s="52"/>
      <c r="I14" s="79">
        <f t="shared" si="3"/>
        <v>0</v>
      </c>
      <c r="J14" s="52"/>
      <c r="K14" s="90">
        <f t="shared" si="4"/>
        <v>0</v>
      </c>
      <c r="L14" s="52"/>
      <c r="M14" s="53">
        <f t="shared" ref="I4:U38" si="10">IFERROR(L14/L$39,0%)</f>
        <v>0</v>
      </c>
      <c r="N14" s="52"/>
      <c r="O14" s="53">
        <f t="shared" si="10"/>
        <v>0</v>
      </c>
      <c r="P14" s="52"/>
      <c r="Q14" s="53">
        <f t="shared" si="10"/>
        <v>0</v>
      </c>
      <c r="R14" s="52"/>
      <c r="S14" s="53">
        <f t="shared" si="10"/>
        <v>0</v>
      </c>
      <c r="T14" s="52"/>
      <c r="U14" s="53">
        <f t="shared" si="10"/>
        <v>0</v>
      </c>
    </row>
    <row r="15" spans="1:21" s="38" customFormat="1" x14ac:dyDescent="0.25">
      <c r="A15" s="82" t="s">
        <v>131</v>
      </c>
      <c r="B15" s="50">
        <v>0</v>
      </c>
      <c r="C15" s="79">
        <f t="shared" si="0"/>
        <v>0</v>
      </c>
      <c r="D15" s="52"/>
      <c r="E15" s="79">
        <f t="shared" si="1"/>
        <v>0</v>
      </c>
      <c r="F15" s="52"/>
      <c r="G15" s="79">
        <f t="shared" si="2"/>
        <v>0</v>
      </c>
      <c r="H15" s="52"/>
      <c r="I15" s="79">
        <f t="shared" si="3"/>
        <v>0</v>
      </c>
      <c r="J15" s="52"/>
      <c r="K15" s="90">
        <f t="shared" si="4"/>
        <v>0</v>
      </c>
      <c r="L15" s="52"/>
      <c r="M15" s="53">
        <f t="shared" si="10"/>
        <v>0</v>
      </c>
      <c r="N15" s="52"/>
      <c r="O15" s="53">
        <f t="shared" si="10"/>
        <v>0</v>
      </c>
      <c r="P15" s="52"/>
      <c r="Q15" s="53">
        <f t="shared" si="10"/>
        <v>0</v>
      </c>
      <c r="R15" s="52"/>
      <c r="S15" s="53">
        <f t="shared" si="10"/>
        <v>0</v>
      </c>
      <c r="T15" s="52"/>
      <c r="U15" s="53">
        <f t="shared" si="10"/>
        <v>0</v>
      </c>
    </row>
    <row r="16" spans="1:21" x14ac:dyDescent="0.25">
      <c r="A16" s="82" t="s">
        <v>132</v>
      </c>
      <c r="B16" s="50">
        <v>0</v>
      </c>
      <c r="C16" s="79">
        <f t="shared" si="0"/>
        <v>0</v>
      </c>
      <c r="D16" s="52"/>
      <c r="E16" s="79">
        <f t="shared" si="1"/>
        <v>0</v>
      </c>
      <c r="F16" s="52"/>
      <c r="G16" s="79">
        <f t="shared" si="2"/>
        <v>0</v>
      </c>
      <c r="H16" s="52"/>
      <c r="I16" s="79">
        <f t="shared" si="3"/>
        <v>0</v>
      </c>
      <c r="J16" s="52"/>
      <c r="K16" s="90">
        <f t="shared" si="4"/>
        <v>0</v>
      </c>
      <c r="L16" s="52"/>
      <c r="M16" s="51">
        <f t="shared" si="5"/>
        <v>0</v>
      </c>
      <c r="N16" s="52"/>
      <c r="O16" s="51">
        <f t="shared" si="6"/>
        <v>0</v>
      </c>
      <c r="P16" s="52"/>
      <c r="Q16" s="51">
        <f t="shared" si="7"/>
        <v>0</v>
      </c>
      <c r="R16" s="52"/>
      <c r="S16" s="51">
        <f t="shared" si="8"/>
        <v>0</v>
      </c>
      <c r="T16" s="52"/>
      <c r="U16" s="53">
        <f t="shared" si="9"/>
        <v>0</v>
      </c>
    </row>
    <row r="17" spans="1:21" x14ac:dyDescent="0.25">
      <c r="A17" s="82" t="s">
        <v>133</v>
      </c>
      <c r="B17" s="50">
        <v>0</v>
      </c>
      <c r="C17" s="79">
        <f t="shared" si="0"/>
        <v>0</v>
      </c>
      <c r="D17" s="52"/>
      <c r="E17" s="79">
        <f t="shared" si="1"/>
        <v>0</v>
      </c>
      <c r="F17" s="52"/>
      <c r="G17" s="79">
        <f t="shared" si="2"/>
        <v>0</v>
      </c>
      <c r="H17" s="52"/>
      <c r="I17" s="79">
        <f t="shared" si="3"/>
        <v>0</v>
      </c>
      <c r="J17" s="52"/>
      <c r="K17" s="90">
        <f t="shared" si="4"/>
        <v>0</v>
      </c>
      <c r="L17" s="52"/>
      <c r="M17" s="51">
        <f t="shared" si="5"/>
        <v>0</v>
      </c>
      <c r="N17" s="52"/>
      <c r="O17" s="51">
        <f t="shared" si="6"/>
        <v>0</v>
      </c>
      <c r="P17" s="52"/>
      <c r="Q17" s="51">
        <f t="shared" si="7"/>
        <v>0</v>
      </c>
      <c r="R17" s="52"/>
      <c r="S17" s="51">
        <f t="shared" si="8"/>
        <v>0</v>
      </c>
      <c r="T17" s="52"/>
      <c r="U17" s="53">
        <f t="shared" si="9"/>
        <v>0</v>
      </c>
    </row>
    <row r="18" spans="1:21" x14ac:dyDescent="0.25">
      <c r="A18" s="82" t="s">
        <v>134</v>
      </c>
      <c r="B18" s="50">
        <v>0</v>
      </c>
      <c r="C18" s="79">
        <f t="shared" si="0"/>
        <v>0</v>
      </c>
      <c r="D18" s="52"/>
      <c r="E18" s="79">
        <f t="shared" si="1"/>
        <v>0</v>
      </c>
      <c r="F18" s="52"/>
      <c r="G18" s="79">
        <f t="shared" si="2"/>
        <v>0</v>
      </c>
      <c r="H18" s="52"/>
      <c r="I18" s="79">
        <f t="shared" si="3"/>
        <v>0</v>
      </c>
      <c r="J18" s="52"/>
      <c r="K18" s="90">
        <f t="shared" si="4"/>
        <v>0</v>
      </c>
      <c r="L18" s="52"/>
      <c r="M18" s="51">
        <f t="shared" si="5"/>
        <v>0</v>
      </c>
      <c r="N18" s="52"/>
      <c r="O18" s="51">
        <f t="shared" si="6"/>
        <v>0</v>
      </c>
      <c r="P18" s="52"/>
      <c r="Q18" s="51">
        <f t="shared" si="7"/>
        <v>0</v>
      </c>
      <c r="R18" s="52"/>
      <c r="S18" s="51">
        <f t="shared" si="8"/>
        <v>0</v>
      </c>
      <c r="T18" s="52"/>
      <c r="U18" s="53">
        <f t="shared" si="9"/>
        <v>0</v>
      </c>
    </row>
    <row r="19" spans="1:21" x14ac:dyDescent="0.25">
      <c r="A19" s="82" t="s">
        <v>191</v>
      </c>
      <c r="B19" s="50">
        <v>0</v>
      </c>
      <c r="C19" s="79">
        <f t="shared" si="0"/>
        <v>0</v>
      </c>
      <c r="D19" s="52"/>
      <c r="E19" s="79">
        <f t="shared" si="1"/>
        <v>0</v>
      </c>
      <c r="F19" s="52"/>
      <c r="G19" s="79">
        <f t="shared" si="2"/>
        <v>0</v>
      </c>
      <c r="H19" s="52"/>
      <c r="I19" s="79">
        <f t="shared" si="3"/>
        <v>0</v>
      </c>
      <c r="J19" s="52"/>
      <c r="K19" s="90">
        <f t="shared" si="4"/>
        <v>0</v>
      </c>
      <c r="L19" s="52"/>
      <c r="M19" s="51">
        <f t="shared" si="5"/>
        <v>0</v>
      </c>
      <c r="N19" s="52"/>
      <c r="O19" s="51">
        <f t="shared" si="6"/>
        <v>0</v>
      </c>
      <c r="P19" s="52"/>
      <c r="Q19" s="51">
        <f t="shared" si="7"/>
        <v>0</v>
      </c>
      <c r="R19" s="52"/>
      <c r="S19" s="51">
        <f t="shared" si="8"/>
        <v>0</v>
      </c>
      <c r="T19" s="52"/>
      <c r="U19" s="53">
        <f t="shared" si="9"/>
        <v>0</v>
      </c>
    </row>
    <row r="20" spans="1:21" x14ac:dyDescent="0.25">
      <c r="A20" s="82" t="s">
        <v>135</v>
      </c>
      <c r="B20" s="50">
        <v>0</v>
      </c>
      <c r="C20" s="79">
        <f t="shared" si="0"/>
        <v>0</v>
      </c>
      <c r="D20" s="52"/>
      <c r="E20" s="79">
        <f t="shared" si="1"/>
        <v>0</v>
      </c>
      <c r="F20" s="52"/>
      <c r="G20" s="79">
        <f t="shared" si="2"/>
        <v>0</v>
      </c>
      <c r="H20" s="52"/>
      <c r="I20" s="79">
        <f t="shared" si="3"/>
        <v>0</v>
      </c>
      <c r="J20" s="52"/>
      <c r="K20" s="90">
        <f t="shared" si="4"/>
        <v>0</v>
      </c>
      <c r="L20" s="52"/>
      <c r="M20" s="51">
        <f t="shared" si="5"/>
        <v>0</v>
      </c>
      <c r="N20" s="52"/>
      <c r="O20" s="51">
        <f t="shared" si="6"/>
        <v>0</v>
      </c>
      <c r="P20" s="52"/>
      <c r="Q20" s="51">
        <f t="shared" si="7"/>
        <v>0</v>
      </c>
      <c r="R20" s="52"/>
      <c r="S20" s="51">
        <f t="shared" si="8"/>
        <v>0</v>
      </c>
      <c r="T20" s="52"/>
      <c r="U20" s="53">
        <f t="shared" si="9"/>
        <v>0</v>
      </c>
    </row>
    <row r="21" spans="1:21" x14ac:dyDescent="0.25">
      <c r="A21" s="82" t="s">
        <v>136</v>
      </c>
      <c r="B21" s="50">
        <v>0</v>
      </c>
      <c r="C21" s="79">
        <f t="shared" si="0"/>
        <v>0</v>
      </c>
      <c r="D21" s="52"/>
      <c r="E21" s="79">
        <f t="shared" si="1"/>
        <v>0</v>
      </c>
      <c r="F21" s="52"/>
      <c r="G21" s="79">
        <f t="shared" si="2"/>
        <v>0</v>
      </c>
      <c r="H21" s="52"/>
      <c r="I21" s="79">
        <f t="shared" si="3"/>
        <v>0</v>
      </c>
      <c r="J21" s="52"/>
      <c r="K21" s="90">
        <f t="shared" si="4"/>
        <v>0</v>
      </c>
      <c r="L21" s="52"/>
      <c r="M21" s="51">
        <f t="shared" si="5"/>
        <v>0</v>
      </c>
      <c r="N21" s="52"/>
      <c r="O21" s="51">
        <f t="shared" si="6"/>
        <v>0</v>
      </c>
      <c r="P21" s="52"/>
      <c r="Q21" s="51">
        <f t="shared" si="7"/>
        <v>0</v>
      </c>
      <c r="R21" s="52"/>
      <c r="S21" s="51">
        <f t="shared" si="8"/>
        <v>0</v>
      </c>
      <c r="T21" s="52"/>
      <c r="U21" s="53">
        <f t="shared" si="9"/>
        <v>0</v>
      </c>
    </row>
    <row r="22" spans="1:21" x14ac:dyDescent="0.25">
      <c r="A22" s="82" t="s">
        <v>137</v>
      </c>
      <c r="B22" s="50">
        <v>0</v>
      </c>
      <c r="C22" s="79">
        <f t="shared" si="0"/>
        <v>0</v>
      </c>
      <c r="D22" s="52"/>
      <c r="E22" s="79">
        <f t="shared" si="1"/>
        <v>0</v>
      </c>
      <c r="F22" s="52"/>
      <c r="G22" s="79">
        <f t="shared" si="2"/>
        <v>0</v>
      </c>
      <c r="H22" s="52"/>
      <c r="I22" s="79">
        <f t="shared" si="3"/>
        <v>0</v>
      </c>
      <c r="J22" s="52"/>
      <c r="K22" s="90">
        <f t="shared" si="4"/>
        <v>0</v>
      </c>
      <c r="L22" s="52"/>
      <c r="M22" s="51">
        <f t="shared" si="5"/>
        <v>0</v>
      </c>
      <c r="N22" s="52"/>
      <c r="O22" s="51">
        <f t="shared" si="6"/>
        <v>0</v>
      </c>
      <c r="P22" s="52"/>
      <c r="Q22" s="51">
        <f t="shared" si="7"/>
        <v>0</v>
      </c>
      <c r="R22" s="52"/>
      <c r="S22" s="51">
        <f t="shared" si="8"/>
        <v>0</v>
      </c>
      <c r="T22" s="52"/>
      <c r="U22" s="53">
        <f t="shared" si="9"/>
        <v>0</v>
      </c>
    </row>
    <row r="23" spans="1:21" x14ac:dyDescent="0.25">
      <c r="A23" s="82" t="s">
        <v>138</v>
      </c>
      <c r="B23" s="50">
        <v>0</v>
      </c>
      <c r="C23" s="79">
        <f t="shared" si="0"/>
        <v>0</v>
      </c>
      <c r="D23" s="52"/>
      <c r="E23" s="79">
        <f t="shared" si="1"/>
        <v>0</v>
      </c>
      <c r="F23" s="52"/>
      <c r="G23" s="79">
        <f t="shared" si="2"/>
        <v>0</v>
      </c>
      <c r="H23" s="52"/>
      <c r="I23" s="79">
        <f t="shared" si="3"/>
        <v>0</v>
      </c>
      <c r="J23" s="52"/>
      <c r="K23" s="90">
        <f t="shared" si="4"/>
        <v>0</v>
      </c>
      <c r="L23" s="52"/>
      <c r="M23" s="51">
        <f t="shared" si="5"/>
        <v>0</v>
      </c>
      <c r="N23" s="52"/>
      <c r="O23" s="51">
        <f t="shared" si="6"/>
        <v>0</v>
      </c>
      <c r="P23" s="52"/>
      <c r="Q23" s="51">
        <f t="shared" si="7"/>
        <v>0</v>
      </c>
      <c r="R23" s="52"/>
      <c r="S23" s="51">
        <f t="shared" si="8"/>
        <v>0</v>
      </c>
      <c r="T23" s="52"/>
      <c r="U23" s="53">
        <f t="shared" si="9"/>
        <v>0</v>
      </c>
    </row>
    <row r="24" spans="1:21" x14ac:dyDescent="0.25">
      <c r="A24" s="82" t="s">
        <v>139</v>
      </c>
      <c r="B24" s="50">
        <v>0</v>
      </c>
      <c r="C24" s="79">
        <f t="shared" si="0"/>
        <v>0</v>
      </c>
      <c r="D24" s="52"/>
      <c r="E24" s="79">
        <f t="shared" si="1"/>
        <v>0</v>
      </c>
      <c r="F24" s="52"/>
      <c r="G24" s="79">
        <f t="shared" si="2"/>
        <v>0</v>
      </c>
      <c r="H24" s="52"/>
      <c r="I24" s="79">
        <f t="shared" si="3"/>
        <v>0</v>
      </c>
      <c r="J24" s="52"/>
      <c r="K24" s="90">
        <f t="shared" si="4"/>
        <v>0</v>
      </c>
      <c r="L24" s="52"/>
      <c r="M24" s="51">
        <f t="shared" si="5"/>
        <v>0</v>
      </c>
      <c r="N24" s="52"/>
      <c r="O24" s="51">
        <f t="shared" si="6"/>
        <v>0</v>
      </c>
      <c r="P24" s="52"/>
      <c r="Q24" s="51">
        <f t="shared" si="7"/>
        <v>0</v>
      </c>
      <c r="R24" s="52"/>
      <c r="S24" s="51">
        <f t="shared" si="8"/>
        <v>0</v>
      </c>
      <c r="T24" s="52"/>
      <c r="U24" s="53">
        <f t="shared" si="9"/>
        <v>0</v>
      </c>
    </row>
    <row r="25" spans="1:21" x14ac:dyDescent="0.25">
      <c r="A25" s="82" t="s">
        <v>140</v>
      </c>
      <c r="B25" s="50">
        <v>0</v>
      </c>
      <c r="C25" s="79">
        <f t="shared" si="0"/>
        <v>0</v>
      </c>
      <c r="D25" s="52"/>
      <c r="E25" s="79">
        <f t="shared" si="1"/>
        <v>0</v>
      </c>
      <c r="F25" s="52"/>
      <c r="G25" s="79">
        <f t="shared" si="2"/>
        <v>0</v>
      </c>
      <c r="H25" s="52"/>
      <c r="I25" s="79">
        <f t="shared" si="3"/>
        <v>0</v>
      </c>
      <c r="J25" s="52"/>
      <c r="K25" s="90">
        <f t="shared" si="4"/>
        <v>0</v>
      </c>
      <c r="L25" s="52"/>
      <c r="M25" s="51">
        <f t="shared" si="5"/>
        <v>0</v>
      </c>
      <c r="N25" s="52"/>
      <c r="O25" s="51">
        <f t="shared" si="6"/>
        <v>0</v>
      </c>
      <c r="P25" s="52"/>
      <c r="Q25" s="51">
        <f t="shared" si="7"/>
        <v>0</v>
      </c>
      <c r="R25" s="52"/>
      <c r="S25" s="51">
        <f t="shared" si="8"/>
        <v>0</v>
      </c>
      <c r="T25" s="52"/>
      <c r="U25" s="53">
        <f t="shared" si="9"/>
        <v>0</v>
      </c>
    </row>
    <row r="26" spans="1:21" x14ac:dyDescent="0.25">
      <c r="A26" s="82" t="s">
        <v>141</v>
      </c>
      <c r="B26" s="50">
        <v>0</v>
      </c>
      <c r="C26" s="79">
        <f t="shared" si="0"/>
        <v>0</v>
      </c>
      <c r="D26" s="52"/>
      <c r="E26" s="79">
        <f t="shared" si="1"/>
        <v>0</v>
      </c>
      <c r="F26" s="52"/>
      <c r="G26" s="79">
        <f t="shared" si="2"/>
        <v>0</v>
      </c>
      <c r="H26" s="52"/>
      <c r="I26" s="79">
        <f t="shared" si="3"/>
        <v>0</v>
      </c>
      <c r="J26" s="52"/>
      <c r="K26" s="90">
        <f t="shared" si="4"/>
        <v>0</v>
      </c>
      <c r="L26" s="52"/>
      <c r="M26" s="51">
        <f t="shared" si="5"/>
        <v>0</v>
      </c>
      <c r="N26" s="52"/>
      <c r="O26" s="51">
        <f t="shared" si="6"/>
        <v>0</v>
      </c>
      <c r="P26" s="52"/>
      <c r="Q26" s="51">
        <f t="shared" si="7"/>
        <v>0</v>
      </c>
      <c r="R26" s="52"/>
      <c r="S26" s="51">
        <f t="shared" si="8"/>
        <v>0</v>
      </c>
      <c r="T26" s="52"/>
      <c r="U26" s="53">
        <f t="shared" si="9"/>
        <v>0</v>
      </c>
    </row>
    <row r="27" spans="1:21" x14ac:dyDescent="0.25">
      <c r="A27" s="82" t="s">
        <v>142</v>
      </c>
      <c r="B27" s="50">
        <v>0</v>
      </c>
      <c r="C27" s="79">
        <f t="shared" si="0"/>
        <v>0</v>
      </c>
      <c r="D27" s="52"/>
      <c r="E27" s="79">
        <f t="shared" si="1"/>
        <v>0</v>
      </c>
      <c r="F27" s="52"/>
      <c r="G27" s="79">
        <f t="shared" si="2"/>
        <v>0</v>
      </c>
      <c r="H27" s="52"/>
      <c r="I27" s="79">
        <f t="shared" si="3"/>
        <v>0</v>
      </c>
      <c r="J27" s="52"/>
      <c r="K27" s="90">
        <f t="shared" si="4"/>
        <v>0</v>
      </c>
      <c r="L27" s="52"/>
      <c r="M27" s="51">
        <f t="shared" si="5"/>
        <v>0</v>
      </c>
      <c r="N27" s="52"/>
      <c r="O27" s="51">
        <f t="shared" si="6"/>
        <v>0</v>
      </c>
      <c r="P27" s="52"/>
      <c r="Q27" s="51">
        <f t="shared" si="7"/>
        <v>0</v>
      </c>
      <c r="R27" s="52"/>
      <c r="S27" s="51">
        <f t="shared" si="8"/>
        <v>0</v>
      </c>
      <c r="T27" s="52"/>
      <c r="U27" s="53">
        <f t="shared" si="9"/>
        <v>0</v>
      </c>
    </row>
    <row r="28" spans="1:21" x14ac:dyDescent="0.25">
      <c r="A28" s="82" t="s">
        <v>143</v>
      </c>
      <c r="B28" s="50">
        <v>0</v>
      </c>
      <c r="C28" s="79">
        <f t="shared" si="0"/>
        <v>0</v>
      </c>
      <c r="D28" s="52"/>
      <c r="E28" s="79">
        <f t="shared" si="1"/>
        <v>0</v>
      </c>
      <c r="F28" s="52"/>
      <c r="G28" s="79">
        <f t="shared" si="2"/>
        <v>0</v>
      </c>
      <c r="H28" s="52"/>
      <c r="I28" s="79">
        <f t="shared" si="3"/>
        <v>0</v>
      </c>
      <c r="J28" s="52"/>
      <c r="K28" s="90">
        <f t="shared" si="4"/>
        <v>0</v>
      </c>
      <c r="L28" s="52"/>
      <c r="M28" s="51">
        <f t="shared" si="5"/>
        <v>0</v>
      </c>
      <c r="N28" s="52"/>
      <c r="O28" s="51">
        <f t="shared" si="6"/>
        <v>0</v>
      </c>
      <c r="P28" s="52"/>
      <c r="Q28" s="51">
        <f t="shared" si="7"/>
        <v>0</v>
      </c>
      <c r="R28" s="52"/>
      <c r="S28" s="51">
        <f t="shared" si="8"/>
        <v>0</v>
      </c>
      <c r="T28" s="52"/>
      <c r="U28" s="53">
        <f t="shared" si="9"/>
        <v>0</v>
      </c>
    </row>
    <row r="29" spans="1:21" x14ac:dyDescent="0.25">
      <c r="A29" s="82" t="s">
        <v>192</v>
      </c>
      <c r="B29" s="50">
        <v>0</v>
      </c>
      <c r="C29" s="79">
        <f t="shared" si="0"/>
        <v>0</v>
      </c>
      <c r="D29" s="52"/>
      <c r="E29" s="79">
        <f t="shared" si="1"/>
        <v>0</v>
      </c>
      <c r="F29" s="52"/>
      <c r="G29" s="79">
        <f t="shared" si="2"/>
        <v>0</v>
      </c>
      <c r="H29" s="52"/>
      <c r="I29" s="79">
        <f t="shared" si="3"/>
        <v>0</v>
      </c>
      <c r="J29" s="52"/>
      <c r="K29" s="90">
        <f t="shared" si="4"/>
        <v>0</v>
      </c>
      <c r="L29" s="52"/>
      <c r="M29" s="51">
        <f t="shared" si="5"/>
        <v>0</v>
      </c>
      <c r="N29" s="52"/>
      <c r="O29" s="51">
        <f t="shared" si="6"/>
        <v>0</v>
      </c>
      <c r="P29" s="52"/>
      <c r="Q29" s="51">
        <f t="shared" si="7"/>
        <v>0</v>
      </c>
      <c r="R29" s="52"/>
      <c r="S29" s="51">
        <f t="shared" si="8"/>
        <v>0</v>
      </c>
      <c r="T29" s="52"/>
      <c r="U29" s="53">
        <f t="shared" si="9"/>
        <v>0</v>
      </c>
    </row>
    <row r="30" spans="1:21" x14ac:dyDescent="0.25">
      <c r="A30" s="82" t="s">
        <v>144</v>
      </c>
      <c r="B30" s="50">
        <v>0</v>
      </c>
      <c r="C30" s="79">
        <f t="shared" si="0"/>
        <v>0</v>
      </c>
      <c r="D30" s="52"/>
      <c r="E30" s="79">
        <f t="shared" si="1"/>
        <v>0</v>
      </c>
      <c r="F30" s="52"/>
      <c r="G30" s="79">
        <f t="shared" si="2"/>
        <v>0</v>
      </c>
      <c r="H30" s="52"/>
      <c r="I30" s="79">
        <f t="shared" si="3"/>
        <v>0</v>
      </c>
      <c r="J30" s="52"/>
      <c r="K30" s="90">
        <f t="shared" si="4"/>
        <v>0</v>
      </c>
      <c r="L30" s="52"/>
      <c r="M30" s="51">
        <f t="shared" si="5"/>
        <v>0</v>
      </c>
      <c r="N30" s="52"/>
      <c r="O30" s="51">
        <f t="shared" si="6"/>
        <v>0</v>
      </c>
      <c r="P30" s="52"/>
      <c r="Q30" s="51">
        <f t="shared" si="7"/>
        <v>0</v>
      </c>
      <c r="R30" s="52"/>
      <c r="S30" s="51">
        <f t="shared" si="8"/>
        <v>0</v>
      </c>
      <c r="T30" s="52"/>
      <c r="U30" s="53">
        <f t="shared" si="9"/>
        <v>0</v>
      </c>
    </row>
    <row r="31" spans="1:21" x14ac:dyDescent="0.25">
      <c r="A31" s="82" t="s">
        <v>145</v>
      </c>
      <c r="B31" s="50">
        <v>0</v>
      </c>
      <c r="C31" s="79">
        <f t="shared" si="0"/>
        <v>0</v>
      </c>
      <c r="D31" s="52"/>
      <c r="E31" s="79">
        <f t="shared" si="1"/>
        <v>0</v>
      </c>
      <c r="F31" s="52"/>
      <c r="G31" s="79">
        <f t="shared" si="2"/>
        <v>0</v>
      </c>
      <c r="H31" s="52"/>
      <c r="I31" s="79">
        <f t="shared" si="3"/>
        <v>0</v>
      </c>
      <c r="J31" s="52"/>
      <c r="K31" s="90">
        <f t="shared" si="4"/>
        <v>0</v>
      </c>
      <c r="L31" s="52"/>
      <c r="M31" s="51">
        <f t="shared" si="5"/>
        <v>0</v>
      </c>
      <c r="N31" s="52"/>
      <c r="O31" s="51">
        <f t="shared" si="6"/>
        <v>0</v>
      </c>
      <c r="P31" s="52"/>
      <c r="Q31" s="51">
        <f t="shared" si="7"/>
        <v>0</v>
      </c>
      <c r="R31" s="52"/>
      <c r="S31" s="51">
        <f t="shared" si="8"/>
        <v>0</v>
      </c>
      <c r="T31" s="52"/>
      <c r="U31" s="53">
        <f t="shared" si="9"/>
        <v>0</v>
      </c>
    </row>
    <row r="32" spans="1:21" x14ac:dyDescent="0.25">
      <c r="A32" s="82" t="s">
        <v>146</v>
      </c>
      <c r="B32" s="50">
        <v>0</v>
      </c>
      <c r="C32" s="79">
        <f t="shared" si="0"/>
        <v>0</v>
      </c>
      <c r="D32" s="52"/>
      <c r="E32" s="79">
        <f t="shared" si="1"/>
        <v>0</v>
      </c>
      <c r="F32" s="52"/>
      <c r="G32" s="79">
        <f t="shared" si="2"/>
        <v>0</v>
      </c>
      <c r="H32" s="52"/>
      <c r="I32" s="79">
        <f t="shared" si="3"/>
        <v>0</v>
      </c>
      <c r="J32" s="52"/>
      <c r="K32" s="90">
        <f t="shared" si="4"/>
        <v>0</v>
      </c>
      <c r="L32" s="52"/>
      <c r="M32" s="51">
        <f t="shared" si="5"/>
        <v>0</v>
      </c>
      <c r="N32" s="52"/>
      <c r="O32" s="51">
        <f t="shared" si="6"/>
        <v>0</v>
      </c>
      <c r="P32" s="52"/>
      <c r="Q32" s="51">
        <f t="shared" si="7"/>
        <v>0</v>
      </c>
      <c r="R32" s="52"/>
      <c r="S32" s="51">
        <f t="shared" si="8"/>
        <v>0</v>
      </c>
      <c r="T32" s="52"/>
      <c r="U32" s="53">
        <f t="shared" si="9"/>
        <v>0</v>
      </c>
    </row>
    <row r="33" spans="1:21" x14ac:dyDescent="0.25">
      <c r="A33" s="83" t="s">
        <v>72</v>
      </c>
      <c r="B33" s="50">
        <v>6.9444444444445308E-3</v>
      </c>
      <c r="C33" s="79">
        <f t="shared" si="0"/>
        <v>3.921568627451031E-2</v>
      </c>
      <c r="D33" s="52"/>
      <c r="E33" s="79">
        <f t="shared" si="1"/>
        <v>0</v>
      </c>
      <c r="F33" s="52"/>
      <c r="G33" s="79">
        <f t="shared" si="2"/>
        <v>0</v>
      </c>
      <c r="H33" s="52"/>
      <c r="I33" s="79">
        <f t="shared" si="3"/>
        <v>0</v>
      </c>
      <c r="J33" s="52"/>
      <c r="K33" s="90">
        <f t="shared" si="4"/>
        <v>0</v>
      </c>
      <c r="L33" s="52"/>
      <c r="M33" s="51">
        <f t="shared" si="5"/>
        <v>0</v>
      </c>
      <c r="N33" s="52"/>
      <c r="O33" s="51">
        <f t="shared" si="6"/>
        <v>0</v>
      </c>
      <c r="P33" s="52"/>
      <c r="Q33" s="51">
        <f t="shared" si="7"/>
        <v>0</v>
      </c>
      <c r="R33" s="52"/>
      <c r="S33" s="51">
        <f t="shared" si="8"/>
        <v>0</v>
      </c>
      <c r="T33" s="52"/>
      <c r="U33" s="53">
        <f t="shared" si="9"/>
        <v>0</v>
      </c>
    </row>
    <row r="34" spans="1:21" x14ac:dyDescent="0.25">
      <c r="A34" s="83" t="s">
        <v>73</v>
      </c>
      <c r="B34" s="50">
        <v>0</v>
      </c>
      <c r="C34" s="79">
        <f t="shared" si="0"/>
        <v>0</v>
      </c>
      <c r="D34" s="52"/>
      <c r="E34" s="79">
        <f t="shared" si="1"/>
        <v>0</v>
      </c>
      <c r="F34" s="52"/>
      <c r="G34" s="79">
        <f t="shared" si="2"/>
        <v>0</v>
      </c>
      <c r="H34" s="52"/>
      <c r="I34" s="79">
        <f t="shared" si="3"/>
        <v>0</v>
      </c>
      <c r="J34" s="52"/>
      <c r="K34" s="90">
        <f t="shared" si="4"/>
        <v>0</v>
      </c>
      <c r="L34" s="52"/>
      <c r="M34" s="51">
        <f t="shared" si="5"/>
        <v>0</v>
      </c>
      <c r="N34" s="52"/>
      <c r="O34" s="51">
        <f t="shared" si="6"/>
        <v>0</v>
      </c>
      <c r="P34" s="52"/>
      <c r="Q34" s="51">
        <f t="shared" si="7"/>
        <v>0</v>
      </c>
      <c r="R34" s="52"/>
      <c r="S34" s="51">
        <f t="shared" si="8"/>
        <v>0</v>
      </c>
      <c r="T34" s="52"/>
      <c r="U34" s="53">
        <f t="shared" si="9"/>
        <v>0</v>
      </c>
    </row>
    <row r="35" spans="1:21" x14ac:dyDescent="0.25">
      <c r="A35" s="83" t="s">
        <v>74</v>
      </c>
      <c r="B35" s="50">
        <v>0</v>
      </c>
      <c r="C35" s="79">
        <f t="shared" si="0"/>
        <v>0</v>
      </c>
      <c r="D35" s="52"/>
      <c r="E35" s="79">
        <f t="shared" si="1"/>
        <v>0</v>
      </c>
      <c r="F35" s="52"/>
      <c r="G35" s="79">
        <f t="shared" si="2"/>
        <v>0</v>
      </c>
      <c r="H35" s="52"/>
      <c r="I35" s="79">
        <f t="shared" si="3"/>
        <v>0</v>
      </c>
      <c r="J35" s="52"/>
      <c r="K35" s="90">
        <f t="shared" si="4"/>
        <v>0</v>
      </c>
      <c r="L35" s="52"/>
      <c r="M35" s="51">
        <f t="shared" si="5"/>
        <v>0</v>
      </c>
      <c r="N35" s="52"/>
      <c r="O35" s="51">
        <f t="shared" si="6"/>
        <v>0</v>
      </c>
      <c r="P35" s="52"/>
      <c r="Q35" s="51">
        <f t="shared" si="7"/>
        <v>0</v>
      </c>
      <c r="R35" s="52"/>
      <c r="S35" s="51">
        <f t="shared" si="8"/>
        <v>0</v>
      </c>
      <c r="T35" s="52"/>
      <c r="U35" s="53">
        <f t="shared" si="9"/>
        <v>0</v>
      </c>
    </row>
    <row r="36" spans="1:21" x14ac:dyDescent="0.25">
      <c r="A36" s="83" t="s">
        <v>75</v>
      </c>
      <c r="B36" s="50">
        <v>0</v>
      </c>
      <c r="C36" s="79">
        <f t="shared" si="0"/>
        <v>0</v>
      </c>
      <c r="D36" s="52"/>
      <c r="E36" s="79">
        <f t="shared" si="1"/>
        <v>0</v>
      </c>
      <c r="F36" s="52"/>
      <c r="G36" s="79">
        <f t="shared" si="2"/>
        <v>0</v>
      </c>
      <c r="H36" s="52"/>
      <c r="I36" s="79">
        <f t="shared" si="3"/>
        <v>0</v>
      </c>
      <c r="J36" s="52"/>
      <c r="K36" s="90">
        <f t="shared" si="4"/>
        <v>0</v>
      </c>
      <c r="L36" s="52"/>
      <c r="M36" s="51">
        <f t="shared" si="5"/>
        <v>0</v>
      </c>
      <c r="N36" s="52"/>
      <c r="O36" s="51">
        <f t="shared" si="6"/>
        <v>0</v>
      </c>
      <c r="P36" s="52"/>
      <c r="Q36" s="51">
        <f t="shared" si="7"/>
        <v>0</v>
      </c>
      <c r="R36" s="52"/>
      <c r="S36" s="51">
        <f t="shared" si="8"/>
        <v>0</v>
      </c>
      <c r="T36" s="52"/>
      <c r="U36" s="53">
        <f t="shared" si="9"/>
        <v>0</v>
      </c>
    </row>
    <row r="37" spans="1:21" x14ac:dyDescent="0.25">
      <c r="A37" s="83" t="s">
        <v>76</v>
      </c>
      <c r="B37" s="50">
        <v>0</v>
      </c>
      <c r="C37" s="79">
        <f t="shared" si="0"/>
        <v>0</v>
      </c>
      <c r="D37" s="52"/>
      <c r="E37" s="79">
        <f t="shared" si="1"/>
        <v>0</v>
      </c>
      <c r="F37" s="52"/>
      <c r="G37" s="79">
        <f t="shared" si="2"/>
        <v>0</v>
      </c>
      <c r="H37" s="52"/>
      <c r="I37" s="79">
        <f t="shared" si="3"/>
        <v>0</v>
      </c>
      <c r="J37" s="52"/>
      <c r="K37" s="90">
        <f t="shared" si="4"/>
        <v>0</v>
      </c>
      <c r="L37" s="52"/>
      <c r="M37" s="51">
        <f t="shared" si="5"/>
        <v>0</v>
      </c>
      <c r="N37" s="52"/>
      <c r="O37" s="51">
        <f t="shared" si="6"/>
        <v>0</v>
      </c>
      <c r="P37" s="52"/>
      <c r="Q37" s="51">
        <f t="shared" si="7"/>
        <v>0</v>
      </c>
      <c r="R37" s="52"/>
      <c r="S37" s="51">
        <f t="shared" si="8"/>
        <v>0</v>
      </c>
      <c r="T37" s="52"/>
      <c r="U37" s="53">
        <f t="shared" si="9"/>
        <v>0</v>
      </c>
    </row>
    <row r="38" spans="1:21" ht="15.75" thickBot="1" x14ac:dyDescent="0.3">
      <c r="A38" s="83" t="s">
        <v>77</v>
      </c>
      <c r="B38" s="50">
        <v>0</v>
      </c>
      <c r="C38" s="79">
        <f t="shared" si="0"/>
        <v>0</v>
      </c>
      <c r="D38" s="52"/>
      <c r="E38" s="79">
        <f t="shared" si="1"/>
        <v>0</v>
      </c>
      <c r="F38" s="52"/>
      <c r="G38" s="79">
        <f t="shared" si="2"/>
        <v>0</v>
      </c>
      <c r="H38" s="52"/>
      <c r="I38" s="79">
        <f t="shared" si="3"/>
        <v>0</v>
      </c>
      <c r="J38" s="52"/>
      <c r="K38" s="90">
        <f t="shared" si="4"/>
        <v>0</v>
      </c>
      <c r="L38" s="56"/>
      <c r="M38" s="55">
        <f t="shared" si="5"/>
        <v>0</v>
      </c>
      <c r="N38" s="56"/>
      <c r="O38" s="55">
        <f t="shared" si="6"/>
        <v>0</v>
      </c>
      <c r="P38" s="56"/>
      <c r="Q38" s="55">
        <f t="shared" si="7"/>
        <v>0</v>
      </c>
      <c r="R38" s="56"/>
      <c r="S38" s="55">
        <f t="shared" si="8"/>
        <v>0</v>
      </c>
      <c r="T38" s="56"/>
      <c r="U38" s="57">
        <f t="shared" si="9"/>
        <v>0</v>
      </c>
    </row>
    <row r="39" spans="1:21" x14ac:dyDescent="0.25">
      <c r="A39" s="83" t="s">
        <v>78</v>
      </c>
      <c r="B39" s="50">
        <v>0.13541666666666652</v>
      </c>
      <c r="C39" s="79">
        <f t="shared" si="0"/>
        <v>0.76470588235294068</v>
      </c>
      <c r="D39" s="52"/>
      <c r="E39" s="79">
        <f t="shared" si="1"/>
        <v>0</v>
      </c>
      <c r="F39" s="52"/>
      <c r="G39" s="79">
        <f t="shared" si="2"/>
        <v>0</v>
      </c>
      <c r="H39" s="52"/>
      <c r="I39" s="79">
        <f t="shared" si="3"/>
        <v>0</v>
      </c>
      <c r="J39" s="52"/>
      <c r="K39" s="90">
        <f t="shared" si="4"/>
        <v>0</v>
      </c>
      <c r="L39" s="43"/>
      <c r="N39" s="43"/>
      <c r="P39" s="43"/>
      <c r="R39" s="43"/>
      <c r="T39" s="43"/>
    </row>
    <row r="40" spans="1:21" ht="15.75" thickBot="1" x14ac:dyDescent="0.3">
      <c r="A40" s="84" t="s">
        <v>79</v>
      </c>
      <c r="B40" s="50">
        <v>0</v>
      </c>
      <c r="C40" s="79">
        <f t="shared" si="0"/>
        <v>0</v>
      </c>
      <c r="D40" s="52"/>
      <c r="E40" s="79">
        <f t="shared" si="1"/>
        <v>0</v>
      </c>
      <c r="F40" s="52"/>
      <c r="G40" s="79">
        <f t="shared" si="2"/>
        <v>0</v>
      </c>
      <c r="H40" s="52"/>
      <c r="I40" s="79">
        <f t="shared" si="3"/>
        <v>0</v>
      </c>
      <c r="J40" s="52"/>
      <c r="K40" s="90">
        <f t="shared" si="4"/>
        <v>0</v>
      </c>
    </row>
    <row r="41" spans="1:21" ht="15.75" thickBot="1" x14ac:dyDescent="0.3">
      <c r="A41" s="84" t="s">
        <v>80</v>
      </c>
      <c r="B41" s="50">
        <v>2.083333333333337E-2</v>
      </c>
      <c r="C41" s="79">
        <f t="shared" si="0"/>
        <v>0.11764705882352967</v>
      </c>
      <c r="D41" s="52"/>
      <c r="E41" s="79">
        <f t="shared" si="1"/>
        <v>0</v>
      </c>
      <c r="F41" s="52"/>
      <c r="G41" s="79">
        <f t="shared" si="2"/>
        <v>0</v>
      </c>
      <c r="H41" s="52"/>
      <c r="I41" s="79">
        <f t="shared" si="3"/>
        <v>0</v>
      </c>
      <c r="J41" s="52"/>
      <c r="K41" s="90">
        <f t="shared" si="4"/>
        <v>0</v>
      </c>
    </row>
    <row r="42" spans="1:21" ht="15.75" thickBot="1" x14ac:dyDescent="0.3">
      <c r="A42" s="84" t="s">
        <v>227</v>
      </c>
      <c r="B42" s="54">
        <v>0</v>
      </c>
      <c r="C42" s="88">
        <f t="shared" si="0"/>
        <v>0</v>
      </c>
      <c r="D42" s="56"/>
      <c r="E42" s="88">
        <f t="shared" si="1"/>
        <v>0</v>
      </c>
      <c r="F42" s="56"/>
      <c r="G42" s="88">
        <f t="shared" si="2"/>
        <v>0</v>
      </c>
      <c r="H42" s="56"/>
      <c r="I42" s="88">
        <f t="shared" si="3"/>
        <v>0</v>
      </c>
      <c r="J42" s="56"/>
      <c r="K42" s="91">
        <f t="shared" si="4"/>
        <v>0</v>
      </c>
    </row>
    <row r="43" spans="1:21" x14ac:dyDescent="0.25">
      <c r="B43" s="77">
        <f>SUM(B4:B42)</f>
        <v>0.17708333333333326</v>
      </c>
      <c r="C43"/>
      <c r="D43" s="77">
        <f>SUM(D4:D42)</f>
        <v>0</v>
      </c>
      <c r="E43"/>
      <c r="F43" s="77">
        <f>SUM(F4:F42)</f>
        <v>0</v>
      </c>
      <c r="G43"/>
      <c r="H43" s="77">
        <f>SUM(H4:H42)</f>
        <v>0</v>
      </c>
      <c r="I43"/>
      <c r="J43" s="77">
        <f>SUM(J4:J42)</f>
        <v>0</v>
      </c>
      <c r="K43"/>
    </row>
    <row r="44" spans="1:21" x14ac:dyDescent="0.25">
      <c r="B44" s="37">
        <v>4.25</v>
      </c>
    </row>
    <row r="45" spans="1:21" x14ac:dyDescent="0.25">
      <c r="B45" s="37">
        <v>0</v>
      </c>
    </row>
    <row r="55" spans="14:18" x14ac:dyDescent="0.25">
      <c r="N55" s="37">
        <v>6.25</v>
      </c>
      <c r="P55" s="37">
        <v>6.25</v>
      </c>
      <c r="R55" s="37">
        <v>6.25</v>
      </c>
    </row>
    <row r="56" spans="14:18" x14ac:dyDescent="0.25">
      <c r="N56" s="37">
        <v>5.9833333333333298</v>
      </c>
      <c r="P56" s="37">
        <v>5.9833333333333298</v>
      </c>
      <c r="R56" s="37">
        <v>5.9833333333333298</v>
      </c>
    </row>
    <row r="57" spans="14:18" x14ac:dyDescent="0.25">
      <c r="N57" s="37">
        <v>6.25</v>
      </c>
      <c r="P57" s="37">
        <v>6.25</v>
      </c>
      <c r="R57" s="37">
        <v>6.25</v>
      </c>
    </row>
    <row r="58" spans="14:18" x14ac:dyDescent="0.25">
      <c r="N58" s="37">
        <v>5.9833333333333298</v>
      </c>
      <c r="P58" s="37">
        <v>5.9833333333333298</v>
      </c>
      <c r="R58" s="37">
        <v>5.9833333333333298</v>
      </c>
    </row>
  </sheetData>
  <mergeCells count="12">
    <mergeCell ref="P2:Q2"/>
    <mergeCell ref="R2:S2"/>
    <mergeCell ref="T2:U2"/>
    <mergeCell ref="B1:K1"/>
    <mergeCell ref="L1:U1"/>
    <mergeCell ref="B2:C2"/>
    <mergeCell ref="D2:E2"/>
    <mergeCell ref="F2:G2"/>
    <mergeCell ref="H2:I2"/>
    <mergeCell ref="J2:K2"/>
    <mergeCell ref="L2:M2"/>
    <mergeCell ref="N2:O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99"/>
  <sheetViews>
    <sheetView topLeftCell="A575" workbookViewId="0">
      <selection activeCell="I116" sqref="I116"/>
    </sheetView>
  </sheetViews>
  <sheetFormatPr defaultRowHeight="15" x14ac:dyDescent="0.25"/>
  <sheetData>
    <row r="1" spans="1:5" x14ac:dyDescent="0.25">
      <c r="A1" s="74" t="s">
        <v>14</v>
      </c>
      <c r="B1" t="s">
        <v>223</v>
      </c>
      <c r="C1">
        <v>0</v>
      </c>
      <c r="D1">
        <v>6.75</v>
      </c>
      <c r="E1">
        <v>0</v>
      </c>
    </row>
    <row r="2" spans="1:5" x14ac:dyDescent="0.25">
      <c r="A2" s="74"/>
      <c r="B2" t="s">
        <v>224</v>
      </c>
      <c r="C2">
        <v>0</v>
      </c>
    </row>
    <row r="3" spans="1:5" x14ac:dyDescent="0.25">
      <c r="A3" s="74"/>
      <c r="B3" t="s">
        <v>225</v>
      </c>
      <c r="C3">
        <v>0</v>
      </c>
    </row>
    <row r="4" spans="1:5" x14ac:dyDescent="0.25">
      <c r="A4" s="74"/>
      <c r="B4" t="s">
        <v>226</v>
      </c>
      <c r="C4">
        <v>0</v>
      </c>
    </row>
    <row r="5" spans="1:5" x14ac:dyDescent="0.25">
      <c r="A5" s="74"/>
      <c r="B5" t="s">
        <v>63</v>
      </c>
      <c r="C5">
        <v>7.638888888888884E-2</v>
      </c>
    </row>
    <row r="6" spans="1:5" x14ac:dyDescent="0.25">
      <c r="A6" s="74"/>
      <c r="B6" t="s">
        <v>64</v>
      </c>
      <c r="C6">
        <v>0</v>
      </c>
    </row>
    <row r="7" spans="1:5" x14ac:dyDescent="0.25">
      <c r="A7" s="74"/>
      <c r="B7" t="s">
        <v>65</v>
      </c>
      <c r="C7">
        <v>0</v>
      </c>
    </row>
    <row r="8" spans="1:5" x14ac:dyDescent="0.25">
      <c r="A8" s="74"/>
      <c r="B8" t="s">
        <v>66</v>
      </c>
      <c r="C8">
        <v>0</v>
      </c>
    </row>
    <row r="9" spans="1:5" x14ac:dyDescent="0.25">
      <c r="A9" s="74"/>
      <c r="B9" t="s">
        <v>67</v>
      </c>
      <c r="C9">
        <v>0</v>
      </c>
    </row>
    <row r="10" spans="1:5" x14ac:dyDescent="0.25">
      <c r="A10" s="74"/>
      <c r="B10" t="s">
        <v>68</v>
      </c>
      <c r="C10">
        <v>3.4722222222222099E-3</v>
      </c>
    </row>
    <row r="11" spans="1:5" x14ac:dyDescent="0.25">
      <c r="A11" s="74"/>
      <c r="B11" t="s">
        <v>69</v>
      </c>
      <c r="C11">
        <v>0</v>
      </c>
    </row>
    <row r="12" spans="1:5" x14ac:dyDescent="0.25">
      <c r="A12" s="74"/>
      <c r="B12" t="s">
        <v>131</v>
      </c>
      <c r="C12">
        <v>3.4722222222222321E-2</v>
      </c>
    </row>
    <row r="13" spans="1:5" x14ac:dyDescent="0.25">
      <c r="A13" s="74"/>
      <c r="B13" t="s">
        <v>132</v>
      </c>
      <c r="C13">
        <v>0.16666666666666663</v>
      </c>
    </row>
    <row r="14" spans="1:5" x14ac:dyDescent="0.25">
      <c r="A14" s="74"/>
      <c r="B14" t="s">
        <v>133</v>
      </c>
      <c r="C14">
        <v>0</v>
      </c>
    </row>
    <row r="15" spans="1:5" x14ac:dyDescent="0.25">
      <c r="A15" s="74"/>
      <c r="B15" t="s">
        <v>134</v>
      </c>
      <c r="C15">
        <v>0</v>
      </c>
    </row>
    <row r="16" spans="1:5" x14ac:dyDescent="0.25">
      <c r="A16" s="74"/>
      <c r="B16" t="s">
        <v>191</v>
      </c>
      <c r="C16">
        <v>0</v>
      </c>
    </row>
    <row r="17" spans="1:3" x14ac:dyDescent="0.25">
      <c r="A17" s="74"/>
      <c r="B17" t="s">
        <v>135</v>
      </c>
      <c r="C17">
        <v>0</v>
      </c>
    </row>
    <row r="18" spans="1:3" x14ac:dyDescent="0.25">
      <c r="A18" s="74"/>
      <c r="B18" t="s">
        <v>136</v>
      </c>
      <c r="C18">
        <v>0</v>
      </c>
    </row>
    <row r="19" spans="1:3" x14ac:dyDescent="0.25">
      <c r="A19" s="74"/>
      <c r="B19" t="s">
        <v>137</v>
      </c>
      <c r="C19">
        <v>0</v>
      </c>
    </row>
    <row r="20" spans="1:3" x14ac:dyDescent="0.25">
      <c r="A20" s="74"/>
      <c r="B20" t="s">
        <v>138</v>
      </c>
      <c r="C20">
        <v>0</v>
      </c>
    </row>
    <row r="21" spans="1:3" x14ac:dyDescent="0.25">
      <c r="A21" s="74"/>
      <c r="B21" t="s">
        <v>139</v>
      </c>
      <c r="C21">
        <v>0</v>
      </c>
    </row>
    <row r="22" spans="1:3" x14ac:dyDescent="0.25">
      <c r="A22" s="74"/>
      <c r="B22" t="s">
        <v>140</v>
      </c>
      <c r="C22">
        <v>0</v>
      </c>
    </row>
    <row r="23" spans="1:3" x14ac:dyDescent="0.25">
      <c r="A23" s="74"/>
      <c r="B23" t="s">
        <v>141</v>
      </c>
      <c r="C23">
        <v>0</v>
      </c>
    </row>
    <row r="24" spans="1:3" x14ac:dyDescent="0.25">
      <c r="A24" s="74"/>
      <c r="B24" t="s">
        <v>142</v>
      </c>
      <c r="C24">
        <v>0</v>
      </c>
    </row>
    <row r="25" spans="1:3" x14ac:dyDescent="0.25">
      <c r="A25" s="74"/>
      <c r="B25" t="s">
        <v>143</v>
      </c>
      <c r="C25">
        <v>0</v>
      </c>
    </row>
    <row r="26" spans="1:3" x14ac:dyDescent="0.25">
      <c r="A26" s="74"/>
      <c r="B26" t="s">
        <v>192</v>
      </c>
      <c r="C26">
        <v>0</v>
      </c>
    </row>
    <row r="27" spans="1:3" x14ac:dyDescent="0.25">
      <c r="A27" s="74"/>
      <c r="B27" t="s">
        <v>144</v>
      </c>
      <c r="C27">
        <v>0</v>
      </c>
    </row>
    <row r="28" spans="1:3" x14ac:dyDescent="0.25">
      <c r="A28" s="74"/>
      <c r="B28" t="s">
        <v>145</v>
      </c>
      <c r="C28">
        <v>0</v>
      </c>
    </row>
    <row r="29" spans="1:3" x14ac:dyDescent="0.25">
      <c r="A29" s="74"/>
      <c r="B29" t="s">
        <v>146</v>
      </c>
      <c r="C29">
        <v>0</v>
      </c>
    </row>
    <row r="30" spans="1:3" x14ac:dyDescent="0.25">
      <c r="A30" s="74"/>
      <c r="B30" t="s">
        <v>72</v>
      </c>
      <c r="C30">
        <v>0</v>
      </c>
    </row>
    <row r="31" spans="1:3" x14ac:dyDescent="0.25">
      <c r="A31" s="74"/>
      <c r="B31" t="s">
        <v>73</v>
      </c>
      <c r="C31">
        <v>0</v>
      </c>
    </row>
    <row r="32" spans="1:3" x14ac:dyDescent="0.25">
      <c r="A32" s="74"/>
      <c r="B32" t="s">
        <v>74</v>
      </c>
      <c r="C32">
        <v>0</v>
      </c>
    </row>
    <row r="33" spans="1:5" x14ac:dyDescent="0.25">
      <c r="A33" s="74"/>
      <c r="B33" t="s">
        <v>75</v>
      </c>
      <c r="C33">
        <v>0</v>
      </c>
    </row>
    <row r="34" spans="1:5" x14ac:dyDescent="0.25">
      <c r="A34" s="74"/>
      <c r="B34" t="s">
        <v>76</v>
      </c>
      <c r="C34">
        <v>0</v>
      </c>
    </row>
    <row r="35" spans="1:5" x14ac:dyDescent="0.25">
      <c r="A35" s="74"/>
      <c r="B35" t="s">
        <v>77</v>
      </c>
      <c r="C35">
        <v>0</v>
      </c>
    </row>
    <row r="36" spans="1:5" x14ac:dyDescent="0.25">
      <c r="A36" s="74"/>
      <c r="B36" t="s">
        <v>78</v>
      </c>
      <c r="C36">
        <v>0</v>
      </c>
    </row>
    <row r="37" spans="1:5" x14ac:dyDescent="0.25">
      <c r="A37" s="74"/>
      <c r="B37" t="s">
        <v>79</v>
      </c>
      <c r="C37">
        <v>0</v>
      </c>
    </row>
    <row r="38" spans="1:5" x14ac:dyDescent="0.25">
      <c r="A38" s="74"/>
      <c r="B38" t="s">
        <v>80</v>
      </c>
      <c r="C38">
        <v>0</v>
      </c>
    </row>
    <row r="39" spans="1:5" x14ac:dyDescent="0.25">
      <c r="A39" s="74"/>
      <c r="B39" t="s">
        <v>227</v>
      </c>
      <c r="C39">
        <v>0</v>
      </c>
    </row>
    <row r="40" spans="1:5" x14ac:dyDescent="0.25">
      <c r="A40" s="74"/>
      <c r="B40" t="str">
        <f>[2]TOTAL!D41</f>
        <v>Total this month</v>
      </c>
      <c r="C40">
        <f>[2]TOTAL!E41</f>
        <v>0.28125</v>
      </c>
    </row>
    <row r="41" spans="1:5" x14ac:dyDescent="0.25">
      <c r="A41" s="74" t="s">
        <v>17</v>
      </c>
      <c r="B41" t="s">
        <v>223</v>
      </c>
      <c r="C41">
        <v>0.31597222222222215</v>
      </c>
      <c r="D41">
        <v>14.75</v>
      </c>
      <c r="E41">
        <v>0</v>
      </c>
    </row>
    <row r="42" spans="1:5" x14ac:dyDescent="0.25">
      <c r="A42" s="74"/>
      <c r="B42" t="s">
        <v>224</v>
      </c>
      <c r="C42">
        <v>3.4722222222222376E-3</v>
      </c>
    </row>
    <row r="43" spans="1:5" x14ac:dyDescent="0.25">
      <c r="A43" s="74"/>
      <c r="B43" t="s">
        <v>225</v>
      </c>
      <c r="C43">
        <v>0</v>
      </c>
    </row>
    <row r="44" spans="1:5" x14ac:dyDescent="0.25">
      <c r="A44" s="74"/>
      <c r="B44" t="s">
        <v>226</v>
      </c>
      <c r="C44">
        <v>0</v>
      </c>
    </row>
    <row r="45" spans="1:5" x14ac:dyDescent="0.25">
      <c r="A45" s="74"/>
      <c r="B45" t="s">
        <v>63</v>
      </c>
      <c r="C45">
        <v>0</v>
      </c>
    </row>
    <row r="46" spans="1:5" x14ac:dyDescent="0.25">
      <c r="A46" s="74"/>
      <c r="B46" t="s">
        <v>64</v>
      </c>
      <c r="C46">
        <v>0</v>
      </c>
    </row>
    <row r="47" spans="1:5" x14ac:dyDescent="0.25">
      <c r="A47" s="74"/>
      <c r="B47" t="s">
        <v>65</v>
      </c>
      <c r="C47">
        <v>0</v>
      </c>
    </row>
    <row r="48" spans="1:5" x14ac:dyDescent="0.25">
      <c r="A48" s="74"/>
      <c r="B48" t="s">
        <v>66</v>
      </c>
      <c r="C48">
        <v>0</v>
      </c>
    </row>
    <row r="49" spans="1:3" x14ac:dyDescent="0.25">
      <c r="A49" s="74"/>
      <c r="B49" t="s">
        <v>67</v>
      </c>
      <c r="C49">
        <v>0</v>
      </c>
    </row>
    <row r="50" spans="1:3" x14ac:dyDescent="0.25">
      <c r="A50" s="74"/>
      <c r="B50" t="s">
        <v>68</v>
      </c>
      <c r="C50">
        <v>6.9444444444441977E-3</v>
      </c>
    </row>
    <row r="51" spans="1:3" x14ac:dyDescent="0.25">
      <c r="A51" s="74"/>
      <c r="B51" t="s">
        <v>69</v>
      </c>
      <c r="C51">
        <v>0</v>
      </c>
    </row>
    <row r="52" spans="1:3" x14ac:dyDescent="0.25">
      <c r="A52" s="74"/>
      <c r="B52" t="s">
        <v>131</v>
      </c>
      <c r="C52">
        <v>1.3888888888889075E-2</v>
      </c>
    </row>
    <row r="53" spans="1:3" x14ac:dyDescent="0.25">
      <c r="A53" s="74"/>
      <c r="B53" t="s">
        <v>132</v>
      </c>
      <c r="C53">
        <v>2.083333333333337E-2</v>
      </c>
    </row>
    <row r="54" spans="1:3" x14ac:dyDescent="0.25">
      <c r="A54" s="74"/>
      <c r="B54" t="s">
        <v>133</v>
      </c>
      <c r="C54">
        <v>0</v>
      </c>
    </row>
    <row r="55" spans="1:3" x14ac:dyDescent="0.25">
      <c r="A55" s="74"/>
      <c r="B55" t="s">
        <v>134</v>
      </c>
      <c r="C55">
        <v>0</v>
      </c>
    </row>
    <row r="56" spans="1:3" x14ac:dyDescent="0.25">
      <c r="A56" s="74"/>
      <c r="B56" t="s">
        <v>191</v>
      </c>
      <c r="C56">
        <v>0</v>
      </c>
    </row>
    <row r="57" spans="1:3" x14ac:dyDescent="0.25">
      <c r="A57" s="74"/>
      <c r="B57" t="s">
        <v>135</v>
      </c>
      <c r="C57">
        <v>0</v>
      </c>
    </row>
    <row r="58" spans="1:3" x14ac:dyDescent="0.25">
      <c r="A58" s="74"/>
      <c r="B58" t="s">
        <v>136</v>
      </c>
      <c r="C58">
        <v>0</v>
      </c>
    </row>
    <row r="59" spans="1:3" x14ac:dyDescent="0.25">
      <c r="A59" s="74"/>
      <c r="B59" t="s">
        <v>137</v>
      </c>
      <c r="C59">
        <v>0</v>
      </c>
    </row>
    <row r="60" spans="1:3" x14ac:dyDescent="0.25">
      <c r="A60" s="74"/>
      <c r="B60" t="s">
        <v>138</v>
      </c>
      <c r="C60">
        <v>0</v>
      </c>
    </row>
    <row r="61" spans="1:3" x14ac:dyDescent="0.25">
      <c r="A61" s="74"/>
      <c r="B61" t="s">
        <v>139</v>
      </c>
      <c r="C61">
        <v>0</v>
      </c>
    </row>
    <row r="62" spans="1:3" x14ac:dyDescent="0.25">
      <c r="A62" s="74"/>
      <c r="B62" t="s">
        <v>140</v>
      </c>
      <c r="C62">
        <v>0</v>
      </c>
    </row>
    <row r="63" spans="1:3" x14ac:dyDescent="0.25">
      <c r="A63" s="74"/>
      <c r="B63" t="s">
        <v>141</v>
      </c>
      <c r="C63">
        <v>0</v>
      </c>
    </row>
    <row r="64" spans="1:3" x14ac:dyDescent="0.25">
      <c r="A64" s="74"/>
      <c r="B64" t="s">
        <v>142</v>
      </c>
      <c r="C64">
        <v>0</v>
      </c>
    </row>
    <row r="65" spans="1:3" x14ac:dyDescent="0.25">
      <c r="A65" s="74"/>
      <c r="B65" t="s">
        <v>143</v>
      </c>
      <c r="C65">
        <v>0</v>
      </c>
    </row>
    <row r="66" spans="1:3" x14ac:dyDescent="0.25">
      <c r="A66" s="74"/>
      <c r="B66" t="s">
        <v>192</v>
      </c>
      <c r="C66">
        <v>0</v>
      </c>
    </row>
    <row r="67" spans="1:3" x14ac:dyDescent="0.25">
      <c r="A67" s="74"/>
      <c r="B67" t="s">
        <v>144</v>
      </c>
      <c r="C67">
        <v>0</v>
      </c>
    </row>
    <row r="68" spans="1:3" x14ac:dyDescent="0.25">
      <c r="A68" s="74"/>
      <c r="B68" t="s">
        <v>145</v>
      </c>
      <c r="C68">
        <v>0</v>
      </c>
    </row>
    <row r="69" spans="1:3" x14ac:dyDescent="0.25">
      <c r="A69" s="74"/>
      <c r="B69" t="s">
        <v>146</v>
      </c>
      <c r="C69">
        <v>0</v>
      </c>
    </row>
    <row r="70" spans="1:3" x14ac:dyDescent="0.25">
      <c r="A70" s="74"/>
      <c r="B70" t="s">
        <v>72</v>
      </c>
      <c r="C70">
        <v>4.5138888888888888E-2</v>
      </c>
    </row>
    <row r="71" spans="1:3" x14ac:dyDescent="0.25">
      <c r="A71" s="74"/>
      <c r="B71" t="s">
        <v>73</v>
      </c>
      <c r="C71">
        <v>0</v>
      </c>
    </row>
    <row r="72" spans="1:3" x14ac:dyDescent="0.25">
      <c r="A72" s="74"/>
      <c r="B72" t="s">
        <v>74</v>
      </c>
      <c r="C72">
        <v>0</v>
      </c>
    </row>
    <row r="73" spans="1:3" x14ac:dyDescent="0.25">
      <c r="A73" s="74"/>
      <c r="B73" t="s">
        <v>75</v>
      </c>
      <c r="C73">
        <v>0</v>
      </c>
    </row>
    <row r="74" spans="1:3" x14ac:dyDescent="0.25">
      <c r="A74" s="74"/>
      <c r="B74" t="s">
        <v>76</v>
      </c>
      <c r="C74">
        <v>0</v>
      </c>
    </row>
    <row r="75" spans="1:3" x14ac:dyDescent="0.25">
      <c r="A75" s="74"/>
      <c r="B75" t="s">
        <v>77</v>
      </c>
      <c r="C75">
        <v>0</v>
      </c>
    </row>
    <row r="76" spans="1:3" x14ac:dyDescent="0.25">
      <c r="A76" s="74"/>
      <c r="B76" t="s">
        <v>78</v>
      </c>
      <c r="C76">
        <v>0</v>
      </c>
    </row>
    <row r="77" spans="1:3" x14ac:dyDescent="0.25">
      <c r="A77" s="74"/>
      <c r="B77" t="s">
        <v>79</v>
      </c>
      <c r="C77">
        <v>0</v>
      </c>
    </row>
    <row r="78" spans="1:3" x14ac:dyDescent="0.25">
      <c r="A78" s="74"/>
      <c r="B78" t="s">
        <v>80</v>
      </c>
      <c r="C78">
        <v>0</v>
      </c>
    </row>
    <row r="79" spans="1:3" x14ac:dyDescent="0.25">
      <c r="A79" s="74"/>
      <c r="B79" t="s">
        <v>227</v>
      </c>
      <c r="C79">
        <v>0</v>
      </c>
    </row>
    <row r="80" spans="1:3" x14ac:dyDescent="0.25">
      <c r="A80" s="74"/>
      <c r="B80" t="str">
        <f>[3]TOTAL!D41</f>
        <v>Total this month</v>
      </c>
      <c r="C80">
        <f>[3]TOTAL!E41</f>
        <v>0.40624999999999994</v>
      </c>
    </row>
    <row r="81" spans="1:5" x14ac:dyDescent="0.25">
      <c r="A81" s="74" t="s">
        <v>19</v>
      </c>
      <c r="B81" t="s">
        <v>223</v>
      </c>
      <c r="C81">
        <v>0</v>
      </c>
      <c r="D81">
        <v>16</v>
      </c>
      <c r="E81">
        <v>16</v>
      </c>
    </row>
    <row r="82" spans="1:5" x14ac:dyDescent="0.25">
      <c r="A82" s="74"/>
      <c r="B82" t="s">
        <v>224</v>
      </c>
      <c r="C82">
        <v>0</v>
      </c>
    </row>
    <row r="83" spans="1:5" x14ac:dyDescent="0.25">
      <c r="A83" s="74"/>
      <c r="B83" t="s">
        <v>225</v>
      </c>
      <c r="C83">
        <v>0</v>
      </c>
    </row>
    <row r="84" spans="1:5" x14ac:dyDescent="0.25">
      <c r="A84" s="74"/>
      <c r="B84" t="s">
        <v>226</v>
      </c>
      <c r="C84">
        <v>0</v>
      </c>
    </row>
    <row r="85" spans="1:5" x14ac:dyDescent="0.25">
      <c r="A85" s="74"/>
      <c r="B85" t="s">
        <v>63</v>
      </c>
      <c r="C85">
        <v>1.8055555555555602E-2</v>
      </c>
    </row>
    <row r="86" spans="1:5" x14ac:dyDescent="0.25">
      <c r="A86" s="74"/>
      <c r="B86" t="s">
        <v>64</v>
      </c>
      <c r="C86">
        <v>0</v>
      </c>
    </row>
    <row r="87" spans="1:5" x14ac:dyDescent="0.25">
      <c r="A87" s="74"/>
      <c r="B87" t="s">
        <v>65</v>
      </c>
      <c r="C87">
        <v>0</v>
      </c>
    </row>
    <row r="88" spans="1:5" x14ac:dyDescent="0.25">
      <c r="A88" s="74"/>
      <c r="B88" t="s">
        <v>66</v>
      </c>
      <c r="C88">
        <v>0</v>
      </c>
    </row>
    <row r="89" spans="1:5" x14ac:dyDescent="0.25">
      <c r="A89" s="74"/>
      <c r="B89" t="s">
        <v>67</v>
      </c>
      <c r="C89">
        <v>0</v>
      </c>
    </row>
    <row r="90" spans="1:5" x14ac:dyDescent="0.25">
      <c r="A90" s="74"/>
      <c r="B90" t="s">
        <v>68</v>
      </c>
      <c r="C90">
        <v>0</v>
      </c>
    </row>
    <row r="91" spans="1:5" x14ac:dyDescent="0.25">
      <c r="A91" s="74"/>
      <c r="B91" t="s">
        <v>69</v>
      </c>
      <c r="C91">
        <v>0</v>
      </c>
    </row>
    <row r="92" spans="1:5" x14ac:dyDescent="0.25">
      <c r="A92" s="74"/>
      <c r="B92" t="s">
        <v>131</v>
      </c>
      <c r="C92">
        <v>0</v>
      </c>
    </row>
    <row r="93" spans="1:5" x14ac:dyDescent="0.25">
      <c r="A93" s="74"/>
      <c r="B93" t="s">
        <v>132</v>
      </c>
      <c r="C93">
        <v>0</v>
      </c>
    </row>
    <row r="94" spans="1:5" x14ac:dyDescent="0.25">
      <c r="A94" s="74"/>
      <c r="B94" t="s">
        <v>133</v>
      </c>
      <c r="C94">
        <v>0</v>
      </c>
    </row>
    <row r="95" spans="1:5" x14ac:dyDescent="0.25">
      <c r="A95" s="74"/>
      <c r="B95" t="s">
        <v>134</v>
      </c>
      <c r="C95">
        <v>0</v>
      </c>
    </row>
    <row r="96" spans="1:5" x14ac:dyDescent="0.25">
      <c r="A96" s="74"/>
      <c r="B96" t="s">
        <v>191</v>
      </c>
      <c r="C96">
        <v>0</v>
      </c>
    </row>
    <row r="97" spans="1:3" x14ac:dyDescent="0.25">
      <c r="A97" s="74"/>
      <c r="B97" t="s">
        <v>135</v>
      </c>
      <c r="C97">
        <v>0</v>
      </c>
    </row>
    <row r="98" spans="1:3" x14ac:dyDescent="0.25">
      <c r="A98" s="74"/>
      <c r="B98" t="s">
        <v>136</v>
      </c>
      <c r="C98">
        <v>0</v>
      </c>
    </row>
    <row r="99" spans="1:3" x14ac:dyDescent="0.25">
      <c r="A99" s="74"/>
      <c r="B99" t="s">
        <v>137</v>
      </c>
      <c r="C99">
        <v>0</v>
      </c>
    </row>
    <row r="100" spans="1:3" x14ac:dyDescent="0.25">
      <c r="A100" s="74"/>
      <c r="B100" t="s">
        <v>138</v>
      </c>
      <c r="C100">
        <v>0</v>
      </c>
    </row>
    <row r="101" spans="1:3" x14ac:dyDescent="0.25">
      <c r="A101" s="74"/>
      <c r="B101" t="s">
        <v>139</v>
      </c>
      <c r="C101">
        <v>0</v>
      </c>
    </row>
    <row r="102" spans="1:3" x14ac:dyDescent="0.25">
      <c r="A102" s="74"/>
      <c r="B102" t="s">
        <v>140</v>
      </c>
      <c r="C102">
        <v>0.6347222222222223</v>
      </c>
    </row>
    <row r="103" spans="1:3" x14ac:dyDescent="0.25">
      <c r="A103" s="74"/>
      <c r="B103" t="s">
        <v>141</v>
      </c>
      <c r="C103">
        <v>0</v>
      </c>
    </row>
    <row r="104" spans="1:3" x14ac:dyDescent="0.25">
      <c r="A104" s="74"/>
      <c r="B104" t="s">
        <v>142</v>
      </c>
      <c r="C104">
        <v>0</v>
      </c>
    </row>
    <row r="105" spans="1:3" x14ac:dyDescent="0.25">
      <c r="A105" s="74"/>
      <c r="B105" t="s">
        <v>143</v>
      </c>
      <c r="C105">
        <v>0</v>
      </c>
    </row>
    <row r="106" spans="1:3" x14ac:dyDescent="0.25">
      <c r="A106" s="74"/>
      <c r="B106" t="s">
        <v>192</v>
      </c>
      <c r="C106">
        <v>0</v>
      </c>
    </row>
    <row r="107" spans="1:3" x14ac:dyDescent="0.25">
      <c r="A107" s="74"/>
      <c r="B107" t="s">
        <v>144</v>
      </c>
      <c r="C107">
        <v>0</v>
      </c>
    </row>
    <row r="108" spans="1:3" x14ac:dyDescent="0.25">
      <c r="A108" s="74"/>
      <c r="B108" t="s">
        <v>145</v>
      </c>
      <c r="C108">
        <v>0</v>
      </c>
    </row>
    <row r="109" spans="1:3" x14ac:dyDescent="0.25">
      <c r="A109" s="74"/>
      <c r="B109" t="s">
        <v>146</v>
      </c>
      <c r="C109">
        <v>0</v>
      </c>
    </row>
    <row r="110" spans="1:3" x14ac:dyDescent="0.25">
      <c r="A110" s="74"/>
      <c r="B110" t="s">
        <v>72</v>
      </c>
      <c r="C110">
        <v>0</v>
      </c>
    </row>
    <row r="111" spans="1:3" x14ac:dyDescent="0.25">
      <c r="A111" s="74"/>
      <c r="B111" t="s">
        <v>73</v>
      </c>
      <c r="C111">
        <v>0</v>
      </c>
    </row>
    <row r="112" spans="1:3" x14ac:dyDescent="0.25">
      <c r="A112" s="74"/>
      <c r="B112" t="s">
        <v>74</v>
      </c>
      <c r="C112">
        <v>0</v>
      </c>
    </row>
    <row r="113" spans="1:5" x14ac:dyDescent="0.25">
      <c r="A113" s="74"/>
      <c r="B113" t="s">
        <v>75</v>
      </c>
      <c r="C113">
        <v>0</v>
      </c>
    </row>
    <row r="114" spans="1:5" x14ac:dyDescent="0.25">
      <c r="A114" s="74"/>
      <c r="B114" t="s">
        <v>76</v>
      </c>
      <c r="C114">
        <v>0</v>
      </c>
    </row>
    <row r="115" spans="1:5" x14ac:dyDescent="0.25">
      <c r="A115" s="74"/>
      <c r="B115" t="s">
        <v>77</v>
      </c>
      <c r="C115">
        <v>0</v>
      </c>
    </row>
    <row r="116" spans="1:5" x14ac:dyDescent="0.25">
      <c r="A116" s="74"/>
      <c r="B116" t="s">
        <v>78</v>
      </c>
      <c r="C116">
        <v>0</v>
      </c>
    </row>
    <row r="117" spans="1:5" x14ac:dyDescent="0.25">
      <c r="A117" s="74"/>
      <c r="B117" t="s">
        <v>79</v>
      </c>
      <c r="C117">
        <v>1.388888888888884E-2</v>
      </c>
    </row>
    <row r="118" spans="1:5" x14ac:dyDescent="0.25">
      <c r="A118" s="74"/>
      <c r="B118" t="s">
        <v>80</v>
      </c>
      <c r="C118">
        <v>0</v>
      </c>
    </row>
    <row r="119" spans="1:5" x14ac:dyDescent="0.25">
      <c r="A119" s="74"/>
      <c r="B119" t="s">
        <v>227</v>
      </c>
      <c r="C119">
        <v>0</v>
      </c>
    </row>
    <row r="120" spans="1:5" x14ac:dyDescent="0.25">
      <c r="A120" s="74"/>
      <c r="B120" t="str">
        <f>[4]TOTAL!D41</f>
        <v>Total this month</v>
      </c>
      <c r="C120">
        <f>[4]TOTAL!E41</f>
        <v>0.66666666666666674</v>
      </c>
    </row>
    <row r="121" spans="1:5" x14ac:dyDescent="0.25">
      <c r="A121" t="s">
        <v>21</v>
      </c>
      <c r="B121" t="s">
        <v>193</v>
      </c>
      <c r="D121">
        <v>0</v>
      </c>
      <c r="E121">
        <v>0</v>
      </c>
    </row>
    <row r="123" spans="1:5" x14ac:dyDescent="0.25">
      <c r="A123" t="s">
        <v>22</v>
      </c>
      <c r="B123" t="s">
        <v>193</v>
      </c>
      <c r="D123">
        <v>0</v>
      </c>
      <c r="E123">
        <v>0</v>
      </c>
    </row>
    <row r="125" spans="1:5" x14ac:dyDescent="0.25">
      <c r="A125" s="74" t="s">
        <v>128</v>
      </c>
      <c r="B125" t="s">
        <v>223</v>
      </c>
      <c r="C125">
        <v>0</v>
      </c>
      <c r="D125">
        <v>8.2666666666666657</v>
      </c>
      <c r="E125">
        <v>0</v>
      </c>
    </row>
    <row r="126" spans="1:5" x14ac:dyDescent="0.25">
      <c r="A126" s="74"/>
      <c r="B126" t="s">
        <v>224</v>
      </c>
      <c r="C126">
        <v>0</v>
      </c>
    </row>
    <row r="127" spans="1:5" x14ac:dyDescent="0.25">
      <c r="A127" s="74"/>
      <c r="B127" t="s">
        <v>225</v>
      </c>
      <c r="C127">
        <v>0</v>
      </c>
    </row>
    <row r="128" spans="1:5" x14ac:dyDescent="0.25">
      <c r="A128" s="74"/>
      <c r="B128" t="s">
        <v>226</v>
      </c>
      <c r="C128">
        <v>0</v>
      </c>
    </row>
    <row r="129" spans="1:3" x14ac:dyDescent="0.25">
      <c r="A129" s="74"/>
      <c r="B129" t="s">
        <v>63</v>
      </c>
      <c r="C129">
        <v>0</v>
      </c>
    </row>
    <row r="130" spans="1:3" x14ac:dyDescent="0.25">
      <c r="A130" s="74"/>
      <c r="B130" t="s">
        <v>64</v>
      </c>
      <c r="C130">
        <v>0</v>
      </c>
    </row>
    <row r="131" spans="1:3" x14ac:dyDescent="0.25">
      <c r="A131" s="74"/>
      <c r="B131" t="s">
        <v>65</v>
      </c>
      <c r="C131">
        <v>0</v>
      </c>
    </row>
    <row r="132" spans="1:3" x14ac:dyDescent="0.25">
      <c r="A132" s="74"/>
      <c r="B132" t="s">
        <v>66</v>
      </c>
      <c r="C132">
        <v>0</v>
      </c>
    </row>
    <row r="133" spans="1:3" x14ac:dyDescent="0.25">
      <c r="A133" s="74"/>
      <c r="B133" t="s">
        <v>67</v>
      </c>
      <c r="C133">
        <v>0</v>
      </c>
    </row>
    <row r="134" spans="1:3" x14ac:dyDescent="0.25">
      <c r="A134" s="74"/>
      <c r="B134" t="s">
        <v>68</v>
      </c>
      <c r="C134">
        <v>6.94444444444553E-4</v>
      </c>
    </row>
    <row r="135" spans="1:3" x14ac:dyDescent="0.25">
      <c r="A135" s="74"/>
      <c r="B135" t="s">
        <v>69</v>
      </c>
      <c r="C135">
        <v>0</v>
      </c>
    </row>
    <row r="136" spans="1:3" x14ac:dyDescent="0.25">
      <c r="A136" s="74"/>
      <c r="B136" t="s">
        <v>131</v>
      </c>
      <c r="C136">
        <v>4.1666666666665408E-3</v>
      </c>
    </row>
    <row r="137" spans="1:3" x14ac:dyDescent="0.25">
      <c r="A137" s="74"/>
      <c r="B137" t="s">
        <v>132</v>
      </c>
      <c r="C137">
        <v>2.7777777777777901E-2</v>
      </c>
    </row>
    <row r="138" spans="1:3" x14ac:dyDescent="0.25">
      <c r="A138" s="74"/>
      <c r="B138" t="s">
        <v>133</v>
      </c>
      <c r="C138">
        <v>0</v>
      </c>
    </row>
    <row r="139" spans="1:3" x14ac:dyDescent="0.25">
      <c r="A139" s="74"/>
      <c r="B139" t="s">
        <v>134</v>
      </c>
      <c r="C139">
        <v>0</v>
      </c>
    </row>
    <row r="140" spans="1:3" x14ac:dyDescent="0.25">
      <c r="A140" s="74"/>
      <c r="B140" t="s">
        <v>191</v>
      </c>
      <c r="C140">
        <v>0</v>
      </c>
    </row>
    <row r="141" spans="1:3" x14ac:dyDescent="0.25">
      <c r="A141" s="74"/>
      <c r="B141" t="s">
        <v>135</v>
      </c>
      <c r="C141">
        <v>0</v>
      </c>
    </row>
    <row r="142" spans="1:3" x14ac:dyDescent="0.25">
      <c r="A142" s="74"/>
      <c r="B142" t="s">
        <v>136</v>
      </c>
      <c r="C142">
        <v>0</v>
      </c>
    </row>
    <row r="143" spans="1:3" x14ac:dyDescent="0.25">
      <c r="A143" s="74"/>
      <c r="B143" t="s">
        <v>137</v>
      </c>
      <c r="C143">
        <v>0</v>
      </c>
    </row>
    <row r="144" spans="1:3" x14ac:dyDescent="0.25">
      <c r="A144" s="74"/>
      <c r="B144" t="s">
        <v>138</v>
      </c>
      <c r="C144">
        <v>0</v>
      </c>
    </row>
    <row r="145" spans="1:3" x14ac:dyDescent="0.25">
      <c r="A145" s="74"/>
      <c r="B145" t="s">
        <v>139</v>
      </c>
      <c r="C145">
        <v>0</v>
      </c>
    </row>
    <row r="146" spans="1:3" x14ac:dyDescent="0.25">
      <c r="A146" s="74"/>
      <c r="B146" t="s">
        <v>140</v>
      </c>
      <c r="C146">
        <v>0</v>
      </c>
    </row>
    <row r="147" spans="1:3" x14ac:dyDescent="0.25">
      <c r="A147" s="74"/>
      <c r="B147" t="s">
        <v>141</v>
      </c>
      <c r="C147">
        <v>0</v>
      </c>
    </row>
    <row r="148" spans="1:3" x14ac:dyDescent="0.25">
      <c r="A148" s="74"/>
      <c r="B148" t="s">
        <v>142</v>
      </c>
      <c r="C148">
        <v>0</v>
      </c>
    </row>
    <row r="149" spans="1:3" x14ac:dyDescent="0.25">
      <c r="A149" s="74"/>
      <c r="B149" t="s">
        <v>143</v>
      </c>
      <c r="C149">
        <v>0</v>
      </c>
    </row>
    <row r="150" spans="1:3" x14ac:dyDescent="0.25">
      <c r="A150" s="74"/>
      <c r="B150" t="s">
        <v>192</v>
      </c>
      <c r="C150">
        <v>0</v>
      </c>
    </row>
    <row r="151" spans="1:3" x14ac:dyDescent="0.25">
      <c r="A151" s="74"/>
      <c r="B151" t="s">
        <v>144</v>
      </c>
      <c r="C151">
        <v>0</v>
      </c>
    </row>
    <row r="152" spans="1:3" x14ac:dyDescent="0.25">
      <c r="A152" s="74"/>
      <c r="B152" t="s">
        <v>145</v>
      </c>
      <c r="C152">
        <v>0</v>
      </c>
    </row>
    <row r="153" spans="1:3" x14ac:dyDescent="0.25">
      <c r="A153" s="74"/>
      <c r="B153" t="s">
        <v>146</v>
      </c>
      <c r="C153">
        <v>0</v>
      </c>
    </row>
    <row r="154" spans="1:3" x14ac:dyDescent="0.25">
      <c r="A154" s="74"/>
      <c r="B154" t="s">
        <v>72</v>
      </c>
      <c r="C154">
        <v>0</v>
      </c>
    </row>
    <row r="155" spans="1:3" x14ac:dyDescent="0.25">
      <c r="A155" s="74"/>
      <c r="B155" t="s">
        <v>73</v>
      </c>
      <c r="C155">
        <v>0</v>
      </c>
    </row>
    <row r="156" spans="1:3" x14ac:dyDescent="0.25">
      <c r="A156" s="74"/>
      <c r="B156" t="s">
        <v>74</v>
      </c>
      <c r="C156">
        <v>0</v>
      </c>
    </row>
    <row r="157" spans="1:3" x14ac:dyDescent="0.25">
      <c r="A157" s="74"/>
      <c r="B157" t="s">
        <v>75</v>
      </c>
      <c r="C157">
        <v>0</v>
      </c>
    </row>
    <row r="158" spans="1:3" x14ac:dyDescent="0.25">
      <c r="A158" s="74"/>
      <c r="B158" t="s">
        <v>76</v>
      </c>
      <c r="C158">
        <v>0.31180555555555545</v>
      </c>
    </row>
    <row r="159" spans="1:3" x14ac:dyDescent="0.25">
      <c r="A159" s="74"/>
      <c r="B159" t="s">
        <v>77</v>
      </c>
      <c r="C159">
        <v>0</v>
      </c>
    </row>
    <row r="160" spans="1:3" x14ac:dyDescent="0.25">
      <c r="A160" s="74"/>
      <c r="B160" t="s">
        <v>78</v>
      </c>
      <c r="C160">
        <v>0</v>
      </c>
    </row>
    <row r="161" spans="1:5" x14ac:dyDescent="0.25">
      <c r="A161" s="74"/>
      <c r="B161" t="s">
        <v>79</v>
      </c>
      <c r="C161">
        <v>0</v>
      </c>
    </row>
    <row r="162" spans="1:5" x14ac:dyDescent="0.25">
      <c r="A162" s="74"/>
      <c r="B162" t="s">
        <v>80</v>
      </c>
      <c r="C162">
        <v>0</v>
      </c>
    </row>
    <row r="163" spans="1:5" x14ac:dyDescent="0.25">
      <c r="A163" s="74"/>
      <c r="B163" t="s">
        <v>227</v>
      </c>
      <c r="C163">
        <v>0</v>
      </c>
    </row>
    <row r="164" spans="1:5" x14ac:dyDescent="0.25">
      <c r="A164" s="74"/>
      <c r="B164" t="str">
        <f>[5]TOTAL!D41</f>
        <v>Total this month</v>
      </c>
      <c r="C164">
        <f>[5]TOTAL!E41</f>
        <v>0.34444444444444444</v>
      </c>
    </row>
    <row r="165" spans="1:5" x14ac:dyDescent="0.25">
      <c r="A165" t="s">
        <v>24</v>
      </c>
      <c r="B165" t="s">
        <v>193</v>
      </c>
      <c r="D165">
        <v>0</v>
      </c>
      <c r="E165">
        <v>0</v>
      </c>
    </row>
    <row r="167" spans="1:5" x14ac:dyDescent="0.25">
      <c r="A167" t="s">
        <v>26</v>
      </c>
      <c r="B167" t="s">
        <v>193</v>
      </c>
      <c r="D167">
        <v>0</v>
      </c>
      <c r="E167">
        <v>0</v>
      </c>
    </row>
    <row r="169" spans="1:5" x14ac:dyDescent="0.25">
      <c r="A169" t="s">
        <v>28</v>
      </c>
      <c r="B169" t="s">
        <v>193</v>
      </c>
      <c r="D169">
        <v>0</v>
      </c>
      <c r="E169">
        <v>0</v>
      </c>
    </row>
    <row r="171" spans="1:5" x14ac:dyDescent="0.25">
      <c r="A171" s="74" t="s">
        <v>30</v>
      </c>
      <c r="B171" t="s">
        <v>81</v>
      </c>
      <c r="C171">
        <v>1.0416666666666741E-2</v>
      </c>
      <c r="D171">
        <v>16.316666666666663</v>
      </c>
      <c r="E171">
        <v>0</v>
      </c>
    </row>
    <row r="172" spans="1:5" x14ac:dyDescent="0.25">
      <c r="A172" s="74"/>
      <c r="B172" t="s">
        <v>82</v>
      </c>
      <c r="C172">
        <v>0.22083333333333321</v>
      </c>
    </row>
    <row r="173" spans="1:5" x14ac:dyDescent="0.25">
      <c r="A173" s="74"/>
      <c r="B173" t="s">
        <v>83</v>
      </c>
      <c r="C173">
        <v>0</v>
      </c>
    </row>
    <row r="174" spans="1:5" x14ac:dyDescent="0.25">
      <c r="A174" s="74"/>
      <c r="B174" t="s">
        <v>84</v>
      </c>
      <c r="C174">
        <v>0</v>
      </c>
    </row>
    <row r="175" spans="1:5" x14ac:dyDescent="0.25">
      <c r="A175" s="74"/>
      <c r="B175" t="s">
        <v>85</v>
      </c>
      <c r="C175">
        <v>5.0694444444444375E-2</v>
      </c>
    </row>
    <row r="176" spans="1:5" x14ac:dyDescent="0.25">
      <c r="A176" s="74"/>
      <c r="B176" t="s">
        <v>86</v>
      </c>
      <c r="C176">
        <v>0</v>
      </c>
    </row>
    <row r="177" spans="1:3" x14ac:dyDescent="0.25">
      <c r="A177" s="74"/>
      <c r="B177" t="s">
        <v>87</v>
      </c>
      <c r="C177">
        <v>6.2500000000000111E-2</v>
      </c>
    </row>
    <row r="178" spans="1:3" x14ac:dyDescent="0.25">
      <c r="A178" s="74"/>
      <c r="B178" t="s">
        <v>88</v>
      </c>
      <c r="C178">
        <v>0</v>
      </c>
    </row>
    <row r="179" spans="1:3" x14ac:dyDescent="0.25">
      <c r="A179" s="74"/>
      <c r="B179" t="s">
        <v>89</v>
      </c>
      <c r="C179">
        <v>0</v>
      </c>
    </row>
    <row r="180" spans="1:3" x14ac:dyDescent="0.25">
      <c r="A180" s="74"/>
      <c r="B180" t="s">
        <v>90</v>
      </c>
      <c r="C180">
        <v>0</v>
      </c>
    </row>
    <row r="181" spans="1:3" x14ac:dyDescent="0.25">
      <c r="A181" s="74"/>
      <c r="B181" t="s">
        <v>91</v>
      </c>
      <c r="C181">
        <v>0</v>
      </c>
    </row>
    <row r="182" spans="1:3" x14ac:dyDescent="0.25">
      <c r="A182" s="74"/>
      <c r="B182" t="s">
        <v>92</v>
      </c>
      <c r="C182">
        <v>0</v>
      </c>
    </row>
    <row r="183" spans="1:3" x14ac:dyDescent="0.25">
      <c r="A183" s="74"/>
      <c r="B183" t="s">
        <v>93</v>
      </c>
      <c r="C183">
        <v>0</v>
      </c>
    </row>
    <row r="184" spans="1:3" x14ac:dyDescent="0.25">
      <c r="A184" s="74"/>
      <c r="B184" t="s">
        <v>94</v>
      </c>
      <c r="C184">
        <v>0</v>
      </c>
    </row>
    <row r="185" spans="1:3" x14ac:dyDescent="0.25">
      <c r="A185" s="74"/>
      <c r="B185" t="s">
        <v>95</v>
      </c>
      <c r="C185">
        <v>0</v>
      </c>
    </row>
    <row r="186" spans="1:3" x14ac:dyDescent="0.25">
      <c r="A186" s="74"/>
      <c r="B186" t="s">
        <v>96</v>
      </c>
      <c r="C186">
        <v>0</v>
      </c>
    </row>
    <row r="187" spans="1:3" x14ac:dyDescent="0.25">
      <c r="A187" s="74"/>
      <c r="B187" t="s">
        <v>97</v>
      </c>
      <c r="C187">
        <v>0</v>
      </c>
    </row>
    <row r="188" spans="1:3" x14ac:dyDescent="0.25">
      <c r="A188" s="74"/>
      <c r="B188" t="s">
        <v>148</v>
      </c>
      <c r="C188">
        <v>0</v>
      </c>
    </row>
    <row r="189" spans="1:3" x14ac:dyDescent="0.25">
      <c r="A189" s="74"/>
      <c r="B189" t="s">
        <v>149</v>
      </c>
      <c r="C189">
        <v>0</v>
      </c>
    </row>
    <row r="190" spans="1:3" x14ac:dyDescent="0.25">
      <c r="A190" s="74"/>
      <c r="B190" t="s">
        <v>150</v>
      </c>
      <c r="C190">
        <v>0</v>
      </c>
    </row>
    <row r="191" spans="1:3" x14ac:dyDescent="0.25">
      <c r="A191" s="74"/>
      <c r="B191" t="s">
        <v>151</v>
      </c>
      <c r="C191">
        <v>0</v>
      </c>
    </row>
    <row r="192" spans="1:3" x14ac:dyDescent="0.25">
      <c r="A192" s="74"/>
      <c r="B192" t="s">
        <v>152</v>
      </c>
      <c r="C192">
        <v>0</v>
      </c>
    </row>
    <row r="193" spans="1:3" x14ac:dyDescent="0.25">
      <c r="A193" s="74"/>
      <c r="B193" t="s">
        <v>153</v>
      </c>
      <c r="C193">
        <v>0</v>
      </c>
    </row>
    <row r="194" spans="1:3" x14ac:dyDescent="0.25">
      <c r="A194" s="74"/>
      <c r="B194" t="s">
        <v>98</v>
      </c>
      <c r="C194">
        <v>0</v>
      </c>
    </row>
    <row r="195" spans="1:3" x14ac:dyDescent="0.25">
      <c r="A195" s="74"/>
      <c r="B195" t="s">
        <v>99</v>
      </c>
      <c r="C195">
        <v>0</v>
      </c>
    </row>
    <row r="196" spans="1:3" x14ac:dyDescent="0.25">
      <c r="A196" s="74"/>
      <c r="B196" t="s">
        <v>154</v>
      </c>
      <c r="C196">
        <v>0</v>
      </c>
    </row>
    <row r="197" spans="1:3" x14ac:dyDescent="0.25">
      <c r="A197" s="74"/>
      <c r="B197" t="s">
        <v>155</v>
      </c>
      <c r="C197">
        <v>0</v>
      </c>
    </row>
    <row r="198" spans="1:3" x14ac:dyDescent="0.25">
      <c r="A198" s="74"/>
      <c r="B198" t="s">
        <v>156</v>
      </c>
      <c r="C198">
        <v>0</v>
      </c>
    </row>
    <row r="199" spans="1:3" x14ac:dyDescent="0.25">
      <c r="A199" s="74"/>
      <c r="B199" t="s">
        <v>157</v>
      </c>
      <c r="C199">
        <v>0</v>
      </c>
    </row>
    <row r="200" spans="1:3" x14ac:dyDescent="0.25">
      <c r="A200" s="74"/>
      <c r="B200" t="s">
        <v>158</v>
      </c>
      <c r="C200">
        <v>6.9444444444444198E-3</v>
      </c>
    </row>
    <row r="201" spans="1:3" x14ac:dyDescent="0.25">
      <c r="A201" s="74"/>
      <c r="B201" t="s">
        <v>100</v>
      </c>
      <c r="C201">
        <v>0</v>
      </c>
    </row>
    <row r="202" spans="1:3" x14ac:dyDescent="0.25">
      <c r="A202" s="74"/>
      <c r="B202" t="s">
        <v>101</v>
      </c>
      <c r="C202">
        <v>0</v>
      </c>
    </row>
    <row r="203" spans="1:3" x14ac:dyDescent="0.25">
      <c r="A203" s="74"/>
      <c r="B203" t="s">
        <v>102</v>
      </c>
      <c r="C203">
        <v>0</v>
      </c>
    </row>
    <row r="204" spans="1:3" x14ac:dyDescent="0.25">
      <c r="A204" s="74"/>
      <c r="B204" t="s">
        <v>103</v>
      </c>
      <c r="C204">
        <v>0</v>
      </c>
    </row>
    <row r="205" spans="1:3" x14ac:dyDescent="0.25">
      <c r="A205" s="74"/>
      <c r="B205" t="s">
        <v>104</v>
      </c>
      <c r="C205">
        <v>5.2083333333333481E-2</v>
      </c>
    </row>
    <row r="206" spans="1:3" x14ac:dyDescent="0.25">
      <c r="A206" s="74"/>
      <c r="B206" t="s">
        <v>105</v>
      </c>
      <c r="C206">
        <v>0</v>
      </c>
    </row>
    <row r="207" spans="1:3" x14ac:dyDescent="0.25">
      <c r="A207" s="74"/>
      <c r="B207" t="s">
        <v>106</v>
      </c>
      <c r="C207">
        <v>0</v>
      </c>
    </row>
    <row r="208" spans="1:3" x14ac:dyDescent="0.25">
      <c r="A208" s="74"/>
      <c r="B208" t="s">
        <v>107</v>
      </c>
      <c r="C208">
        <v>0</v>
      </c>
    </row>
    <row r="209" spans="1:5" x14ac:dyDescent="0.25">
      <c r="A209" s="74"/>
      <c r="B209" t="s">
        <v>108</v>
      </c>
      <c r="C209">
        <v>0</v>
      </c>
    </row>
    <row r="210" spans="1:5" x14ac:dyDescent="0.25">
      <c r="A210" s="74"/>
      <c r="B210" t="s">
        <v>109</v>
      </c>
      <c r="C210">
        <v>0</v>
      </c>
    </row>
    <row r="211" spans="1:5" x14ac:dyDescent="0.25">
      <c r="A211" s="74"/>
      <c r="B211" t="s">
        <v>110</v>
      </c>
      <c r="C211">
        <v>0</v>
      </c>
    </row>
    <row r="212" spans="1:5" x14ac:dyDescent="0.25">
      <c r="A212" s="74"/>
      <c r="B212" t="s">
        <v>111</v>
      </c>
      <c r="C212">
        <v>0</v>
      </c>
    </row>
    <row r="213" spans="1:5" x14ac:dyDescent="0.25">
      <c r="A213" s="74"/>
      <c r="B213" t="s">
        <v>112</v>
      </c>
      <c r="C213">
        <v>0</v>
      </c>
    </row>
    <row r="214" spans="1:5" x14ac:dyDescent="0.25">
      <c r="A214" s="74"/>
      <c r="B214" t="s">
        <v>71</v>
      </c>
      <c r="C214">
        <v>8.6805555555555358E-2</v>
      </c>
    </row>
    <row r="215" spans="1:5" x14ac:dyDescent="0.25">
      <c r="A215" s="74"/>
      <c r="B215" t="s">
        <v>159</v>
      </c>
      <c r="C215">
        <v>0.17847222222222225</v>
      </c>
    </row>
    <row r="216" spans="1:5" x14ac:dyDescent="0.25">
      <c r="A216" s="74"/>
      <c r="B216" t="s">
        <v>228</v>
      </c>
      <c r="C216">
        <v>0</v>
      </c>
    </row>
    <row r="217" spans="1:5" x14ac:dyDescent="0.25">
      <c r="A217" s="74"/>
      <c r="B217" t="s">
        <v>229</v>
      </c>
      <c r="C217">
        <v>6.9444444444444198E-3</v>
      </c>
    </row>
    <row r="218" spans="1:5" x14ac:dyDescent="0.25">
      <c r="A218" s="74"/>
      <c r="B218" t="s">
        <v>230</v>
      </c>
      <c r="C218">
        <v>0</v>
      </c>
    </row>
    <row r="219" spans="1:5" x14ac:dyDescent="0.25">
      <c r="A219" s="74"/>
      <c r="B219" t="s">
        <v>231</v>
      </c>
      <c r="C219">
        <v>0</v>
      </c>
    </row>
    <row r="220" spans="1:5" x14ac:dyDescent="0.25">
      <c r="A220" s="74"/>
      <c r="B220" t="s">
        <v>232</v>
      </c>
      <c r="C220">
        <v>0</v>
      </c>
    </row>
    <row r="221" spans="1:5" x14ac:dyDescent="0.25">
      <c r="A221" s="74"/>
      <c r="B221" t="s">
        <v>233</v>
      </c>
      <c r="C221">
        <v>4.1666666666665408E-3</v>
      </c>
    </row>
    <row r="222" spans="1:5" x14ac:dyDescent="0.25">
      <c r="A222" s="74"/>
      <c r="B222" t="str">
        <f>[6]TOTAL!D53</f>
        <v>Total this month</v>
      </c>
      <c r="C222">
        <f>[6]TOTAL!E53</f>
        <v>0.67986111111111092</v>
      </c>
    </row>
    <row r="223" spans="1:5" x14ac:dyDescent="0.25">
      <c r="A223" s="74" t="s">
        <v>33</v>
      </c>
      <c r="B223" t="s">
        <v>223</v>
      </c>
      <c r="C223">
        <v>0</v>
      </c>
      <c r="D223">
        <v>22.866666666666667</v>
      </c>
      <c r="E223">
        <v>0</v>
      </c>
    </row>
    <row r="224" spans="1:5" x14ac:dyDescent="0.25">
      <c r="A224" s="74"/>
      <c r="B224" t="s">
        <v>224</v>
      </c>
      <c r="C224">
        <v>0</v>
      </c>
    </row>
    <row r="225" spans="1:3" x14ac:dyDescent="0.25">
      <c r="A225" s="74"/>
      <c r="B225" t="s">
        <v>225</v>
      </c>
      <c r="C225">
        <v>0</v>
      </c>
    </row>
    <row r="226" spans="1:3" x14ac:dyDescent="0.25">
      <c r="A226" s="74"/>
      <c r="B226" t="s">
        <v>226</v>
      </c>
      <c r="C226">
        <v>0</v>
      </c>
    </row>
    <row r="227" spans="1:3" x14ac:dyDescent="0.25">
      <c r="A227" s="74"/>
      <c r="B227" t="s">
        <v>63</v>
      </c>
      <c r="C227">
        <v>0</v>
      </c>
    </row>
    <row r="228" spans="1:3" x14ac:dyDescent="0.25">
      <c r="A228" s="74"/>
      <c r="B228" t="s">
        <v>64</v>
      </c>
      <c r="C228">
        <v>0</v>
      </c>
    </row>
    <row r="229" spans="1:3" x14ac:dyDescent="0.25">
      <c r="A229" s="74"/>
      <c r="B229" t="s">
        <v>65</v>
      </c>
      <c r="C229">
        <v>0</v>
      </c>
    </row>
    <row r="230" spans="1:3" x14ac:dyDescent="0.25">
      <c r="A230" s="74"/>
      <c r="B230" t="s">
        <v>66</v>
      </c>
      <c r="C230">
        <v>0</v>
      </c>
    </row>
    <row r="231" spans="1:3" x14ac:dyDescent="0.25">
      <c r="A231" s="74"/>
      <c r="B231" t="s">
        <v>67</v>
      </c>
      <c r="C231">
        <v>0</v>
      </c>
    </row>
    <row r="232" spans="1:3" x14ac:dyDescent="0.25">
      <c r="A232" s="74"/>
      <c r="B232" t="s">
        <v>68</v>
      </c>
      <c r="C232">
        <v>0</v>
      </c>
    </row>
    <row r="233" spans="1:3" x14ac:dyDescent="0.25">
      <c r="A233" s="74"/>
      <c r="B233" t="s">
        <v>69</v>
      </c>
      <c r="C233">
        <v>0</v>
      </c>
    </row>
    <row r="234" spans="1:3" x14ac:dyDescent="0.25">
      <c r="A234" s="74"/>
      <c r="B234" t="s">
        <v>131</v>
      </c>
      <c r="C234">
        <v>0</v>
      </c>
    </row>
    <row r="235" spans="1:3" x14ac:dyDescent="0.25">
      <c r="A235" s="74"/>
      <c r="B235" t="s">
        <v>132</v>
      </c>
      <c r="C235">
        <v>0</v>
      </c>
    </row>
    <row r="236" spans="1:3" x14ac:dyDescent="0.25">
      <c r="A236" s="74"/>
      <c r="B236" t="s">
        <v>133</v>
      </c>
      <c r="C236">
        <v>0</v>
      </c>
    </row>
    <row r="237" spans="1:3" x14ac:dyDescent="0.25">
      <c r="A237" s="74"/>
      <c r="B237" t="s">
        <v>134</v>
      </c>
      <c r="C237">
        <v>0</v>
      </c>
    </row>
    <row r="238" spans="1:3" x14ac:dyDescent="0.25">
      <c r="A238" s="74"/>
      <c r="B238" t="s">
        <v>191</v>
      </c>
      <c r="C238">
        <v>0</v>
      </c>
    </row>
    <row r="239" spans="1:3" x14ac:dyDescent="0.25">
      <c r="A239" s="74"/>
      <c r="B239" t="s">
        <v>135</v>
      </c>
      <c r="C239">
        <v>0</v>
      </c>
    </row>
    <row r="240" spans="1:3" x14ac:dyDescent="0.25">
      <c r="A240" s="74"/>
      <c r="B240" t="s">
        <v>136</v>
      </c>
      <c r="C240">
        <v>0</v>
      </c>
    </row>
    <row r="241" spans="1:3" x14ac:dyDescent="0.25">
      <c r="A241" s="74"/>
      <c r="B241" t="s">
        <v>137</v>
      </c>
      <c r="C241">
        <v>0</v>
      </c>
    </row>
    <row r="242" spans="1:3" x14ac:dyDescent="0.25">
      <c r="A242" s="74"/>
      <c r="B242" t="s">
        <v>138</v>
      </c>
      <c r="C242">
        <v>0</v>
      </c>
    </row>
    <row r="243" spans="1:3" x14ac:dyDescent="0.25">
      <c r="A243" s="74"/>
      <c r="B243" t="s">
        <v>139</v>
      </c>
      <c r="C243">
        <v>0</v>
      </c>
    </row>
    <row r="244" spans="1:3" x14ac:dyDescent="0.25">
      <c r="A244" s="74"/>
      <c r="B244" t="s">
        <v>140</v>
      </c>
      <c r="C244">
        <v>0</v>
      </c>
    </row>
    <row r="245" spans="1:3" x14ac:dyDescent="0.25">
      <c r="A245" s="74"/>
      <c r="B245" t="s">
        <v>141</v>
      </c>
      <c r="C245">
        <v>0</v>
      </c>
    </row>
    <row r="246" spans="1:3" x14ac:dyDescent="0.25">
      <c r="A246" s="74"/>
      <c r="B246" t="s">
        <v>142</v>
      </c>
      <c r="C246">
        <v>0</v>
      </c>
    </row>
    <row r="247" spans="1:3" x14ac:dyDescent="0.25">
      <c r="A247" s="74"/>
      <c r="B247" t="s">
        <v>143</v>
      </c>
      <c r="C247">
        <v>0</v>
      </c>
    </row>
    <row r="248" spans="1:3" x14ac:dyDescent="0.25">
      <c r="A248" s="74"/>
      <c r="B248" t="s">
        <v>192</v>
      </c>
      <c r="C248">
        <v>0</v>
      </c>
    </row>
    <row r="249" spans="1:3" x14ac:dyDescent="0.25">
      <c r="A249" s="74"/>
      <c r="B249" t="s">
        <v>144</v>
      </c>
      <c r="C249">
        <v>0</v>
      </c>
    </row>
    <row r="250" spans="1:3" x14ac:dyDescent="0.25">
      <c r="A250" s="74"/>
      <c r="B250" t="s">
        <v>145</v>
      </c>
      <c r="C250">
        <v>0</v>
      </c>
    </row>
    <row r="251" spans="1:3" x14ac:dyDescent="0.25">
      <c r="A251" s="74"/>
      <c r="B251" t="s">
        <v>146</v>
      </c>
      <c r="C251">
        <v>0</v>
      </c>
    </row>
    <row r="252" spans="1:3" x14ac:dyDescent="0.25">
      <c r="A252" s="74"/>
      <c r="B252" t="s">
        <v>72</v>
      </c>
      <c r="C252">
        <v>0</v>
      </c>
    </row>
    <row r="253" spans="1:3" x14ac:dyDescent="0.25">
      <c r="A253" s="74"/>
      <c r="B253" t="s">
        <v>73</v>
      </c>
      <c r="C253">
        <v>0</v>
      </c>
    </row>
    <row r="254" spans="1:3" x14ac:dyDescent="0.25">
      <c r="A254" s="74"/>
      <c r="B254" t="s">
        <v>74</v>
      </c>
      <c r="C254">
        <v>0</v>
      </c>
    </row>
    <row r="255" spans="1:3" x14ac:dyDescent="0.25">
      <c r="A255" s="74"/>
      <c r="B255" t="s">
        <v>75</v>
      </c>
      <c r="C255">
        <v>0</v>
      </c>
    </row>
    <row r="256" spans="1:3" x14ac:dyDescent="0.25">
      <c r="A256" s="74"/>
      <c r="B256" t="s">
        <v>76</v>
      </c>
      <c r="C256">
        <v>0</v>
      </c>
    </row>
    <row r="257" spans="1:5" x14ac:dyDescent="0.25">
      <c r="A257" s="74"/>
      <c r="B257" t="s">
        <v>77</v>
      </c>
      <c r="C257">
        <v>0</v>
      </c>
    </row>
    <row r="258" spans="1:5" x14ac:dyDescent="0.25">
      <c r="A258" s="74"/>
      <c r="B258" t="s">
        <v>78</v>
      </c>
      <c r="C258">
        <v>0</v>
      </c>
    </row>
    <row r="259" spans="1:5" x14ac:dyDescent="0.25">
      <c r="A259" s="74"/>
      <c r="B259" t="s">
        <v>79</v>
      </c>
      <c r="C259">
        <v>0</v>
      </c>
    </row>
    <row r="260" spans="1:5" x14ac:dyDescent="0.25">
      <c r="A260" s="74"/>
      <c r="B260" t="s">
        <v>80</v>
      </c>
      <c r="C260">
        <v>0</v>
      </c>
    </row>
    <row r="261" spans="1:5" x14ac:dyDescent="0.25">
      <c r="A261" s="74"/>
      <c r="B261" t="s">
        <v>227</v>
      </c>
      <c r="C261">
        <v>0</v>
      </c>
    </row>
    <row r="262" spans="1:5" x14ac:dyDescent="0.25">
      <c r="A262" s="74"/>
      <c r="B262" t="str">
        <f>[7]TOTAL!D41</f>
        <v>Total this month</v>
      </c>
      <c r="C262">
        <f>[7]TOTAL!E41</f>
        <v>0</v>
      </c>
    </row>
    <row r="263" spans="1:5" x14ac:dyDescent="0.25">
      <c r="A263" s="74" t="s">
        <v>35</v>
      </c>
      <c r="B263" t="s">
        <v>223</v>
      </c>
      <c r="C263">
        <v>0</v>
      </c>
      <c r="D263">
        <v>7.6666666666666643</v>
      </c>
      <c r="E263">
        <v>0</v>
      </c>
    </row>
    <row r="264" spans="1:5" x14ac:dyDescent="0.25">
      <c r="A264" s="74"/>
      <c r="B264" t="s">
        <v>224</v>
      </c>
      <c r="C264">
        <v>1.0416666666666664E-2</v>
      </c>
    </row>
    <row r="265" spans="1:5" x14ac:dyDescent="0.25">
      <c r="A265" s="74"/>
      <c r="B265" t="s">
        <v>225</v>
      </c>
      <c r="C265">
        <v>0</v>
      </c>
    </row>
    <row r="266" spans="1:5" x14ac:dyDescent="0.25">
      <c r="A266" s="74"/>
      <c r="B266" t="s">
        <v>226</v>
      </c>
      <c r="C266">
        <v>0</v>
      </c>
    </row>
    <row r="267" spans="1:5" x14ac:dyDescent="0.25">
      <c r="A267" s="74"/>
      <c r="B267" t="s">
        <v>63</v>
      </c>
      <c r="C267">
        <v>4.8611111111111077E-3</v>
      </c>
    </row>
    <row r="268" spans="1:5" x14ac:dyDescent="0.25">
      <c r="A268" s="74"/>
      <c r="B268" t="s">
        <v>64</v>
      </c>
      <c r="C268">
        <v>0</v>
      </c>
    </row>
    <row r="269" spans="1:5" x14ac:dyDescent="0.25">
      <c r="A269" s="74"/>
      <c r="B269" t="s">
        <v>65</v>
      </c>
      <c r="C269">
        <v>0</v>
      </c>
    </row>
    <row r="270" spans="1:5" x14ac:dyDescent="0.25">
      <c r="A270" s="74"/>
      <c r="B270" t="s">
        <v>66</v>
      </c>
      <c r="C270">
        <v>0</v>
      </c>
    </row>
    <row r="271" spans="1:5" x14ac:dyDescent="0.25">
      <c r="A271" s="74"/>
      <c r="B271" t="s">
        <v>67</v>
      </c>
      <c r="C271">
        <v>0</v>
      </c>
    </row>
    <row r="272" spans="1:5" x14ac:dyDescent="0.25">
      <c r="A272" s="74"/>
      <c r="B272" t="s">
        <v>68</v>
      </c>
      <c r="C272">
        <v>2.0833333333332149E-3</v>
      </c>
    </row>
    <row r="273" spans="1:3" x14ac:dyDescent="0.25">
      <c r="A273" s="74"/>
      <c r="B273" t="s">
        <v>69</v>
      </c>
      <c r="C273">
        <v>0</v>
      </c>
    </row>
    <row r="274" spans="1:3" x14ac:dyDescent="0.25">
      <c r="A274" s="74"/>
      <c r="B274" t="s">
        <v>131</v>
      </c>
      <c r="C274">
        <v>0</v>
      </c>
    </row>
    <row r="275" spans="1:3" x14ac:dyDescent="0.25">
      <c r="A275" s="74"/>
      <c r="B275" t="s">
        <v>132</v>
      </c>
      <c r="C275">
        <v>1.8750000000000086E-2</v>
      </c>
    </row>
    <row r="276" spans="1:3" x14ac:dyDescent="0.25">
      <c r="A276" s="74"/>
      <c r="B276" t="s">
        <v>133</v>
      </c>
      <c r="C276">
        <v>0</v>
      </c>
    </row>
    <row r="277" spans="1:3" x14ac:dyDescent="0.25">
      <c r="A277" s="74"/>
      <c r="B277" t="s">
        <v>134</v>
      </c>
      <c r="C277">
        <v>0</v>
      </c>
    </row>
    <row r="278" spans="1:3" x14ac:dyDescent="0.25">
      <c r="A278" s="74"/>
      <c r="B278" t="s">
        <v>191</v>
      </c>
      <c r="C278">
        <v>0</v>
      </c>
    </row>
    <row r="279" spans="1:3" x14ac:dyDescent="0.25">
      <c r="A279" s="74"/>
      <c r="B279" t="s">
        <v>135</v>
      </c>
      <c r="C279">
        <v>0</v>
      </c>
    </row>
    <row r="280" spans="1:3" x14ac:dyDescent="0.25">
      <c r="A280" s="74"/>
      <c r="B280" t="s">
        <v>136</v>
      </c>
      <c r="C280">
        <v>0</v>
      </c>
    </row>
    <row r="281" spans="1:3" x14ac:dyDescent="0.25">
      <c r="A281" s="74"/>
      <c r="B281" t="s">
        <v>137</v>
      </c>
      <c r="C281">
        <v>0.22013888888888883</v>
      </c>
    </row>
    <row r="282" spans="1:3" x14ac:dyDescent="0.25">
      <c r="A282" s="74"/>
      <c r="B282" t="s">
        <v>138</v>
      </c>
      <c r="C282">
        <v>0</v>
      </c>
    </row>
    <row r="283" spans="1:3" x14ac:dyDescent="0.25">
      <c r="A283" s="74"/>
      <c r="B283" t="s">
        <v>139</v>
      </c>
      <c r="C283">
        <v>0</v>
      </c>
    </row>
    <row r="284" spans="1:3" x14ac:dyDescent="0.25">
      <c r="A284" s="74"/>
      <c r="B284" t="s">
        <v>140</v>
      </c>
      <c r="C284">
        <v>0</v>
      </c>
    </row>
    <row r="285" spans="1:3" x14ac:dyDescent="0.25">
      <c r="A285" s="74"/>
      <c r="B285" t="s">
        <v>141</v>
      </c>
      <c r="C285">
        <v>6.9444444444445308E-3</v>
      </c>
    </row>
    <row r="286" spans="1:3" x14ac:dyDescent="0.25">
      <c r="A286" s="74"/>
      <c r="B286" t="s">
        <v>142</v>
      </c>
      <c r="C286">
        <v>0</v>
      </c>
    </row>
    <row r="287" spans="1:3" x14ac:dyDescent="0.25">
      <c r="A287" s="74"/>
      <c r="B287" t="s">
        <v>143</v>
      </c>
      <c r="C287">
        <v>0</v>
      </c>
    </row>
    <row r="288" spans="1:3" x14ac:dyDescent="0.25">
      <c r="A288" s="74"/>
      <c r="B288" t="s">
        <v>192</v>
      </c>
      <c r="C288">
        <v>0</v>
      </c>
    </row>
    <row r="289" spans="1:5" x14ac:dyDescent="0.25">
      <c r="A289" s="74"/>
      <c r="B289" t="s">
        <v>144</v>
      </c>
      <c r="C289">
        <v>0</v>
      </c>
    </row>
    <row r="290" spans="1:5" x14ac:dyDescent="0.25">
      <c r="A290" s="74"/>
      <c r="B290" t="s">
        <v>145</v>
      </c>
      <c r="C290">
        <v>0</v>
      </c>
    </row>
    <row r="291" spans="1:5" x14ac:dyDescent="0.25">
      <c r="A291" s="74"/>
      <c r="B291" t="s">
        <v>146</v>
      </c>
      <c r="C291">
        <v>0</v>
      </c>
    </row>
    <row r="292" spans="1:5" x14ac:dyDescent="0.25">
      <c r="A292" s="74"/>
      <c r="B292" t="s">
        <v>72</v>
      </c>
      <c r="C292">
        <v>0</v>
      </c>
    </row>
    <row r="293" spans="1:5" x14ac:dyDescent="0.25">
      <c r="A293" s="74"/>
      <c r="B293" t="s">
        <v>73</v>
      </c>
      <c r="C293">
        <v>0</v>
      </c>
    </row>
    <row r="294" spans="1:5" x14ac:dyDescent="0.25">
      <c r="A294" s="74"/>
      <c r="B294" t="s">
        <v>74</v>
      </c>
      <c r="C294">
        <v>0</v>
      </c>
    </row>
    <row r="295" spans="1:5" x14ac:dyDescent="0.25">
      <c r="A295" s="74"/>
      <c r="B295" t="s">
        <v>75</v>
      </c>
      <c r="C295">
        <v>0</v>
      </c>
    </row>
    <row r="296" spans="1:5" x14ac:dyDescent="0.25">
      <c r="A296" s="74"/>
      <c r="B296" t="s">
        <v>76</v>
      </c>
      <c r="C296">
        <v>0</v>
      </c>
    </row>
    <row r="297" spans="1:5" x14ac:dyDescent="0.25">
      <c r="A297" s="74"/>
      <c r="B297" t="s">
        <v>77</v>
      </c>
      <c r="C297">
        <v>3.4722222222222231E-2</v>
      </c>
    </row>
    <row r="298" spans="1:5" x14ac:dyDescent="0.25">
      <c r="A298" s="74"/>
      <c r="B298" t="s">
        <v>78</v>
      </c>
      <c r="C298">
        <v>0</v>
      </c>
    </row>
    <row r="299" spans="1:5" x14ac:dyDescent="0.25">
      <c r="A299" s="74"/>
      <c r="B299" t="s">
        <v>79</v>
      </c>
      <c r="C299">
        <v>0</v>
      </c>
    </row>
    <row r="300" spans="1:5" x14ac:dyDescent="0.25">
      <c r="A300" s="74"/>
      <c r="B300" t="s">
        <v>80</v>
      </c>
      <c r="C300">
        <v>2.1527777777777701E-2</v>
      </c>
    </row>
    <row r="301" spans="1:5" x14ac:dyDescent="0.25">
      <c r="A301" s="74"/>
      <c r="B301" t="s">
        <v>227</v>
      </c>
      <c r="C301">
        <v>0</v>
      </c>
    </row>
    <row r="302" spans="1:5" x14ac:dyDescent="0.25">
      <c r="A302" s="74"/>
      <c r="B302" t="str">
        <f>[8]TOTAL!D41</f>
        <v>Total this month</v>
      </c>
      <c r="C302">
        <f>[8]TOTAL!E41</f>
        <v>0.31944444444444436</v>
      </c>
    </row>
    <row r="303" spans="1:5" x14ac:dyDescent="0.25">
      <c r="A303" s="74" t="s">
        <v>37</v>
      </c>
      <c r="B303" t="s">
        <v>223</v>
      </c>
      <c r="C303">
        <v>0</v>
      </c>
      <c r="D303">
        <v>10.766666666666662</v>
      </c>
      <c r="E303">
        <v>0</v>
      </c>
    </row>
    <row r="304" spans="1:5" x14ac:dyDescent="0.25">
      <c r="A304" s="74"/>
      <c r="B304" t="s">
        <v>224</v>
      </c>
      <c r="C304">
        <v>0</v>
      </c>
    </row>
    <row r="305" spans="1:3" x14ac:dyDescent="0.25">
      <c r="A305" s="74"/>
      <c r="B305" t="s">
        <v>225</v>
      </c>
      <c r="C305">
        <v>0</v>
      </c>
    </row>
    <row r="306" spans="1:3" x14ac:dyDescent="0.25">
      <c r="A306" s="74"/>
      <c r="B306" t="s">
        <v>226</v>
      </c>
      <c r="C306">
        <v>0</v>
      </c>
    </row>
    <row r="307" spans="1:3" x14ac:dyDescent="0.25">
      <c r="A307" s="74"/>
      <c r="B307" t="s">
        <v>63</v>
      </c>
      <c r="C307">
        <v>6.9444444444444475E-3</v>
      </c>
    </row>
    <row r="308" spans="1:3" x14ac:dyDescent="0.25">
      <c r="A308" s="74"/>
      <c r="B308" t="s">
        <v>64</v>
      </c>
      <c r="C308">
        <v>0</v>
      </c>
    </row>
    <row r="309" spans="1:3" x14ac:dyDescent="0.25">
      <c r="A309" s="74"/>
      <c r="B309" t="s">
        <v>65</v>
      </c>
      <c r="C309">
        <v>0</v>
      </c>
    </row>
    <row r="310" spans="1:3" x14ac:dyDescent="0.25">
      <c r="A310" s="74"/>
      <c r="B310" t="s">
        <v>66</v>
      </c>
      <c r="C310">
        <v>0</v>
      </c>
    </row>
    <row r="311" spans="1:3" x14ac:dyDescent="0.25">
      <c r="A311" s="74"/>
      <c r="B311" t="s">
        <v>67</v>
      </c>
      <c r="C311">
        <v>0</v>
      </c>
    </row>
    <row r="312" spans="1:3" x14ac:dyDescent="0.25">
      <c r="A312" s="74"/>
      <c r="B312" t="s">
        <v>68</v>
      </c>
      <c r="C312">
        <v>6.9444444444433095E-4</v>
      </c>
    </row>
    <row r="313" spans="1:3" x14ac:dyDescent="0.25">
      <c r="A313" s="74"/>
      <c r="B313" t="s">
        <v>69</v>
      </c>
      <c r="C313">
        <v>0</v>
      </c>
    </row>
    <row r="314" spans="1:3" x14ac:dyDescent="0.25">
      <c r="A314" s="74"/>
      <c r="B314" t="s">
        <v>131</v>
      </c>
      <c r="C314">
        <v>7.6388888888889728E-3</v>
      </c>
    </row>
    <row r="315" spans="1:3" x14ac:dyDescent="0.25">
      <c r="A315" s="74"/>
      <c r="B315" t="s">
        <v>132</v>
      </c>
      <c r="C315">
        <v>5.9027777777777762E-2</v>
      </c>
    </row>
    <row r="316" spans="1:3" x14ac:dyDescent="0.25">
      <c r="A316" s="74"/>
      <c r="B316" t="s">
        <v>133</v>
      </c>
      <c r="C316">
        <v>0</v>
      </c>
    </row>
    <row r="317" spans="1:3" x14ac:dyDescent="0.25">
      <c r="A317" s="74"/>
      <c r="B317" t="s">
        <v>134</v>
      </c>
      <c r="C317">
        <v>0</v>
      </c>
    </row>
    <row r="318" spans="1:3" x14ac:dyDescent="0.25">
      <c r="A318" s="74"/>
      <c r="B318" t="s">
        <v>191</v>
      </c>
      <c r="C318">
        <v>0</v>
      </c>
    </row>
    <row r="319" spans="1:3" x14ac:dyDescent="0.25">
      <c r="A319" s="74"/>
      <c r="B319" t="s">
        <v>135</v>
      </c>
      <c r="C319">
        <v>0</v>
      </c>
    </row>
    <row r="320" spans="1:3" x14ac:dyDescent="0.25">
      <c r="A320" s="74"/>
      <c r="B320" t="s">
        <v>136</v>
      </c>
      <c r="C320">
        <v>0</v>
      </c>
    </row>
    <row r="321" spans="1:3" x14ac:dyDescent="0.25">
      <c r="A321" s="74"/>
      <c r="B321" t="s">
        <v>137</v>
      </c>
      <c r="C321">
        <v>0</v>
      </c>
    </row>
    <row r="322" spans="1:3" x14ac:dyDescent="0.25">
      <c r="A322" s="74"/>
      <c r="B322" t="s">
        <v>138</v>
      </c>
      <c r="C322">
        <v>0</v>
      </c>
    </row>
    <row r="323" spans="1:3" x14ac:dyDescent="0.25">
      <c r="A323" s="74"/>
      <c r="B323" t="s">
        <v>139</v>
      </c>
      <c r="C323">
        <v>0.27013888888888887</v>
      </c>
    </row>
    <row r="324" spans="1:3" x14ac:dyDescent="0.25">
      <c r="A324" s="74"/>
      <c r="B324" t="s">
        <v>140</v>
      </c>
      <c r="C324">
        <v>0</v>
      </c>
    </row>
    <row r="325" spans="1:3" x14ac:dyDescent="0.25">
      <c r="A325" s="74"/>
      <c r="B325" t="s">
        <v>141</v>
      </c>
      <c r="C325">
        <v>6.1805555555555544E-2</v>
      </c>
    </row>
    <row r="326" spans="1:3" x14ac:dyDescent="0.25">
      <c r="A326" s="74"/>
      <c r="B326" t="s">
        <v>142</v>
      </c>
      <c r="C326">
        <v>0</v>
      </c>
    </row>
    <row r="327" spans="1:3" x14ac:dyDescent="0.25">
      <c r="A327" s="74"/>
      <c r="B327" t="s">
        <v>143</v>
      </c>
      <c r="C327">
        <v>0</v>
      </c>
    </row>
    <row r="328" spans="1:3" x14ac:dyDescent="0.25">
      <c r="A328" s="74"/>
      <c r="B328" t="s">
        <v>192</v>
      </c>
      <c r="C328">
        <v>0</v>
      </c>
    </row>
    <row r="329" spans="1:3" x14ac:dyDescent="0.25">
      <c r="A329" s="74"/>
      <c r="B329" t="s">
        <v>144</v>
      </c>
      <c r="C329">
        <v>0</v>
      </c>
    </row>
    <row r="330" spans="1:3" x14ac:dyDescent="0.25">
      <c r="A330" s="74"/>
      <c r="B330" t="s">
        <v>145</v>
      </c>
      <c r="C330">
        <v>0</v>
      </c>
    </row>
    <row r="331" spans="1:3" x14ac:dyDescent="0.25">
      <c r="A331" s="74"/>
      <c r="B331" t="s">
        <v>146</v>
      </c>
      <c r="C331">
        <v>0</v>
      </c>
    </row>
    <row r="332" spans="1:3" x14ac:dyDescent="0.25">
      <c r="A332" s="74"/>
      <c r="B332" t="s">
        <v>72</v>
      </c>
      <c r="C332">
        <v>2.1527777777777701E-2</v>
      </c>
    </row>
    <row r="333" spans="1:3" x14ac:dyDescent="0.25">
      <c r="A333" s="74"/>
      <c r="B333" t="s">
        <v>73</v>
      </c>
      <c r="C333">
        <v>0</v>
      </c>
    </row>
    <row r="334" spans="1:3" x14ac:dyDescent="0.25">
      <c r="A334" s="74"/>
      <c r="B334" t="s">
        <v>74</v>
      </c>
      <c r="C334">
        <v>0</v>
      </c>
    </row>
    <row r="335" spans="1:3" x14ac:dyDescent="0.25">
      <c r="A335" s="74"/>
      <c r="B335" t="s">
        <v>75</v>
      </c>
      <c r="C335">
        <v>0</v>
      </c>
    </row>
    <row r="336" spans="1:3" x14ac:dyDescent="0.25">
      <c r="A336" s="74"/>
      <c r="B336" t="s">
        <v>76</v>
      </c>
      <c r="C336">
        <v>2.0833333333333259E-2</v>
      </c>
    </row>
    <row r="337" spans="1:5" x14ac:dyDescent="0.25">
      <c r="A337" s="74"/>
      <c r="B337" t="s">
        <v>77</v>
      </c>
      <c r="C337">
        <v>0</v>
      </c>
    </row>
    <row r="338" spans="1:5" x14ac:dyDescent="0.25">
      <c r="A338" s="74"/>
      <c r="B338" t="s">
        <v>78</v>
      </c>
      <c r="C338">
        <v>0</v>
      </c>
    </row>
    <row r="339" spans="1:5" x14ac:dyDescent="0.25">
      <c r="A339" s="74"/>
      <c r="B339" t="s">
        <v>79</v>
      </c>
      <c r="C339">
        <v>0</v>
      </c>
    </row>
    <row r="340" spans="1:5" x14ac:dyDescent="0.25">
      <c r="A340" s="74"/>
      <c r="B340" t="s">
        <v>80</v>
      </c>
      <c r="C340">
        <v>0</v>
      </c>
    </row>
    <row r="341" spans="1:5" x14ac:dyDescent="0.25">
      <c r="A341" s="74"/>
      <c r="B341" t="s">
        <v>227</v>
      </c>
      <c r="C341">
        <v>0</v>
      </c>
    </row>
    <row r="342" spans="1:5" x14ac:dyDescent="0.25">
      <c r="A342" s="74"/>
      <c r="B342" t="str">
        <f>[9]TOTAL!D41</f>
        <v>Total this month</v>
      </c>
      <c r="C342">
        <f>[9]TOTAL!E41</f>
        <v>0.44861111111111091</v>
      </c>
    </row>
    <row r="343" spans="1:5" x14ac:dyDescent="0.25">
      <c r="A343" s="74" t="s">
        <v>39</v>
      </c>
      <c r="B343" t="s">
        <v>223</v>
      </c>
      <c r="C343">
        <v>0</v>
      </c>
      <c r="D343">
        <v>18.166666666666671</v>
      </c>
      <c r="E343">
        <v>0</v>
      </c>
    </row>
    <row r="344" spans="1:5" x14ac:dyDescent="0.25">
      <c r="A344" s="74"/>
      <c r="B344" t="s">
        <v>224</v>
      </c>
      <c r="C344">
        <v>0</v>
      </c>
    </row>
    <row r="345" spans="1:5" x14ac:dyDescent="0.25">
      <c r="A345" s="74"/>
      <c r="B345" t="s">
        <v>225</v>
      </c>
      <c r="C345">
        <v>0</v>
      </c>
    </row>
    <row r="346" spans="1:5" x14ac:dyDescent="0.25">
      <c r="A346" s="74"/>
      <c r="B346" t="s">
        <v>226</v>
      </c>
      <c r="C346">
        <v>0</v>
      </c>
    </row>
    <row r="347" spans="1:5" x14ac:dyDescent="0.25">
      <c r="A347" s="74"/>
      <c r="B347" t="s">
        <v>63</v>
      </c>
      <c r="C347">
        <v>2.430555555555558E-2</v>
      </c>
    </row>
    <row r="348" spans="1:5" x14ac:dyDescent="0.25">
      <c r="A348" s="74"/>
      <c r="B348" t="s">
        <v>64</v>
      </c>
      <c r="C348">
        <v>0</v>
      </c>
    </row>
    <row r="349" spans="1:5" x14ac:dyDescent="0.25">
      <c r="A349" s="74"/>
      <c r="B349" t="s">
        <v>65</v>
      </c>
      <c r="C349">
        <v>0</v>
      </c>
    </row>
    <row r="350" spans="1:5" x14ac:dyDescent="0.25">
      <c r="A350" s="74"/>
      <c r="B350" t="s">
        <v>66</v>
      </c>
      <c r="C350">
        <v>0</v>
      </c>
    </row>
    <row r="351" spans="1:5" x14ac:dyDescent="0.25">
      <c r="A351" s="74"/>
      <c r="B351" t="s">
        <v>67</v>
      </c>
      <c r="C351">
        <v>0</v>
      </c>
    </row>
    <row r="352" spans="1:5" x14ac:dyDescent="0.25">
      <c r="A352" s="74"/>
      <c r="B352" t="s">
        <v>68</v>
      </c>
      <c r="C352">
        <v>4.1666666666667074E-3</v>
      </c>
    </row>
    <row r="353" spans="1:3" x14ac:dyDescent="0.25">
      <c r="A353" s="74"/>
      <c r="B353" t="s">
        <v>69</v>
      </c>
      <c r="C353">
        <v>0</v>
      </c>
    </row>
    <row r="354" spans="1:3" x14ac:dyDescent="0.25">
      <c r="A354" s="74"/>
      <c r="B354" t="s">
        <v>131</v>
      </c>
      <c r="C354">
        <v>3.0555555555555447E-2</v>
      </c>
    </row>
    <row r="355" spans="1:3" x14ac:dyDescent="0.25">
      <c r="A355" s="74"/>
      <c r="B355" t="s">
        <v>132</v>
      </c>
      <c r="C355">
        <v>2.6388888888888906E-2</v>
      </c>
    </row>
    <row r="356" spans="1:3" x14ac:dyDescent="0.25">
      <c r="A356" s="74"/>
      <c r="B356" t="s">
        <v>133</v>
      </c>
      <c r="C356">
        <v>0</v>
      </c>
    </row>
    <row r="357" spans="1:3" x14ac:dyDescent="0.25">
      <c r="A357" s="74"/>
      <c r="B357" t="s">
        <v>134</v>
      </c>
      <c r="C357">
        <v>0</v>
      </c>
    </row>
    <row r="358" spans="1:3" x14ac:dyDescent="0.25">
      <c r="A358" s="74"/>
      <c r="B358" t="s">
        <v>191</v>
      </c>
      <c r="C358">
        <v>0</v>
      </c>
    </row>
    <row r="359" spans="1:3" x14ac:dyDescent="0.25">
      <c r="A359" s="74"/>
      <c r="B359" t="s">
        <v>135</v>
      </c>
      <c r="C359">
        <v>0</v>
      </c>
    </row>
    <row r="360" spans="1:3" x14ac:dyDescent="0.25">
      <c r="A360" s="74"/>
      <c r="B360" t="s">
        <v>136</v>
      </c>
      <c r="C360">
        <v>0</v>
      </c>
    </row>
    <row r="361" spans="1:3" x14ac:dyDescent="0.25">
      <c r="A361" s="74"/>
      <c r="B361" t="s">
        <v>137</v>
      </c>
      <c r="C361">
        <v>0</v>
      </c>
    </row>
    <row r="362" spans="1:3" x14ac:dyDescent="0.25">
      <c r="A362" s="74"/>
      <c r="B362" t="s">
        <v>138</v>
      </c>
      <c r="C362">
        <v>0</v>
      </c>
    </row>
    <row r="363" spans="1:3" x14ac:dyDescent="0.25">
      <c r="A363" s="74"/>
      <c r="B363" t="s">
        <v>139</v>
      </c>
      <c r="C363">
        <v>0</v>
      </c>
    </row>
    <row r="364" spans="1:3" x14ac:dyDescent="0.25">
      <c r="A364" s="74"/>
      <c r="B364" t="s">
        <v>140</v>
      </c>
      <c r="C364">
        <v>0</v>
      </c>
    </row>
    <row r="365" spans="1:3" x14ac:dyDescent="0.25">
      <c r="A365" s="74"/>
      <c r="B365" t="s">
        <v>141</v>
      </c>
      <c r="C365">
        <v>0</v>
      </c>
    </row>
    <row r="366" spans="1:3" x14ac:dyDescent="0.25">
      <c r="A366" s="74"/>
      <c r="B366" t="s">
        <v>142</v>
      </c>
      <c r="C366">
        <v>0</v>
      </c>
    </row>
    <row r="367" spans="1:3" x14ac:dyDescent="0.25">
      <c r="A367" s="74"/>
      <c r="B367" t="s">
        <v>143</v>
      </c>
      <c r="C367">
        <v>0.62638888888888899</v>
      </c>
    </row>
    <row r="368" spans="1:3" x14ac:dyDescent="0.25">
      <c r="A368" s="74"/>
      <c r="B368" t="s">
        <v>192</v>
      </c>
      <c r="C368">
        <v>0</v>
      </c>
    </row>
    <row r="369" spans="1:5" x14ac:dyDescent="0.25">
      <c r="A369" s="74"/>
      <c r="B369" t="s">
        <v>144</v>
      </c>
      <c r="C369">
        <v>0</v>
      </c>
    </row>
    <row r="370" spans="1:5" x14ac:dyDescent="0.25">
      <c r="A370" s="74"/>
      <c r="B370" t="s">
        <v>145</v>
      </c>
      <c r="C370">
        <v>0</v>
      </c>
    </row>
    <row r="371" spans="1:5" x14ac:dyDescent="0.25">
      <c r="A371" s="74"/>
      <c r="B371" t="s">
        <v>146</v>
      </c>
      <c r="C371">
        <v>0</v>
      </c>
    </row>
    <row r="372" spans="1:5" x14ac:dyDescent="0.25">
      <c r="A372" s="74"/>
      <c r="B372" t="s">
        <v>72</v>
      </c>
      <c r="C372">
        <v>2.430555555555558E-2</v>
      </c>
    </row>
    <row r="373" spans="1:5" x14ac:dyDescent="0.25">
      <c r="A373" s="74"/>
      <c r="B373" t="s">
        <v>73</v>
      </c>
      <c r="C373">
        <v>0</v>
      </c>
    </row>
    <row r="374" spans="1:5" x14ac:dyDescent="0.25">
      <c r="A374" s="74"/>
      <c r="B374" t="s">
        <v>74</v>
      </c>
      <c r="C374">
        <v>0</v>
      </c>
    </row>
    <row r="375" spans="1:5" x14ac:dyDescent="0.25">
      <c r="A375" s="74"/>
      <c r="B375" t="s">
        <v>75</v>
      </c>
      <c r="C375">
        <v>0</v>
      </c>
    </row>
    <row r="376" spans="1:5" x14ac:dyDescent="0.25">
      <c r="A376" s="74"/>
      <c r="B376" t="s">
        <v>76</v>
      </c>
      <c r="C376">
        <v>0</v>
      </c>
    </row>
    <row r="377" spans="1:5" x14ac:dyDescent="0.25">
      <c r="A377" s="74"/>
      <c r="B377" t="s">
        <v>77</v>
      </c>
      <c r="C377">
        <v>2.083333333333337E-2</v>
      </c>
    </row>
    <row r="378" spans="1:5" x14ac:dyDescent="0.25">
      <c r="A378" s="74"/>
      <c r="B378" t="s">
        <v>78</v>
      </c>
      <c r="C378">
        <v>0</v>
      </c>
    </row>
    <row r="379" spans="1:5" x14ac:dyDescent="0.25">
      <c r="A379" s="74"/>
      <c r="B379" t="s">
        <v>79</v>
      </c>
      <c r="C379">
        <v>0</v>
      </c>
    </row>
    <row r="380" spans="1:5" x14ac:dyDescent="0.25">
      <c r="A380" s="74"/>
      <c r="B380" t="s">
        <v>80</v>
      </c>
      <c r="C380">
        <v>0</v>
      </c>
    </row>
    <row r="381" spans="1:5" x14ac:dyDescent="0.25">
      <c r="A381" s="74"/>
      <c r="B381" t="s">
        <v>227</v>
      </c>
      <c r="C381">
        <v>0</v>
      </c>
    </row>
    <row r="382" spans="1:5" x14ac:dyDescent="0.25">
      <c r="A382" s="74"/>
      <c r="B382" t="str">
        <f>[10]TOTAL!D41</f>
        <v>Total this month</v>
      </c>
      <c r="C382">
        <f>[10]TOTAL!E41</f>
        <v>0.75694444444444453</v>
      </c>
    </row>
    <row r="383" spans="1:5" x14ac:dyDescent="0.25">
      <c r="A383" s="74" t="s">
        <v>41</v>
      </c>
      <c r="B383" t="s">
        <v>223</v>
      </c>
      <c r="C383">
        <v>0</v>
      </c>
      <c r="D383">
        <v>18.983333333333334</v>
      </c>
      <c r="E383">
        <v>0</v>
      </c>
    </row>
    <row r="384" spans="1:5" x14ac:dyDescent="0.25">
      <c r="A384" s="74"/>
      <c r="B384" t="s">
        <v>224</v>
      </c>
      <c r="C384">
        <v>0</v>
      </c>
    </row>
    <row r="385" spans="1:3" x14ac:dyDescent="0.25">
      <c r="A385" s="74"/>
      <c r="B385" t="s">
        <v>225</v>
      </c>
      <c r="C385">
        <v>0</v>
      </c>
    </row>
    <row r="386" spans="1:3" x14ac:dyDescent="0.25">
      <c r="A386" s="74"/>
      <c r="B386" t="s">
        <v>226</v>
      </c>
      <c r="C386">
        <v>0</v>
      </c>
    </row>
    <row r="387" spans="1:3" x14ac:dyDescent="0.25">
      <c r="A387" s="74"/>
      <c r="B387" t="s">
        <v>63</v>
      </c>
      <c r="C387">
        <v>2.2222222222222254E-2</v>
      </c>
    </row>
    <row r="388" spans="1:3" x14ac:dyDescent="0.25">
      <c r="A388" s="74"/>
      <c r="B388" t="s">
        <v>64</v>
      </c>
      <c r="C388">
        <v>0</v>
      </c>
    </row>
    <row r="389" spans="1:3" x14ac:dyDescent="0.25">
      <c r="A389" s="74"/>
      <c r="B389" t="s">
        <v>65</v>
      </c>
      <c r="C389">
        <v>0</v>
      </c>
    </row>
    <row r="390" spans="1:3" x14ac:dyDescent="0.25">
      <c r="A390" s="74"/>
      <c r="B390" t="s">
        <v>66</v>
      </c>
      <c r="C390">
        <v>0</v>
      </c>
    </row>
    <row r="391" spans="1:3" x14ac:dyDescent="0.25">
      <c r="A391" s="74"/>
      <c r="B391" t="s">
        <v>67</v>
      </c>
      <c r="C391">
        <v>0</v>
      </c>
    </row>
    <row r="392" spans="1:3" x14ac:dyDescent="0.25">
      <c r="A392" s="74"/>
      <c r="B392" t="s">
        <v>68</v>
      </c>
      <c r="C392">
        <v>1.6666666666666663E-2</v>
      </c>
    </row>
    <row r="393" spans="1:3" x14ac:dyDescent="0.25">
      <c r="A393" s="74"/>
      <c r="B393" t="s">
        <v>69</v>
      </c>
      <c r="C393">
        <v>0</v>
      </c>
    </row>
    <row r="394" spans="1:3" x14ac:dyDescent="0.25">
      <c r="A394" s="74"/>
      <c r="B394" t="s">
        <v>131</v>
      </c>
      <c r="C394">
        <v>4.9305555555555602E-2</v>
      </c>
    </row>
    <row r="395" spans="1:3" x14ac:dyDescent="0.25">
      <c r="A395" s="74"/>
      <c r="B395" t="s">
        <v>132</v>
      </c>
      <c r="C395">
        <v>0</v>
      </c>
    </row>
    <row r="396" spans="1:3" x14ac:dyDescent="0.25">
      <c r="A396" s="74"/>
      <c r="B396" t="s">
        <v>133</v>
      </c>
      <c r="C396">
        <v>0</v>
      </c>
    </row>
    <row r="397" spans="1:3" x14ac:dyDescent="0.25">
      <c r="A397" s="74"/>
      <c r="B397" t="s">
        <v>134</v>
      </c>
      <c r="C397">
        <v>0</v>
      </c>
    </row>
    <row r="398" spans="1:3" x14ac:dyDescent="0.25">
      <c r="A398" s="74"/>
      <c r="B398" t="s">
        <v>191</v>
      </c>
      <c r="C398">
        <v>0</v>
      </c>
    </row>
    <row r="399" spans="1:3" x14ac:dyDescent="0.25">
      <c r="A399" s="74"/>
      <c r="B399" t="s">
        <v>135</v>
      </c>
      <c r="C399">
        <v>0</v>
      </c>
    </row>
    <row r="400" spans="1:3" x14ac:dyDescent="0.25">
      <c r="A400" s="74"/>
      <c r="B400" t="s">
        <v>136</v>
      </c>
      <c r="C400">
        <v>0</v>
      </c>
    </row>
    <row r="401" spans="1:3" x14ac:dyDescent="0.25">
      <c r="A401" s="74"/>
      <c r="B401" t="s">
        <v>137</v>
      </c>
      <c r="C401">
        <v>0</v>
      </c>
    </row>
    <row r="402" spans="1:3" x14ac:dyDescent="0.25">
      <c r="A402" s="74"/>
      <c r="B402" t="s">
        <v>138</v>
      </c>
      <c r="C402">
        <v>0</v>
      </c>
    </row>
    <row r="403" spans="1:3" x14ac:dyDescent="0.25">
      <c r="A403" s="74"/>
      <c r="B403" t="s">
        <v>139</v>
      </c>
      <c r="C403">
        <v>0</v>
      </c>
    </row>
    <row r="404" spans="1:3" x14ac:dyDescent="0.25">
      <c r="A404" s="74"/>
      <c r="B404" t="s">
        <v>140</v>
      </c>
      <c r="C404">
        <v>0</v>
      </c>
    </row>
    <row r="405" spans="1:3" x14ac:dyDescent="0.25">
      <c r="A405" s="74"/>
      <c r="B405" t="s">
        <v>141</v>
      </c>
      <c r="C405">
        <v>0</v>
      </c>
    </row>
    <row r="406" spans="1:3" x14ac:dyDescent="0.25">
      <c r="A406" s="74"/>
      <c r="B406" t="s">
        <v>142</v>
      </c>
      <c r="C406">
        <v>0</v>
      </c>
    </row>
    <row r="407" spans="1:3" x14ac:dyDescent="0.25">
      <c r="A407" s="74"/>
      <c r="B407" t="s">
        <v>143</v>
      </c>
      <c r="C407">
        <v>0.6513888888888888</v>
      </c>
    </row>
    <row r="408" spans="1:3" x14ac:dyDescent="0.25">
      <c r="A408" s="74"/>
      <c r="B408" t="s">
        <v>192</v>
      </c>
      <c r="C408">
        <v>0</v>
      </c>
    </row>
    <row r="409" spans="1:3" x14ac:dyDescent="0.25">
      <c r="A409" s="74"/>
      <c r="B409" t="s">
        <v>144</v>
      </c>
      <c r="C409">
        <v>0</v>
      </c>
    </row>
    <row r="410" spans="1:3" x14ac:dyDescent="0.25">
      <c r="A410" s="74"/>
      <c r="B410" t="s">
        <v>145</v>
      </c>
      <c r="C410">
        <v>0</v>
      </c>
    </row>
    <row r="411" spans="1:3" x14ac:dyDescent="0.25">
      <c r="A411" s="74"/>
      <c r="B411" t="s">
        <v>146</v>
      </c>
      <c r="C411">
        <v>0</v>
      </c>
    </row>
    <row r="412" spans="1:3" x14ac:dyDescent="0.25">
      <c r="A412" s="74"/>
      <c r="B412" t="s">
        <v>72</v>
      </c>
      <c r="C412">
        <v>0</v>
      </c>
    </row>
    <row r="413" spans="1:3" x14ac:dyDescent="0.25">
      <c r="A413" s="74"/>
      <c r="B413" t="s">
        <v>73</v>
      </c>
      <c r="C413">
        <v>0</v>
      </c>
    </row>
    <row r="414" spans="1:3" x14ac:dyDescent="0.25">
      <c r="A414" s="74"/>
      <c r="B414" t="s">
        <v>74</v>
      </c>
      <c r="C414">
        <v>0</v>
      </c>
    </row>
    <row r="415" spans="1:3" x14ac:dyDescent="0.25">
      <c r="A415" s="74"/>
      <c r="B415" t="s">
        <v>75</v>
      </c>
      <c r="C415">
        <v>0</v>
      </c>
    </row>
    <row r="416" spans="1:3" x14ac:dyDescent="0.25">
      <c r="A416" s="74"/>
      <c r="B416" t="s">
        <v>76</v>
      </c>
      <c r="C416">
        <v>0</v>
      </c>
    </row>
    <row r="417" spans="1:5" x14ac:dyDescent="0.25">
      <c r="A417" s="74"/>
      <c r="B417" t="s">
        <v>77</v>
      </c>
      <c r="C417">
        <v>0</v>
      </c>
    </row>
    <row r="418" spans="1:5" x14ac:dyDescent="0.25">
      <c r="A418" s="74"/>
      <c r="B418" t="s">
        <v>78</v>
      </c>
      <c r="C418">
        <v>0</v>
      </c>
    </row>
    <row r="419" spans="1:5" x14ac:dyDescent="0.25">
      <c r="A419" s="74"/>
      <c r="B419" t="s">
        <v>79</v>
      </c>
      <c r="C419">
        <v>0</v>
      </c>
    </row>
    <row r="420" spans="1:5" x14ac:dyDescent="0.25">
      <c r="A420" s="74"/>
      <c r="B420" t="s">
        <v>80</v>
      </c>
      <c r="C420">
        <v>5.1388888888888817E-2</v>
      </c>
    </row>
    <row r="421" spans="1:5" x14ac:dyDescent="0.25">
      <c r="A421" s="74"/>
      <c r="B421" t="s">
        <v>227</v>
      </c>
      <c r="C421">
        <v>0</v>
      </c>
    </row>
    <row r="422" spans="1:5" x14ac:dyDescent="0.25">
      <c r="A422" s="74"/>
      <c r="B422" t="str">
        <f>[11]TOTAL!D41</f>
        <v>Total this month</v>
      </c>
      <c r="C422">
        <f>[11]TOTAL!E41</f>
        <v>0.79097222222222208</v>
      </c>
    </row>
    <row r="423" spans="1:5" x14ac:dyDescent="0.25">
      <c r="A423" s="74" t="s">
        <v>43</v>
      </c>
      <c r="B423" t="s">
        <v>223</v>
      </c>
      <c r="C423">
        <v>0</v>
      </c>
      <c r="D423">
        <v>15.999999999999998</v>
      </c>
      <c r="E423">
        <v>0</v>
      </c>
    </row>
    <row r="424" spans="1:5" x14ac:dyDescent="0.25">
      <c r="A424" s="74"/>
      <c r="B424" t="s">
        <v>224</v>
      </c>
      <c r="C424">
        <v>0</v>
      </c>
    </row>
    <row r="425" spans="1:5" x14ac:dyDescent="0.25">
      <c r="A425" s="74"/>
      <c r="B425" t="s">
        <v>225</v>
      </c>
      <c r="C425">
        <v>0</v>
      </c>
    </row>
    <row r="426" spans="1:5" x14ac:dyDescent="0.25">
      <c r="A426" s="74"/>
      <c r="B426" t="s">
        <v>226</v>
      </c>
      <c r="C426">
        <v>0</v>
      </c>
    </row>
    <row r="427" spans="1:5" x14ac:dyDescent="0.25">
      <c r="A427" s="74"/>
      <c r="B427" t="s">
        <v>63</v>
      </c>
      <c r="C427">
        <v>0</v>
      </c>
    </row>
    <row r="428" spans="1:5" x14ac:dyDescent="0.25">
      <c r="A428" s="74"/>
      <c r="B428" t="s">
        <v>64</v>
      </c>
      <c r="C428">
        <v>0</v>
      </c>
    </row>
    <row r="429" spans="1:5" x14ac:dyDescent="0.25">
      <c r="A429" s="74"/>
      <c r="B429" t="s">
        <v>65</v>
      </c>
      <c r="C429">
        <v>0</v>
      </c>
    </row>
    <row r="430" spans="1:5" x14ac:dyDescent="0.25">
      <c r="A430" s="74"/>
      <c r="B430" t="s">
        <v>66</v>
      </c>
      <c r="C430">
        <v>0</v>
      </c>
    </row>
    <row r="431" spans="1:5" x14ac:dyDescent="0.25">
      <c r="A431" s="74"/>
      <c r="B431" t="s">
        <v>67</v>
      </c>
      <c r="C431">
        <v>0</v>
      </c>
    </row>
    <row r="432" spans="1:5" x14ac:dyDescent="0.25">
      <c r="A432" s="74"/>
      <c r="B432" t="s">
        <v>68</v>
      </c>
      <c r="C432">
        <v>5.5555555555555358E-3</v>
      </c>
    </row>
    <row r="433" spans="1:3" x14ac:dyDescent="0.25">
      <c r="A433" s="74"/>
      <c r="B433" t="s">
        <v>69</v>
      </c>
      <c r="C433">
        <v>0</v>
      </c>
    </row>
    <row r="434" spans="1:3" x14ac:dyDescent="0.25">
      <c r="A434" s="74"/>
      <c r="B434" t="s">
        <v>131</v>
      </c>
      <c r="C434">
        <v>0</v>
      </c>
    </row>
    <row r="435" spans="1:3" x14ac:dyDescent="0.25">
      <c r="A435" s="74"/>
      <c r="B435" t="s">
        <v>132</v>
      </c>
      <c r="C435">
        <v>0</v>
      </c>
    </row>
    <row r="436" spans="1:3" x14ac:dyDescent="0.25">
      <c r="A436" s="74"/>
      <c r="B436" t="s">
        <v>133</v>
      </c>
      <c r="C436">
        <v>0</v>
      </c>
    </row>
    <row r="437" spans="1:3" x14ac:dyDescent="0.25">
      <c r="A437" s="74"/>
      <c r="B437" t="s">
        <v>134</v>
      </c>
      <c r="C437">
        <v>0</v>
      </c>
    </row>
    <row r="438" spans="1:3" x14ac:dyDescent="0.25">
      <c r="A438" s="74"/>
      <c r="B438" t="s">
        <v>191</v>
      </c>
      <c r="C438">
        <v>0</v>
      </c>
    </row>
    <row r="439" spans="1:3" x14ac:dyDescent="0.25">
      <c r="A439" s="74"/>
      <c r="B439" t="s">
        <v>135</v>
      </c>
      <c r="C439">
        <v>0</v>
      </c>
    </row>
    <row r="440" spans="1:3" x14ac:dyDescent="0.25">
      <c r="A440" s="74"/>
      <c r="B440" t="s">
        <v>136</v>
      </c>
      <c r="C440">
        <v>0</v>
      </c>
    </row>
    <row r="441" spans="1:3" x14ac:dyDescent="0.25">
      <c r="A441" s="74"/>
      <c r="B441" t="s">
        <v>137</v>
      </c>
      <c r="C441">
        <v>0</v>
      </c>
    </row>
    <row r="442" spans="1:3" x14ac:dyDescent="0.25">
      <c r="A442" s="74"/>
      <c r="B442" t="s">
        <v>138</v>
      </c>
      <c r="C442">
        <v>0</v>
      </c>
    </row>
    <row r="443" spans="1:3" x14ac:dyDescent="0.25">
      <c r="A443" s="74"/>
      <c r="B443" t="s">
        <v>139</v>
      </c>
      <c r="C443">
        <v>0</v>
      </c>
    </row>
    <row r="444" spans="1:3" x14ac:dyDescent="0.25">
      <c r="A444" s="74"/>
      <c r="B444" t="s">
        <v>140</v>
      </c>
      <c r="C444">
        <v>0</v>
      </c>
    </row>
    <row r="445" spans="1:3" x14ac:dyDescent="0.25">
      <c r="A445" s="74"/>
      <c r="B445" t="s">
        <v>141</v>
      </c>
      <c r="C445">
        <v>0</v>
      </c>
    </row>
    <row r="446" spans="1:3" x14ac:dyDescent="0.25">
      <c r="A446" s="74"/>
      <c r="B446" t="s">
        <v>142</v>
      </c>
      <c r="C446">
        <v>0</v>
      </c>
    </row>
    <row r="447" spans="1:3" x14ac:dyDescent="0.25">
      <c r="A447" s="74"/>
      <c r="B447" t="s">
        <v>143</v>
      </c>
      <c r="C447">
        <v>0</v>
      </c>
    </row>
    <row r="448" spans="1:3" x14ac:dyDescent="0.25">
      <c r="A448" s="74"/>
      <c r="B448" t="s">
        <v>192</v>
      </c>
      <c r="C448">
        <v>0</v>
      </c>
    </row>
    <row r="449" spans="1:5" x14ac:dyDescent="0.25">
      <c r="A449" s="74"/>
      <c r="B449" t="s">
        <v>144</v>
      </c>
      <c r="C449">
        <v>0</v>
      </c>
    </row>
    <row r="450" spans="1:5" x14ac:dyDescent="0.25">
      <c r="A450" s="74"/>
      <c r="B450" t="s">
        <v>145</v>
      </c>
      <c r="C450">
        <v>0</v>
      </c>
    </row>
    <row r="451" spans="1:5" x14ac:dyDescent="0.25">
      <c r="A451" s="74"/>
      <c r="B451" t="s">
        <v>146</v>
      </c>
      <c r="C451">
        <v>0</v>
      </c>
    </row>
    <row r="452" spans="1:5" x14ac:dyDescent="0.25">
      <c r="A452" s="74"/>
      <c r="B452" t="s">
        <v>72</v>
      </c>
      <c r="C452">
        <v>0</v>
      </c>
    </row>
    <row r="453" spans="1:5" x14ac:dyDescent="0.25">
      <c r="A453" s="74"/>
      <c r="B453" t="s">
        <v>73</v>
      </c>
      <c r="C453">
        <v>0</v>
      </c>
    </row>
    <row r="454" spans="1:5" x14ac:dyDescent="0.25">
      <c r="A454" s="74"/>
      <c r="B454" t="s">
        <v>74</v>
      </c>
      <c r="C454">
        <v>0</v>
      </c>
    </row>
    <row r="455" spans="1:5" x14ac:dyDescent="0.25">
      <c r="A455" s="74"/>
      <c r="B455" t="s">
        <v>75</v>
      </c>
      <c r="C455">
        <v>0</v>
      </c>
    </row>
    <row r="456" spans="1:5" x14ac:dyDescent="0.25">
      <c r="A456" s="74"/>
      <c r="B456" t="s">
        <v>76</v>
      </c>
      <c r="C456">
        <v>0.66111111111111098</v>
      </c>
    </row>
    <row r="457" spans="1:5" x14ac:dyDescent="0.25">
      <c r="A457" s="74"/>
      <c r="B457" t="s">
        <v>77</v>
      </c>
      <c r="C457">
        <v>0</v>
      </c>
    </row>
    <row r="458" spans="1:5" x14ac:dyDescent="0.25">
      <c r="A458" s="74"/>
      <c r="B458" t="s">
        <v>78</v>
      </c>
      <c r="C458">
        <v>0</v>
      </c>
    </row>
    <row r="459" spans="1:5" x14ac:dyDescent="0.25">
      <c r="A459" s="74"/>
      <c r="B459" t="s">
        <v>79</v>
      </c>
      <c r="C459">
        <v>0</v>
      </c>
    </row>
    <row r="460" spans="1:5" x14ac:dyDescent="0.25">
      <c r="A460" s="74"/>
      <c r="B460" t="s">
        <v>80</v>
      </c>
      <c r="C460">
        <v>0</v>
      </c>
    </row>
    <row r="461" spans="1:5" x14ac:dyDescent="0.25">
      <c r="A461" s="74"/>
      <c r="B461" t="s">
        <v>227</v>
      </c>
      <c r="C461">
        <v>0</v>
      </c>
    </row>
    <row r="462" spans="1:5" x14ac:dyDescent="0.25">
      <c r="A462" s="74"/>
      <c r="B462" t="str">
        <f>[12]TOTAL!D41</f>
        <v>Total this month</v>
      </c>
      <c r="C462">
        <f>[12]TOTAL!E41</f>
        <v>0.66666666666666652</v>
      </c>
    </row>
    <row r="463" spans="1:5" x14ac:dyDescent="0.25">
      <c r="A463" s="74" t="s">
        <v>45</v>
      </c>
      <c r="B463" t="s">
        <v>223</v>
      </c>
      <c r="C463">
        <v>0</v>
      </c>
      <c r="D463">
        <v>4.2499999999999982</v>
      </c>
      <c r="E463">
        <v>0</v>
      </c>
    </row>
    <row r="464" spans="1:5" x14ac:dyDescent="0.25">
      <c r="A464" s="74"/>
      <c r="B464" t="s">
        <v>224</v>
      </c>
      <c r="C464">
        <v>0</v>
      </c>
    </row>
    <row r="465" spans="1:3" x14ac:dyDescent="0.25">
      <c r="A465" s="74"/>
      <c r="B465" t="s">
        <v>225</v>
      </c>
      <c r="C465">
        <v>0</v>
      </c>
    </row>
    <row r="466" spans="1:3" x14ac:dyDescent="0.25">
      <c r="A466" s="74"/>
      <c r="B466" t="s">
        <v>226</v>
      </c>
      <c r="C466">
        <v>0</v>
      </c>
    </row>
    <row r="467" spans="1:3" x14ac:dyDescent="0.25">
      <c r="A467" s="74"/>
      <c r="B467" t="s">
        <v>63</v>
      </c>
      <c r="C467">
        <v>0</v>
      </c>
    </row>
    <row r="468" spans="1:3" x14ac:dyDescent="0.25">
      <c r="A468" s="74"/>
      <c r="B468" t="s">
        <v>64</v>
      </c>
      <c r="C468">
        <v>0</v>
      </c>
    </row>
    <row r="469" spans="1:3" x14ac:dyDescent="0.25">
      <c r="A469" s="74"/>
      <c r="B469" t="s">
        <v>65</v>
      </c>
      <c r="C469">
        <v>0</v>
      </c>
    </row>
    <row r="470" spans="1:3" x14ac:dyDescent="0.25">
      <c r="A470" s="74"/>
      <c r="B470" t="s">
        <v>66</v>
      </c>
      <c r="C470">
        <v>0</v>
      </c>
    </row>
    <row r="471" spans="1:3" x14ac:dyDescent="0.25">
      <c r="A471" s="74"/>
      <c r="B471" t="s">
        <v>67</v>
      </c>
      <c r="C471">
        <v>0</v>
      </c>
    </row>
    <row r="472" spans="1:3" x14ac:dyDescent="0.25">
      <c r="A472" s="74"/>
      <c r="B472" t="s">
        <v>68</v>
      </c>
      <c r="C472">
        <v>1.388888888888884E-2</v>
      </c>
    </row>
    <row r="473" spans="1:3" x14ac:dyDescent="0.25">
      <c r="A473" s="74"/>
      <c r="B473" t="s">
        <v>69</v>
      </c>
      <c r="C473">
        <v>0</v>
      </c>
    </row>
    <row r="474" spans="1:3" x14ac:dyDescent="0.25">
      <c r="A474" s="74"/>
      <c r="B474" t="s">
        <v>131</v>
      </c>
      <c r="C474">
        <v>0</v>
      </c>
    </row>
    <row r="475" spans="1:3" x14ac:dyDescent="0.25">
      <c r="A475" s="74"/>
      <c r="B475" t="s">
        <v>132</v>
      </c>
      <c r="C475">
        <v>0</v>
      </c>
    </row>
    <row r="476" spans="1:3" x14ac:dyDescent="0.25">
      <c r="A476" s="74"/>
      <c r="B476" t="s">
        <v>133</v>
      </c>
      <c r="C476">
        <v>0</v>
      </c>
    </row>
    <row r="477" spans="1:3" x14ac:dyDescent="0.25">
      <c r="A477" s="74"/>
      <c r="B477" t="s">
        <v>134</v>
      </c>
      <c r="C477">
        <v>0</v>
      </c>
    </row>
    <row r="478" spans="1:3" x14ac:dyDescent="0.25">
      <c r="A478" s="74"/>
      <c r="B478" t="s">
        <v>191</v>
      </c>
      <c r="C478">
        <v>0</v>
      </c>
    </row>
    <row r="479" spans="1:3" x14ac:dyDescent="0.25">
      <c r="A479" s="74"/>
      <c r="B479" t="s">
        <v>135</v>
      </c>
      <c r="C479">
        <v>0</v>
      </c>
    </row>
    <row r="480" spans="1:3" x14ac:dyDescent="0.25">
      <c r="A480" s="74"/>
      <c r="B480" t="s">
        <v>136</v>
      </c>
      <c r="C480">
        <v>0</v>
      </c>
    </row>
    <row r="481" spans="1:3" x14ac:dyDescent="0.25">
      <c r="A481" s="74"/>
      <c r="B481" t="s">
        <v>137</v>
      </c>
      <c r="C481">
        <v>0</v>
      </c>
    </row>
    <row r="482" spans="1:3" x14ac:dyDescent="0.25">
      <c r="A482" s="74"/>
      <c r="B482" t="s">
        <v>138</v>
      </c>
      <c r="C482">
        <v>0</v>
      </c>
    </row>
    <row r="483" spans="1:3" x14ac:dyDescent="0.25">
      <c r="A483" s="74"/>
      <c r="B483" t="s">
        <v>139</v>
      </c>
      <c r="C483">
        <v>0</v>
      </c>
    </row>
    <row r="484" spans="1:3" x14ac:dyDescent="0.25">
      <c r="A484" s="74"/>
      <c r="B484" t="s">
        <v>140</v>
      </c>
      <c r="C484">
        <v>0</v>
      </c>
    </row>
    <row r="485" spans="1:3" x14ac:dyDescent="0.25">
      <c r="A485" s="74"/>
      <c r="B485" t="s">
        <v>141</v>
      </c>
      <c r="C485">
        <v>0</v>
      </c>
    </row>
    <row r="486" spans="1:3" x14ac:dyDescent="0.25">
      <c r="A486" s="74"/>
      <c r="B486" t="s">
        <v>142</v>
      </c>
      <c r="C486">
        <v>0</v>
      </c>
    </row>
    <row r="487" spans="1:3" x14ac:dyDescent="0.25">
      <c r="A487" s="74"/>
      <c r="B487" t="s">
        <v>143</v>
      </c>
      <c r="C487">
        <v>0</v>
      </c>
    </row>
    <row r="488" spans="1:3" x14ac:dyDescent="0.25">
      <c r="A488" s="74"/>
      <c r="B488" t="s">
        <v>192</v>
      </c>
      <c r="C488">
        <v>0</v>
      </c>
    </row>
    <row r="489" spans="1:3" x14ac:dyDescent="0.25">
      <c r="A489" s="74"/>
      <c r="B489" t="s">
        <v>144</v>
      </c>
      <c r="C489">
        <v>0</v>
      </c>
    </row>
    <row r="490" spans="1:3" x14ac:dyDescent="0.25">
      <c r="A490" s="74"/>
      <c r="B490" t="s">
        <v>145</v>
      </c>
      <c r="C490">
        <v>0</v>
      </c>
    </row>
    <row r="491" spans="1:3" x14ac:dyDescent="0.25">
      <c r="A491" s="74"/>
      <c r="B491" t="s">
        <v>146</v>
      </c>
      <c r="C491">
        <v>0</v>
      </c>
    </row>
    <row r="492" spans="1:3" x14ac:dyDescent="0.25">
      <c r="A492" s="74"/>
      <c r="B492" t="s">
        <v>72</v>
      </c>
      <c r="C492">
        <v>6.9444444444445308E-3</v>
      </c>
    </row>
    <row r="493" spans="1:3" x14ac:dyDescent="0.25">
      <c r="A493" s="74"/>
      <c r="B493" t="s">
        <v>73</v>
      </c>
      <c r="C493">
        <v>0</v>
      </c>
    </row>
    <row r="494" spans="1:3" x14ac:dyDescent="0.25">
      <c r="A494" s="74"/>
      <c r="B494" t="s">
        <v>74</v>
      </c>
      <c r="C494">
        <v>0</v>
      </c>
    </row>
    <row r="495" spans="1:3" x14ac:dyDescent="0.25">
      <c r="A495" s="74"/>
      <c r="B495" t="s">
        <v>75</v>
      </c>
      <c r="C495">
        <v>0</v>
      </c>
    </row>
    <row r="496" spans="1:3" x14ac:dyDescent="0.25">
      <c r="A496" s="74"/>
      <c r="B496" t="s">
        <v>76</v>
      </c>
      <c r="C496">
        <v>0</v>
      </c>
    </row>
    <row r="497" spans="1:5" x14ac:dyDescent="0.25">
      <c r="A497" s="74"/>
      <c r="B497" t="s">
        <v>77</v>
      </c>
      <c r="C497">
        <v>0</v>
      </c>
    </row>
    <row r="498" spans="1:5" x14ac:dyDescent="0.25">
      <c r="A498" s="74"/>
      <c r="B498" t="s">
        <v>78</v>
      </c>
      <c r="C498">
        <v>0.13541666666666652</v>
      </c>
    </row>
    <row r="499" spans="1:5" x14ac:dyDescent="0.25">
      <c r="A499" s="74"/>
      <c r="B499" t="s">
        <v>79</v>
      </c>
      <c r="C499">
        <v>0</v>
      </c>
    </row>
    <row r="500" spans="1:5" x14ac:dyDescent="0.25">
      <c r="A500" s="74"/>
      <c r="B500" t="s">
        <v>80</v>
      </c>
      <c r="C500">
        <v>2.083333333333337E-2</v>
      </c>
    </row>
    <row r="501" spans="1:5" x14ac:dyDescent="0.25">
      <c r="A501" s="74"/>
      <c r="B501" t="s">
        <v>227</v>
      </c>
      <c r="C501">
        <v>0</v>
      </c>
    </row>
    <row r="502" spans="1:5" x14ac:dyDescent="0.25">
      <c r="A502" s="74"/>
      <c r="B502" t="str">
        <f>[13]TOTAL!D41</f>
        <v>Total this month</v>
      </c>
      <c r="C502">
        <f>[13]TOTAL!E41</f>
        <v>0.17708333333333326</v>
      </c>
    </row>
    <row r="503" spans="1:5" x14ac:dyDescent="0.25">
      <c r="A503" t="s">
        <v>129</v>
      </c>
      <c r="B503" t="s">
        <v>193</v>
      </c>
      <c r="D503">
        <v>0</v>
      </c>
      <c r="E503">
        <v>0</v>
      </c>
    </row>
    <row r="505" spans="1:5" x14ac:dyDescent="0.25">
      <c r="A505" t="s">
        <v>48</v>
      </c>
      <c r="B505" t="s">
        <v>193</v>
      </c>
      <c r="D505">
        <v>0</v>
      </c>
      <c r="E505">
        <v>0</v>
      </c>
    </row>
    <row r="507" spans="1:5" x14ac:dyDescent="0.25">
      <c r="A507" t="s">
        <v>49</v>
      </c>
      <c r="B507" t="s">
        <v>193</v>
      </c>
      <c r="D507">
        <v>0</v>
      </c>
      <c r="E507">
        <v>0</v>
      </c>
    </row>
    <row r="509" spans="1:5" x14ac:dyDescent="0.25">
      <c r="A509" t="s">
        <v>50</v>
      </c>
      <c r="B509" t="s">
        <v>193</v>
      </c>
      <c r="D509">
        <v>0</v>
      </c>
      <c r="E509">
        <v>0</v>
      </c>
    </row>
    <row r="511" spans="1:5" x14ac:dyDescent="0.25">
      <c r="A511" t="s">
        <v>53</v>
      </c>
      <c r="B511" t="s">
        <v>193</v>
      </c>
      <c r="D511">
        <v>0</v>
      </c>
      <c r="E511">
        <v>0</v>
      </c>
    </row>
    <row r="513" spans="1:5" x14ac:dyDescent="0.25">
      <c r="A513" t="s">
        <v>55</v>
      </c>
      <c r="B513" t="s">
        <v>193</v>
      </c>
      <c r="D513">
        <v>0</v>
      </c>
      <c r="E513">
        <v>0</v>
      </c>
    </row>
    <row r="515" spans="1:5" x14ac:dyDescent="0.25">
      <c r="A515" t="s">
        <v>56</v>
      </c>
      <c r="B515" t="s">
        <v>193</v>
      </c>
      <c r="D515">
        <v>0</v>
      </c>
      <c r="E515">
        <v>0</v>
      </c>
    </row>
    <row r="517" spans="1:5" x14ac:dyDescent="0.25">
      <c r="A517" s="74" t="s">
        <v>58</v>
      </c>
      <c r="B517" t="s">
        <v>223</v>
      </c>
      <c r="C517">
        <v>0.20833333333333331</v>
      </c>
      <c r="D517">
        <v>8.56666666666667</v>
      </c>
      <c r="E517">
        <v>0</v>
      </c>
    </row>
    <row r="518" spans="1:5" x14ac:dyDescent="0.25">
      <c r="A518" s="74"/>
      <c r="B518" t="s">
        <v>224</v>
      </c>
      <c r="C518">
        <v>6.5972222222222238E-2</v>
      </c>
    </row>
    <row r="519" spans="1:5" x14ac:dyDescent="0.25">
      <c r="A519" s="74"/>
      <c r="B519" t="s">
        <v>225</v>
      </c>
      <c r="C519">
        <v>0</v>
      </c>
    </row>
    <row r="520" spans="1:5" x14ac:dyDescent="0.25">
      <c r="A520" s="74"/>
      <c r="B520" t="s">
        <v>226</v>
      </c>
      <c r="C520">
        <v>0</v>
      </c>
    </row>
    <row r="521" spans="1:5" x14ac:dyDescent="0.25">
      <c r="A521" s="74"/>
      <c r="B521" t="s">
        <v>63</v>
      </c>
      <c r="C521">
        <v>6.9444444444444753E-3</v>
      </c>
    </row>
    <row r="522" spans="1:5" x14ac:dyDescent="0.25">
      <c r="A522" s="74"/>
      <c r="B522" t="s">
        <v>64</v>
      </c>
      <c r="C522">
        <v>0</v>
      </c>
    </row>
    <row r="523" spans="1:5" x14ac:dyDescent="0.25">
      <c r="A523" s="74"/>
      <c r="B523" t="s">
        <v>65</v>
      </c>
      <c r="C523">
        <v>0</v>
      </c>
    </row>
    <row r="524" spans="1:5" x14ac:dyDescent="0.25">
      <c r="A524" s="74"/>
      <c r="B524" t="s">
        <v>66</v>
      </c>
      <c r="C524">
        <v>0</v>
      </c>
    </row>
    <row r="525" spans="1:5" x14ac:dyDescent="0.25">
      <c r="A525" s="74"/>
      <c r="B525" t="s">
        <v>67</v>
      </c>
      <c r="C525">
        <v>0</v>
      </c>
    </row>
    <row r="526" spans="1:5" x14ac:dyDescent="0.25">
      <c r="A526" s="74"/>
      <c r="B526" t="s">
        <v>68</v>
      </c>
      <c r="C526">
        <v>0</v>
      </c>
    </row>
    <row r="527" spans="1:5" x14ac:dyDescent="0.25">
      <c r="A527" s="74"/>
      <c r="B527" t="s">
        <v>69</v>
      </c>
      <c r="C527">
        <v>0</v>
      </c>
    </row>
    <row r="528" spans="1:5" x14ac:dyDescent="0.25">
      <c r="A528" s="74"/>
      <c r="B528" t="s">
        <v>131</v>
      </c>
      <c r="C528">
        <v>7.5694444444444509E-2</v>
      </c>
    </row>
    <row r="529" spans="1:3" x14ac:dyDescent="0.25">
      <c r="A529" s="74"/>
      <c r="B529" t="s">
        <v>132</v>
      </c>
      <c r="C529">
        <v>0</v>
      </c>
    </row>
    <row r="530" spans="1:3" x14ac:dyDescent="0.25">
      <c r="A530" s="74"/>
      <c r="B530" t="s">
        <v>133</v>
      </c>
      <c r="C530">
        <v>0</v>
      </c>
    </row>
    <row r="531" spans="1:3" x14ac:dyDescent="0.25">
      <c r="A531" s="74"/>
      <c r="B531" t="s">
        <v>134</v>
      </c>
      <c r="C531">
        <v>0</v>
      </c>
    </row>
    <row r="532" spans="1:3" x14ac:dyDescent="0.25">
      <c r="A532" s="74"/>
      <c r="B532" t="s">
        <v>191</v>
      </c>
      <c r="C532">
        <v>0</v>
      </c>
    </row>
    <row r="533" spans="1:3" x14ac:dyDescent="0.25">
      <c r="A533" s="74"/>
      <c r="B533" t="s">
        <v>135</v>
      </c>
      <c r="C533">
        <v>0</v>
      </c>
    </row>
    <row r="534" spans="1:3" x14ac:dyDescent="0.25">
      <c r="A534" s="74"/>
      <c r="B534" t="s">
        <v>136</v>
      </c>
      <c r="C534">
        <v>0</v>
      </c>
    </row>
    <row r="535" spans="1:3" x14ac:dyDescent="0.25">
      <c r="A535" s="74"/>
      <c r="B535" t="s">
        <v>137</v>
      </c>
      <c r="C535">
        <v>0</v>
      </c>
    </row>
    <row r="536" spans="1:3" x14ac:dyDescent="0.25">
      <c r="A536" s="74"/>
      <c r="B536" t="s">
        <v>138</v>
      </c>
      <c r="C536">
        <v>0</v>
      </c>
    </row>
    <row r="537" spans="1:3" x14ac:dyDescent="0.25">
      <c r="A537" s="74"/>
      <c r="B537" t="s">
        <v>139</v>
      </c>
      <c r="C537">
        <v>0</v>
      </c>
    </row>
    <row r="538" spans="1:3" x14ac:dyDescent="0.25">
      <c r="A538" s="74"/>
      <c r="B538" t="s">
        <v>140</v>
      </c>
      <c r="C538">
        <v>0</v>
      </c>
    </row>
    <row r="539" spans="1:3" x14ac:dyDescent="0.25">
      <c r="A539" s="74"/>
      <c r="B539" t="s">
        <v>141</v>
      </c>
      <c r="C539">
        <v>0</v>
      </c>
    </row>
    <row r="540" spans="1:3" x14ac:dyDescent="0.25">
      <c r="A540" s="74"/>
      <c r="B540" t="s">
        <v>142</v>
      </c>
      <c r="C540">
        <v>0</v>
      </c>
    </row>
    <row r="541" spans="1:3" x14ac:dyDescent="0.25">
      <c r="A541" s="74"/>
      <c r="B541" t="s">
        <v>143</v>
      </c>
      <c r="C541">
        <v>0</v>
      </c>
    </row>
    <row r="542" spans="1:3" x14ac:dyDescent="0.25">
      <c r="A542" s="74"/>
      <c r="B542" t="s">
        <v>192</v>
      </c>
      <c r="C542">
        <v>0</v>
      </c>
    </row>
    <row r="543" spans="1:3" x14ac:dyDescent="0.25">
      <c r="A543" s="74"/>
      <c r="B543" t="s">
        <v>144</v>
      </c>
      <c r="C543">
        <v>0</v>
      </c>
    </row>
    <row r="544" spans="1:3" x14ac:dyDescent="0.25">
      <c r="A544" s="74"/>
      <c r="B544" t="s">
        <v>145</v>
      </c>
      <c r="C544">
        <v>0</v>
      </c>
    </row>
    <row r="545" spans="1:5" x14ac:dyDescent="0.25">
      <c r="A545" s="74"/>
      <c r="B545" t="s">
        <v>146</v>
      </c>
      <c r="C545">
        <v>0</v>
      </c>
    </row>
    <row r="546" spans="1:5" x14ac:dyDescent="0.25">
      <c r="A546" s="74"/>
      <c r="B546" t="s">
        <v>72</v>
      </c>
      <c r="C546">
        <v>0</v>
      </c>
    </row>
    <row r="547" spans="1:5" x14ac:dyDescent="0.25">
      <c r="A547" s="74"/>
      <c r="B547" t="s">
        <v>73</v>
      </c>
      <c r="C547">
        <v>0</v>
      </c>
    </row>
    <row r="548" spans="1:5" x14ac:dyDescent="0.25">
      <c r="A548" s="74"/>
      <c r="B548" t="s">
        <v>74</v>
      </c>
      <c r="C548">
        <v>0</v>
      </c>
    </row>
    <row r="549" spans="1:5" x14ac:dyDescent="0.25">
      <c r="A549" s="74"/>
      <c r="B549" t="s">
        <v>75</v>
      </c>
      <c r="C549">
        <v>0</v>
      </c>
    </row>
    <row r="550" spans="1:5" x14ac:dyDescent="0.25">
      <c r="A550" s="74"/>
      <c r="B550" t="s">
        <v>76</v>
      </c>
      <c r="C550">
        <v>0</v>
      </c>
    </row>
    <row r="551" spans="1:5" x14ac:dyDescent="0.25">
      <c r="A551" s="74"/>
      <c r="B551" t="s">
        <v>77</v>
      </c>
      <c r="C551">
        <v>0</v>
      </c>
    </row>
    <row r="552" spans="1:5" x14ac:dyDescent="0.25">
      <c r="A552" s="74"/>
      <c r="B552" t="s">
        <v>78</v>
      </c>
      <c r="C552">
        <v>0</v>
      </c>
    </row>
    <row r="553" spans="1:5" x14ac:dyDescent="0.25">
      <c r="A553" s="74"/>
      <c r="B553" t="s">
        <v>79</v>
      </c>
      <c r="C553">
        <v>0</v>
      </c>
    </row>
    <row r="554" spans="1:5" x14ac:dyDescent="0.25">
      <c r="A554" s="74"/>
      <c r="B554" t="s">
        <v>80</v>
      </c>
      <c r="C554">
        <v>0</v>
      </c>
    </row>
    <row r="555" spans="1:5" x14ac:dyDescent="0.25">
      <c r="A555" s="74"/>
      <c r="B555" t="s">
        <v>227</v>
      </c>
      <c r="C555">
        <v>0</v>
      </c>
    </row>
    <row r="556" spans="1:5" x14ac:dyDescent="0.25">
      <c r="A556" s="74"/>
      <c r="B556" t="str">
        <f>[14]TOTAL!D41</f>
        <v>Total this month</v>
      </c>
      <c r="C556">
        <f>[14]TOTAL!E41</f>
        <v>0.35694444444444456</v>
      </c>
    </row>
    <row r="557" spans="1:5" x14ac:dyDescent="0.25">
      <c r="A557" s="74" t="s">
        <v>60</v>
      </c>
      <c r="B557" t="s">
        <v>223</v>
      </c>
      <c r="C557">
        <v>0</v>
      </c>
      <c r="D557">
        <v>15.999999999999996</v>
      </c>
      <c r="E557">
        <v>0</v>
      </c>
    </row>
    <row r="558" spans="1:5" x14ac:dyDescent="0.25">
      <c r="A558" s="74"/>
      <c r="B558" t="s">
        <v>224</v>
      </c>
      <c r="C558">
        <v>0</v>
      </c>
    </row>
    <row r="559" spans="1:5" x14ac:dyDescent="0.25">
      <c r="A559" s="74"/>
      <c r="B559" t="s">
        <v>225</v>
      </c>
      <c r="C559">
        <v>0</v>
      </c>
    </row>
    <row r="560" spans="1:5" x14ac:dyDescent="0.25">
      <c r="A560" s="74"/>
      <c r="B560" t="s">
        <v>226</v>
      </c>
      <c r="C560">
        <v>0</v>
      </c>
    </row>
    <row r="561" spans="1:3" x14ac:dyDescent="0.25">
      <c r="A561" s="74"/>
      <c r="B561" t="s">
        <v>63</v>
      </c>
      <c r="C561">
        <v>0</v>
      </c>
    </row>
    <row r="562" spans="1:3" x14ac:dyDescent="0.25">
      <c r="A562" s="74"/>
      <c r="B562" t="s">
        <v>64</v>
      </c>
      <c r="C562">
        <v>0</v>
      </c>
    </row>
    <row r="563" spans="1:3" x14ac:dyDescent="0.25">
      <c r="A563" s="74"/>
      <c r="B563" t="s">
        <v>65</v>
      </c>
      <c r="C563">
        <v>0</v>
      </c>
    </row>
    <row r="564" spans="1:3" x14ac:dyDescent="0.25">
      <c r="A564" s="74"/>
      <c r="B564" t="s">
        <v>66</v>
      </c>
      <c r="C564">
        <v>0</v>
      </c>
    </row>
    <row r="565" spans="1:3" x14ac:dyDescent="0.25">
      <c r="A565" s="74"/>
      <c r="B565" t="s">
        <v>67</v>
      </c>
      <c r="C565">
        <v>0</v>
      </c>
    </row>
    <row r="566" spans="1:3" x14ac:dyDescent="0.25">
      <c r="A566" s="74"/>
      <c r="B566" t="s">
        <v>68</v>
      </c>
      <c r="C566">
        <v>6.9444444444443088E-3</v>
      </c>
    </row>
    <row r="567" spans="1:3" x14ac:dyDescent="0.25">
      <c r="A567" s="74"/>
      <c r="B567" t="s">
        <v>69</v>
      </c>
      <c r="C567">
        <v>0</v>
      </c>
    </row>
    <row r="568" spans="1:3" x14ac:dyDescent="0.25">
      <c r="A568" s="74"/>
      <c r="B568" t="s">
        <v>131</v>
      </c>
      <c r="C568">
        <v>2.430555555555558E-2</v>
      </c>
    </row>
    <row r="569" spans="1:3" x14ac:dyDescent="0.25">
      <c r="A569" s="74"/>
      <c r="B569" t="s">
        <v>132</v>
      </c>
      <c r="C569">
        <v>3.8194444444444531E-2</v>
      </c>
    </row>
    <row r="570" spans="1:3" x14ac:dyDescent="0.25">
      <c r="A570" s="74"/>
      <c r="B570" t="s">
        <v>133</v>
      </c>
      <c r="C570">
        <v>0</v>
      </c>
    </row>
    <row r="571" spans="1:3" x14ac:dyDescent="0.25">
      <c r="A571" s="74"/>
      <c r="B571" t="s">
        <v>134</v>
      </c>
      <c r="C571">
        <v>0</v>
      </c>
    </row>
    <row r="572" spans="1:3" x14ac:dyDescent="0.25">
      <c r="A572" s="74"/>
      <c r="B572" t="s">
        <v>191</v>
      </c>
      <c r="C572">
        <v>0</v>
      </c>
    </row>
    <row r="573" spans="1:3" x14ac:dyDescent="0.25">
      <c r="A573" s="74"/>
      <c r="B573" t="s">
        <v>135</v>
      </c>
      <c r="C573">
        <v>0</v>
      </c>
    </row>
    <row r="574" spans="1:3" x14ac:dyDescent="0.25">
      <c r="A574" s="74"/>
      <c r="B574" t="s">
        <v>136</v>
      </c>
      <c r="C574">
        <v>0</v>
      </c>
    </row>
    <row r="575" spans="1:3" x14ac:dyDescent="0.25">
      <c r="A575" s="74"/>
      <c r="B575" t="s">
        <v>137</v>
      </c>
      <c r="C575">
        <v>0</v>
      </c>
    </row>
    <row r="576" spans="1:3" x14ac:dyDescent="0.25">
      <c r="A576" s="74"/>
      <c r="B576" t="s">
        <v>138</v>
      </c>
      <c r="C576">
        <v>0</v>
      </c>
    </row>
    <row r="577" spans="1:3" x14ac:dyDescent="0.25">
      <c r="A577" s="74"/>
      <c r="B577" t="s">
        <v>139</v>
      </c>
      <c r="C577">
        <v>0</v>
      </c>
    </row>
    <row r="578" spans="1:3" x14ac:dyDescent="0.25">
      <c r="A578" s="74"/>
      <c r="B578" t="s">
        <v>140</v>
      </c>
      <c r="C578">
        <v>0</v>
      </c>
    </row>
    <row r="579" spans="1:3" x14ac:dyDescent="0.25">
      <c r="A579" s="74"/>
      <c r="B579" t="s">
        <v>141</v>
      </c>
      <c r="C579">
        <v>0</v>
      </c>
    </row>
    <row r="580" spans="1:3" x14ac:dyDescent="0.25">
      <c r="A580" s="74"/>
      <c r="B580" t="s">
        <v>142</v>
      </c>
      <c r="C580">
        <v>0</v>
      </c>
    </row>
    <row r="581" spans="1:3" x14ac:dyDescent="0.25">
      <c r="A581" s="74"/>
      <c r="B581" t="s">
        <v>143</v>
      </c>
      <c r="C581">
        <v>0.5972222222222221</v>
      </c>
    </row>
    <row r="582" spans="1:3" x14ac:dyDescent="0.25">
      <c r="A582" s="74"/>
      <c r="B582" t="s">
        <v>192</v>
      </c>
      <c r="C582">
        <v>0</v>
      </c>
    </row>
    <row r="583" spans="1:3" x14ac:dyDescent="0.25">
      <c r="A583" s="74"/>
      <c r="B583" t="s">
        <v>144</v>
      </c>
      <c r="C583">
        <v>0</v>
      </c>
    </row>
    <row r="584" spans="1:3" x14ac:dyDescent="0.25">
      <c r="A584" s="74"/>
      <c r="B584" t="s">
        <v>145</v>
      </c>
      <c r="C584">
        <v>0</v>
      </c>
    </row>
    <row r="585" spans="1:3" x14ac:dyDescent="0.25">
      <c r="A585" s="74"/>
      <c r="B585" t="s">
        <v>146</v>
      </c>
      <c r="C585">
        <v>0</v>
      </c>
    </row>
    <row r="586" spans="1:3" x14ac:dyDescent="0.25">
      <c r="A586" s="74"/>
      <c r="B586" t="s">
        <v>72</v>
      </c>
      <c r="C586">
        <v>0</v>
      </c>
    </row>
    <row r="587" spans="1:3" x14ac:dyDescent="0.25">
      <c r="A587" s="74"/>
      <c r="B587" t="s">
        <v>73</v>
      </c>
      <c r="C587">
        <v>0</v>
      </c>
    </row>
    <row r="588" spans="1:3" x14ac:dyDescent="0.25">
      <c r="A588" s="74"/>
      <c r="B588" t="s">
        <v>74</v>
      </c>
      <c r="C588">
        <v>0</v>
      </c>
    </row>
    <row r="589" spans="1:3" x14ac:dyDescent="0.25">
      <c r="A589" s="74"/>
      <c r="B589" t="s">
        <v>75</v>
      </c>
      <c r="C589">
        <v>0</v>
      </c>
    </row>
    <row r="590" spans="1:3" x14ac:dyDescent="0.25">
      <c r="A590" s="74"/>
      <c r="B590" t="s">
        <v>76</v>
      </c>
      <c r="C590">
        <v>0</v>
      </c>
    </row>
    <row r="591" spans="1:3" x14ac:dyDescent="0.25">
      <c r="A591" s="74"/>
      <c r="B591" t="s">
        <v>77</v>
      </c>
      <c r="C591">
        <v>0</v>
      </c>
    </row>
    <row r="592" spans="1:3" x14ac:dyDescent="0.25">
      <c r="A592" s="74"/>
      <c r="B592" t="s">
        <v>78</v>
      </c>
      <c r="C592">
        <v>0</v>
      </c>
    </row>
    <row r="593" spans="1:5" x14ac:dyDescent="0.25">
      <c r="A593" s="74"/>
      <c r="B593" t="s">
        <v>79</v>
      </c>
      <c r="C593">
        <v>0</v>
      </c>
    </row>
    <row r="594" spans="1:5" x14ac:dyDescent="0.25">
      <c r="A594" s="74"/>
      <c r="B594" t="s">
        <v>80</v>
      </c>
      <c r="C594">
        <v>0</v>
      </c>
    </row>
    <row r="595" spans="1:5" x14ac:dyDescent="0.25">
      <c r="A595" s="74"/>
      <c r="B595" t="s">
        <v>227</v>
      </c>
      <c r="C595">
        <v>0</v>
      </c>
    </row>
    <row r="596" spans="1:5" x14ac:dyDescent="0.25">
      <c r="A596" s="74"/>
      <c r="B596" t="str">
        <f>[15]TOTAL!D41</f>
        <v>Total this month</v>
      </c>
      <c r="C596">
        <f>[15]TOTAL!E41</f>
        <v>0.66666666666666652</v>
      </c>
    </row>
    <row r="597" spans="1:5" x14ac:dyDescent="0.25">
      <c r="A597" t="s">
        <v>125</v>
      </c>
      <c r="B597" t="s">
        <v>193</v>
      </c>
      <c r="D597">
        <v>0</v>
      </c>
      <c r="E597">
        <v>0</v>
      </c>
    </row>
    <row r="599" spans="1:5" x14ac:dyDescent="0.25">
      <c r="A599" t="s">
        <v>190</v>
      </c>
      <c r="B599" t="s">
        <v>193</v>
      </c>
      <c r="D599">
        <v>0</v>
      </c>
      <c r="E599">
        <v>0</v>
      </c>
    </row>
  </sheetData>
  <mergeCells count="14">
    <mergeCell ref="A517:A556"/>
    <mergeCell ref="A557:A596"/>
    <mergeCell ref="A263:A302"/>
    <mergeCell ref="A303:A342"/>
    <mergeCell ref="A343:A382"/>
    <mergeCell ref="A383:A422"/>
    <mergeCell ref="A423:A462"/>
    <mergeCell ref="A463:A502"/>
    <mergeCell ref="A1:A40"/>
    <mergeCell ref="A41:A80"/>
    <mergeCell ref="A81:A120"/>
    <mergeCell ref="A125:A164"/>
    <mergeCell ref="A171:A222"/>
    <mergeCell ref="A223:A26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SunDates</vt:lpstr>
      <vt:lpstr>Categories</vt:lpstr>
      <vt:lpstr>FolderList</vt:lpstr>
      <vt:lpstr>EmplToDpts</vt:lpstr>
      <vt:lpstr>TX_Management</vt:lpstr>
      <vt:lpstr>Bookkeepers</vt:lpstr>
      <vt:lpstr>Dispatchers</vt:lpstr>
      <vt:lpstr>Researchers</vt:lpstr>
      <vt:lpstr>Schedulers</vt:lpstr>
      <vt:lpstr>Billing</vt:lpstr>
      <vt:lpstr>Operational</vt:lpstr>
      <vt:lpstr>Insurance</vt:lpstr>
      <vt:lpstr>HR-Marketing</vt:lpstr>
      <vt:lpstr>Frontdesk</vt:lpstr>
      <vt:lpstr>IT</vt:lpstr>
      <vt:lpstr>TOTALS_THRU @02-02-2018</vt:lpstr>
      <vt:lpstr>CA</vt:lpstr>
      <vt:lpstr>TX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2017-11-28T01:11:29Z</dcterms:created>
  <dcterms:modified xsi:type="dcterms:W3CDTF">2018-02-03T02:46:05Z</dcterms:modified>
</cp:coreProperties>
</file>