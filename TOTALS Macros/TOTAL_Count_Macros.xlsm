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8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9.xml" ContentType="application/vnd.openxmlformats-officedocument.drawing+xml"/>
  <Override PartName="/xl/charts/chart24.xml" ContentType="application/vnd.openxmlformats-officedocument.drawingml.chart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11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2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17535" windowHeight="9570" activeTab="2"/>
  </bookViews>
  <sheets>
    <sheet name="SunDates" sheetId="29" r:id="rId1"/>
    <sheet name="Categories" sheetId="15" r:id="rId2"/>
    <sheet name="FolderList" sheetId="1" r:id="rId3"/>
    <sheet name="EmplToDpts" sheetId="4" r:id="rId4"/>
    <sheet name="TX_Management" sheetId="24" r:id="rId5"/>
    <sheet name="Bookkeepers" sheetId="17" r:id="rId6"/>
    <sheet name="Dispatchers" sheetId="19" r:id="rId7"/>
    <sheet name="Researchers" sheetId="20" r:id="rId8"/>
    <sheet name="Schedulers" sheetId="18" r:id="rId9"/>
    <sheet name="Billing" sheetId="22" r:id="rId10"/>
    <sheet name="Operational" sheetId="23" r:id="rId11"/>
    <sheet name="Insurance" sheetId="25" r:id="rId12"/>
    <sheet name="HR-Marketing" sheetId="26" r:id="rId13"/>
    <sheet name="Frontdesk" sheetId="27" r:id="rId14"/>
    <sheet name="IT" sheetId="28" r:id="rId15"/>
  </sheets>
  <functionGroups builtInGroupCount="18"/>
  <externalReferences>
    <externalReference r:id="rId16"/>
  </externalReferences>
  <definedNames>
    <definedName name="CA">Categories!$I$1:$I$33</definedName>
    <definedName name="Subject">[1]MAIN!$O$76:$O$77</definedName>
    <definedName name="test">"{""alfa"";""beta"";""theta"";""gamma""}"</definedName>
    <definedName name="TX">Categories!$I$36:$I$85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5" i="1" l="1"/>
  <c r="L35" i="1"/>
  <c r="O35" i="1" s="1"/>
  <c r="L34" i="1"/>
  <c r="N34" i="1" s="1"/>
  <c r="N33" i="1"/>
  <c r="L33" i="1"/>
  <c r="O33" i="1" s="1"/>
  <c r="L32" i="1"/>
  <c r="N32" i="1" s="1"/>
  <c r="N31" i="1"/>
  <c r="L31" i="1"/>
  <c r="O31" i="1" s="1"/>
  <c r="L30" i="1"/>
  <c r="N30" i="1" s="1"/>
  <c r="N29" i="1"/>
  <c r="L29" i="1"/>
  <c r="O29" i="1" s="1"/>
  <c r="L28" i="1"/>
  <c r="N28" i="1" s="1"/>
  <c r="N27" i="1"/>
  <c r="L27" i="1"/>
  <c r="O27" i="1" s="1"/>
  <c r="L26" i="1"/>
  <c r="N26" i="1" s="1"/>
  <c r="N25" i="1"/>
  <c r="L25" i="1"/>
  <c r="O25" i="1" s="1"/>
  <c r="L24" i="1"/>
  <c r="N24" i="1" s="1"/>
  <c r="N23" i="1"/>
  <c r="L23" i="1"/>
  <c r="O23" i="1" s="1"/>
  <c r="L22" i="1"/>
  <c r="N22" i="1" s="1"/>
  <c r="N21" i="1"/>
  <c r="L21" i="1"/>
  <c r="O21" i="1" s="1"/>
  <c r="L20" i="1"/>
  <c r="N20" i="1" s="1"/>
  <c r="N19" i="1"/>
  <c r="L19" i="1"/>
  <c r="O19" i="1" s="1"/>
  <c r="L18" i="1"/>
  <c r="N18" i="1" s="1"/>
  <c r="N17" i="1"/>
  <c r="L17" i="1"/>
  <c r="O17" i="1" s="1"/>
  <c r="L16" i="1"/>
  <c r="N16" i="1" s="1"/>
  <c r="N15" i="1"/>
  <c r="L15" i="1"/>
  <c r="O15" i="1" s="1"/>
  <c r="L14" i="1"/>
  <c r="N14" i="1" s="1"/>
  <c r="N13" i="1"/>
  <c r="L13" i="1"/>
  <c r="O13" i="1" s="1"/>
  <c r="L12" i="1"/>
  <c r="N12" i="1" s="1"/>
  <c r="N11" i="1"/>
  <c r="L11" i="1"/>
  <c r="O11" i="1" s="1"/>
  <c r="L10" i="1"/>
  <c r="N10" i="1" s="1"/>
  <c r="N9" i="1"/>
  <c r="L9" i="1"/>
  <c r="O9" i="1" s="1"/>
  <c r="L8" i="1"/>
  <c r="N8" i="1" s="1"/>
  <c r="N7" i="1"/>
  <c r="L7" i="1"/>
  <c r="O7" i="1" s="1"/>
  <c r="L6" i="1"/>
  <c r="N6" i="1" s="1"/>
  <c r="N5" i="1"/>
  <c r="L5" i="1"/>
  <c r="O5" i="1" s="1"/>
  <c r="L4" i="1"/>
  <c r="N4" i="1" s="1"/>
  <c r="N3" i="1"/>
  <c r="L3" i="1"/>
  <c r="O3" i="1" s="1"/>
  <c r="O4" i="1" l="1"/>
  <c r="O6" i="1"/>
  <c r="O8" i="1"/>
  <c r="O10" i="1"/>
  <c r="O12" i="1"/>
  <c r="O14" i="1"/>
  <c r="O16" i="1"/>
  <c r="O18" i="1"/>
  <c r="O20" i="1"/>
  <c r="O22" i="1"/>
  <c r="O24" i="1"/>
  <c r="O26" i="1"/>
  <c r="O28" i="1"/>
  <c r="O30" i="1"/>
  <c r="O32" i="1"/>
  <c r="O34" i="1"/>
  <c r="U53" i="17"/>
  <c r="U52" i="17"/>
  <c r="U51" i="17"/>
  <c r="U50" i="17"/>
  <c r="U49" i="17"/>
  <c r="U48" i="17"/>
  <c r="U47" i="17"/>
  <c r="U46" i="17"/>
  <c r="U45" i="17"/>
  <c r="U44" i="17"/>
  <c r="U43" i="17"/>
  <c r="U42" i="17"/>
  <c r="U41" i="17"/>
  <c r="U40" i="17"/>
  <c r="U39" i="17"/>
  <c r="U38" i="17"/>
  <c r="U37" i="17"/>
  <c r="U36" i="17"/>
  <c r="U35" i="17"/>
  <c r="U34" i="17"/>
  <c r="U33" i="17"/>
  <c r="U32" i="17"/>
  <c r="U31" i="17"/>
  <c r="U30" i="17"/>
  <c r="U29" i="17"/>
  <c r="U28" i="17"/>
  <c r="U27" i="17"/>
  <c r="U26" i="17"/>
  <c r="U25" i="17"/>
  <c r="U24" i="17"/>
  <c r="U23" i="17"/>
  <c r="U22" i="17"/>
  <c r="U21" i="17"/>
  <c r="U20" i="17"/>
  <c r="U19" i="17"/>
  <c r="U18" i="17"/>
  <c r="U17" i="17"/>
  <c r="U16" i="17"/>
  <c r="U15" i="17"/>
  <c r="U14" i="17"/>
  <c r="U13" i="17"/>
  <c r="U12" i="17"/>
  <c r="U11" i="17"/>
  <c r="U10" i="17"/>
  <c r="U9" i="17"/>
  <c r="U8" i="17"/>
  <c r="U7" i="17"/>
  <c r="U6" i="17"/>
  <c r="U5" i="17"/>
  <c r="U4" i="17"/>
  <c r="S53" i="17"/>
  <c r="S52" i="17"/>
  <c r="S51" i="17"/>
  <c r="S50" i="17"/>
  <c r="S49" i="17"/>
  <c r="S48" i="17"/>
  <c r="S47" i="17"/>
  <c r="S46" i="17"/>
  <c r="S45" i="17"/>
  <c r="S44" i="17"/>
  <c r="S43" i="17"/>
  <c r="S42" i="17"/>
  <c r="S41" i="17"/>
  <c r="S40" i="17"/>
  <c r="S39" i="17"/>
  <c r="S38" i="17"/>
  <c r="S37" i="17"/>
  <c r="S36" i="17"/>
  <c r="S35" i="17"/>
  <c r="S34" i="17"/>
  <c r="S33" i="17"/>
  <c r="S32" i="17"/>
  <c r="S31" i="17"/>
  <c r="S30" i="17"/>
  <c r="S29" i="17"/>
  <c r="S28" i="17"/>
  <c r="S27" i="17"/>
  <c r="S26" i="17"/>
  <c r="S25" i="17"/>
  <c r="S24" i="17"/>
  <c r="S23" i="17"/>
  <c r="S22" i="17"/>
  <c r="S21" i="17"/>
  <c r="S20" i="17"/>
  <c r="S19" i="17"/>
  <c r="S18" i="17"/>
  <c r="S17" i="17"/>
  <c r="S16" i="17"/>
  <c r="S15" i="17"/>
  <c r="S14" i="17"/>
  <c r="S13" i="17"/>
  <c r="S12" i="17"/>
  <c r="S11" i="17"/>
  <c r="S10" i="17"/>
  <c r="S9" i="17"/>
  <c r="S8" i="17"/>
  <c r="S7" i="17"/>
  <c r="S6" i="17"/>
  <c r="S5" i="17"/>
  <c r="S4" i="17"/>
  <c r="Q53" i="17"/>
  <c r="Q52" i="17"/>
  <c r="Q51" i="17"/>
  <c r="Q50" i="17"/>
  <c r="Q49" i="17"/>
  <c r="Q48" i="17"/>
  <c r="Q47" i="17"/>
  <c r="Q46" i="17"/>
  <c r="Q45" i="17"/>
  <c r="Q44" i="17"/>
  <c r="Q43" i="17"/>
  <c r="Q42" i="17"/>
  <c r="Q41" i="17"/>
  <c r="Q40" i="17"/>
  <c r="Q39" i="17"/>
  <c r="Q38" i="17"/>
  <c r="Q37" i="17"/>
  <c r="Q36" i="17"/>
  <c r="Q35" i="17"/>
  <c r="Q34" i="17"/>
  <c r="Q33" i="17"/>
  <c r="Q32" i="17"/>
  <c r="Q31" i="17"/>
  <c r="Q30" i="17"/>
  <c r="Q29" i="17"/>
  <c r="Q28" i="17"/>
  <c r="Q27" i="17"/>
  <c r="Q26" i="17"/>
  <c r="Q25" i="17"/>
  <c r="Q24" i="17"/>
  <c r="Q23" i="17"/>
  <c r="Q22" i="17"/>
  <c r="Q21" i="17"/>
  <c r="Q20" i="17"/>
  <c r="Q19" i="17"/>
  <c r="Q18" i="17"/>
  <c r="Q17" i="17"/>
  <c r="Q16" i="17"/>
  <c r="Q15" i="17"/>
  <c r="Q14" i="17"/>
  <c r="Q13" i="17"/>
  <c r="Q12" i="17"/>
  <c r="Q11" i="17"/>
  <c r="Q10" i="17"/>
  <c r="Q9" i="17"/>
  <c r="Q8" i="17"/>
  <c r="Q7" i="17"/>
  <c r="Q6" i="17"/>
  <c r="Q5" i="17"/>
  <c r="Q4" i="17"/>
  <c r="O53" i="17"/>
  <c r="O52" i="17"/>
  <c r="O51" i="17"/>
  <c r="O50" i="17"/>
  <c r="O49" i="17"/>
  <c r="O48" i="17"/>
  <c r="O47" i="17"/>
  <c r="O46" i="17"/>
  <c r="O45" i="17"/>
  <c r="O44" i="17"/>
  <c r="O43" i="17"/>
  <c r="O42" i="17"/>
  <c r="O41" i="17"/>
  <c r="O40" i="17"/>
  <c r="O39" i="17"/>
  <c r="O38" i="17"/>
  <c r="O37" i="17"/>
  <c r="O36" i="17"/>
  <c r="O35" i="17"/>
  <c r="O34" i="17"/>
  <c r="O33" i="17"/>
  <c r="O32" i="17"/>
  <c r="O31" i="17"/>
  <c r="O30" i="17"/>
  <c r="O29" i="17"/>
  <c r="O28" i="17"/>
  <c r="O27" i="17"/>
  <c r="O26" i="17"/>
  <c r="O25" i="17"/>
  <c r="O24" i="17"/>
  <c r="O23" i="17"/>
  <c r="O22" i="17"/>
  <c r="O21" i="17"/>
  <c r="O20" i="17"/>
  <c r="O19" i="17"/>
  <c r="O18" i="17"/>
  <c r="O17" i="17"/>
  <c r="O16" i="17"/>
  <c r="O15" i="17"/>
  <c r="O14" i="17"/>
  <c r="O13" i="17"/>
  <c r="O12" i="17"/>
  <c r="O11" i="17"/>
  <c r="O10" i="17"/>
  <c r="O9" i="17"/>
  <c r="O8" i="17"/>
  <c r="O7" i="17"/>
  <c r="O6" i="17"/>
  <c r="O5" i="17"/>
  <c r="O4" i="17"/>
  <c r="M53" i="17"/>
  <c r="M52" i="17"/>
  <c r="M51" i="17"/>
  <c r="M50" i="17"/>
  <c r="M49" i="17"/>
  <c r="M48" i="17"/>
  <c r="M47" i="17"/>
  <c r="M46" i="17"/>
  <c r="M45" i="17"/>
  <c r="M44" i="17"/>
  <c r="M43" i="17"/>
  <c r="M42" i="17"/>
  <c r="M41" i="17"/>
  <c r="M40" i="17"/>
  <c r="M39" i="17"/>
  <c r="M38" i="17"/>
  <c r="M37" i="17"/>
  <c r="M36" i="17"/>
  <c r="M35" i="17"/>
  <c r="M34" i="17"/>
  <c r="M33" i="17"/>
  <c r="M32" i="17"/>
  <c r="M31" i="17"/>
  <c r="M30" i="17"/>
  <c r="M29" i="17"/>
  <c r="M28" i="17"/>
  <c r="M27" i="17"/>
  <c r="M26" i="17"/>
  <c r="M25" i="17"/>
  <c r="M24" i="17"/>
  <c r="M23" i="17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40" i="17"/>
  <c r="K39" i="17"/>
  <c r="K38" i="17"/>
  <c r="K37" i="17"/>
  <c r="K36" i="17"/>
  <c r="K35" i="17"/>
  <c r="K34" i="17"/>
  <c r="K33" i="17"/>
  <c r="K32" i="17"/>
  <c r="K31" i="17"/>
  <c r="K30" i="17"/>
  <c r="K29" i="17"/>
  <c r="K28" i="17"/>
  <c r="K27" i="17"/>
  <c r="K26" i="17"/>
  <c r="K25" i="17"/>
  <c r="K24" i="17"/>
  <c r="K23" i="17"/>
  <c r="K22" i="17"/>
  <c r="K21" i="17"/>
  <c r="K20" i="17"/>
  <c r="K19" i="17"/>
  <c r="K18" i="17"/>
  <c r="K17" i="17"/>
  <c r="K16" i="17"/>
  <c r="K15" i="17"/>
  <c r="K14" i="17"/>
  <c r="K13" i="17"/>
  <c r="K12" i="17"/>
  <c r="K11" i="17"/>
  <c r="K10" i="17"/>
  <c r="K9" i="17"/>
  <c r="K8" i="17"/>
  <c r="K7" i="17"/>
  <c r="K6" i="17"/>
  <c r="K5" i="17"/>
  <c r="K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I4" i="17"/>
  <c r="G53" i="17"/>
  <c r="G52" i="17"/>
  <c r="G51" i="17"/>
  <c r="G50" i="17"/>
  <c r="G49" i="17"/>
  <c r="G48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K53" i="24"/>
  <c r="K52" i="24"/>
  <c r="K51" i="24"/>
  <c r="K50" i="24"/>
  <c r="K49" i="24"/>
  <c r="K48" i="24"/>
  <c r="K47" i="24"/>
  <c r="K46" i="24"/>
  <c r="K45" i="24"/>
  <c r="K44" i="24"/>
  <c r="K43" i="24"/>
  <c r="K42" i="24"/>
  <c r="K41" i="24"/>
  <c r="K40" i="24"/>
  <c r="K39" i="24"/>
  <c r="K38" i="24"/>
  <c r="K37" i="24"/>
  <c r="K36" i="24"/>
  <c r="K35" i="24"/>
  <c r="K34" i="24"/>
  <c r="K33" i="24"/>
  <c r="K32" i="24"/>
  <c r="K31" i="24"/>
  <c r="K30" i="24"/>
  <c r="K29" i="24"/>
  <c r="K28" i="24"/>
  <c r="K27" i="24"/>
  <c r="K26" i="24"/>
  <c r="K25" i="24"/>
  <c r="K24" i="24"/>
  <c r="K23" i="24"/>
  <c r="K22" i="24"/>
  <c r="K21" i="24"/>
  <c r="K20" i="24"/>
  <c r="K19" i="24"/>
  <c r="K18" i="24"/>
  <c r="K17" i="24"/>
  <c r="K16" i="24"/>
  <c r="K15" i="24"/>
  <c r="K14" i="24"/>
  <c r="K13" i="24"/>
  <c r="K12" i="24"/>
  <c r="K11" i="24"/>
  <c r="K10" i="24"/>
  <c r="K9" i="24"/>
  <c r="K8" i="24"/>
  <c r="K7" i="24"/>
  <c r="K6" i="24"/>
  <c r="K5" i="24"/>
  <c r="K4" i="24"/>
  <c r="I53" i="24"/>
  <c r="I52" i="24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13" i="24"/>
  <c r="I12" i="24"/>
  <c r="I11" i="24"/>
  <c r="I10" i="24"/>
  <c r="I9" i="24"/>
  <c r="I8" i="24"/>
  <c r="I7" i="24"/>
  <c r="I6" i="24"/>
  <c r="I5" i="24"/>
  <c r="I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4" i="24"/>
  <c r="D3" i="4" l="1" a="1"/>
  <c r="D3" i="4" s="1"/>
  <c r="D2" i="4" a="1"/>
  <c r="D2" i="4" s="1"/>
  <c r="B37" i="26"/>
  <c r="D4" i="4" l="1" a="1"/>
  <c r="D4" i="4" s="1"/>
  <c r="D6" i="4" s="1" a="1"/>
  <c r="D6" i="4" s="1"/>
  <c r="D5" i="4" a="1"/>
  <c r="D5" i="4" s="1"/>
  <c r="C7" i="29"/>
  <c r="C6" i="29"/>
  <c r="C5" i="29"/>
  <c r="C4" i="29"/>
  <c r="C3" i="29"/>
  <c r="C2" i="29"/>
  <c r="C1" i="29"/>
  <c r="T37" i="28"/>
  <c r="U21" i="28" s="1"/>
  <c r="R37" i="28"/>
  <c r="S36" i="28" s="1"/>
  <c r="P37" i="28"/>
  <c r="Q33" i="28" s="1"/>
  <c r="N37" i="28"/>
  <c r="O36" i="28" s="1"/>
  <c r="L37" i="28"/>
  <c r="M33" i="28" s="1"/>
  <c r="J37" i="28"/>
  <c r="K35" i="28" s="1"/>
  <c r="H37" i="28"/>
  <c r="I33" i="28" s="1"/>
  <c r="F37" i="28"/>
  <c r="G35" i="28" s="1"/>
  <c r="D37" i="28"/>
  <c r="E33" i="28" s="1"/>
  <c r="B37" i="28"/>
  <c r="C36" i="28" s="1"/>
  <c r="U33" i="28"/>
  <c r="K20" i="28"/>
  <c r="AD37" i="27"/>
  <c r="AE33" i="27" s="1"/>
  <c r="AB37" i="27"/>
  <c r="AC35" i="27" s="1"/>
  <c r="Z37" i="27"/>
  <c r="AA35" i="27" s="1"/>
  <c r="X37" i="27"/>
  <c r="Y36" i="27" s="1"/>
  <c r="V37" i="27"/>
  <c r="W31" i="27" s="1"/>
  <c r="T37" i="27"/>
  <c r="U31" i="27" s="1"/>
  <c r="R37" i="27"/>
  <c r="S35" i="27" s="1"/>
  <c r="P37" i="27"/>
  <c r="Q35" i="27" s="1"/>
  <c r="N37" i="27"/>
  <c r="O31" i="27" s="1"/>
  <c r="L37" i="27"/>
  <c r="M36" i="27" s="1"/>
  <c r="J37" i="27"/>
  <c r="K35" i="27" s="1"/>
  <c r="H37" i="27"/>
  <c r="I34" i="27" s="1"/>
  <c r="F37" i="27"/>
  <c r="G10" i="27" s="1"/>
  <c r="D37" i="27"/>
  <c r="E36" i="27" s="1"/>
  <c r="B37" i="27"/>
  <c r="C10" i="27" s="1"/>
  <c r="U36" i="27"/>
  <c r="E35" i="27"/>
  <c r="E33" i="27"/>
  <c r="E31" i="27"/>
  <c r="M30" i="27"/>
  <c r="E30" i="27"/>
  <c r="M29" i="27"/>
  <c r="E29" i="27"/>
  <c r="E27" i="27"/>
  <c r="E24" i="27"/>
  <c r="E20" i="27"/>
  <c r="E18" i="27"/>
  <c r="E17" i="27"/>
  <c r="E15" i="27"/>
  <c r="M13" i="27"/>
  <c r="M9" i="27"/>
  <c r="E7" i="27"/>
  <c r="E6" i="27"/>
  <c r="E5" i="27"/>
  <c r="AN37" i="26"/>
  <c r="AO36" i="26" s="1"/>
  <c r="AL37" i="26"/>
  <c r="AM36" i="26" s="1"/>
  <c r="AJ37" i="26"/>
  <c r="AK36" i="26" s="1"/>
  <c r="AH37" i="26"/>
  <c r="AI36" i="26" s="1"/>
  <c r="AF37" i="26"/>
  <c r="AG35" i="26" s="1"/>
  <c r="AD37" i="26"/>
  <c r="AE35" i="26" s="1"/>
  <c r="AB37" i="26"/>
  <c r="AC35" i="26" s="1"/>
  <c r="Z37" i="26"/>
  <c r="AA35" i="26" s="1"/>
  <c r="X37" i="26"/>
  <c r="Y36" i="26" s="1"/>
  <c r="V37" i="26"/>
  <c r="W35" i="26" s="1"/>
  <c r="T37" i="26"/>
  <c r="U36" i="26" s="1"/>
  <c r="R37" i="26"/>
  <c r="S35" i="26" s="1"/>
  <c r="P37" i="26"/>
  <c r="Q36" i="26" s="1"/>
  <c r="N37" i="26"/>
  <c r="O36" i="26" s="1"/>
  <c r="L37" i="26"/>
  <c r="M35" i="26" s="1"/>
  <c r="J37" i="26"/>
  <c r="K34" i="26" s="1"/>
  <c r="H37" i="26"/>
  <c r="I35" i="26" s="1"/>
  <c r="F37" i="26"/>
  <c r="G35" i="26" s="1"/>
  <c r="D37" i="26"/>
  <c r="E36" i="26" s="1"/>
  <c r="AE36" i="26"/>
  <c r="W36" i="26"/>
  <c r="K36" i="26"/>
  <c r="C36" i="26"/>
  <c r="K35" i="26"/>
  <c r="C35" i="26"/>
  <c r="W34" i="26"/>
  <c r="C34" i="26"/>
  <c r="C33" i="26"/>
  <c r="W32" i="26"/>
  <c r="K32" i="26"/>
  <c r="C32" i="26"/>
  <c r="K31" i="26"/>
  <c r="C31" i="26"/>
  <c r="W30" i="26"/>
  <c r="C30" i="26"/>
  <c r="C29" i="26"/>
  <c r="W28" i="26"/>
  <c r="K28" i="26"/>
  <c r="C28" i="26"/>
  <c r="K27" i="26"/>
  <c r="C27" i="26"/>
  <c r="W26" i="26"/>
  <c r="C26" i="26"/>
  <c r="C25" i="26"/>
  <c r="W24" i="26"/>
  <c r="K24" i="26"/>
  <c r="C24" i="26"/>
  <c r="W23" i="26"/>
  <c r="C23" i="26"/>
  <c r="W22" i="26"/>
  <c r="C22" i="26"/>
  <c r="C21" i="26"/>
  <c r="W20" i="26"/>
  <c r="C20" i="26"/>
  <c r="C19" i="26"/>
  <c r="W18" i="26"/>
  <c r="C18" i="26"/>
  <c r="C17" i="26"/>
  <c r="W16" i="26"/>
  <c r="C16" i="26"/>
  <c r="W15" i="26"/>
  <c r="C15" i="26"/>
  <c r="C14" i="26"/>
  <c r="W13" i="26"/>
  <c r="K13" i="26"/>
  <c r="C13" i="26"/>
  <c r="K12" i="26"/>
  <c r="C12" i="26"/>
  <c r="W11" i="26"/>
  <c r="C11" i="26"/>
  <c r="C10" i="26"/>
  <c r="W9" i="26"/>
  <c r="K9" i="26"/>
  <c r="C9" i="26"/>
  <c r="K8" i="26"/>
  <c r="C8" i="26"/>
  <c r="AE7" i="26"/>
  <c r="C7" i="26"/>
  <c r="AE6" i="26"/>
  <c r="C6" i="26"/>
  <c r="AE5" i="26"/>
  <c r="C5" i="26"/>
  <c r="AE4" i="26"/>
  <c r="C4" i="26"/>
  <c r="J37" i="25"/>
  <c r="K36" i="25" s="1"/>
  <c r="H37" i="25"/>
  <c r="I36" i="25" s="1"/>
  <c r="F37" i="25"/>
  <c r="G34" i="25" s="1"/>
  <c r="D37" i="25"/>
  <c r="E36" i="25" s="1"/>
  <c r="B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J54" i="24"/>
  <c r="H54" i="24"/>
  <c r="F54" i="24"/>
  <c r="D54" i="24"/>
  <c r="AN37" i="23"/>
  <c r="AO35" i="23" s="1"/>
  <c r="AL37" i="23"/>
  <c r="AM34" i="23" s="1"/>
  <c r="AJ37" i="23"/>
  <c r="AK35" i="23" s="1"/>
  <c r="AH37" i="23"/>
  <c r="AI35" i="23" s="1"/>
  <c r="AF37" i="23"/>
  <c r="AG36" i="23" s="1"/>
  <c r="AD37" i="23"/>
  <c r="AE32" i="23" s="1"/>
  <c r="AB37" i="23"/>
  <c r="AC36" i="23" s="1"/>
  <c r="Z37" i="23"/>
  <c r="AA33" i="23" s="1"/>
  <c r="X37" i="23"/>
  <c r="Y35" i="23" s="1"/>
  <c r="V37" i="23"/>
  <c r="W36" i="23" s="1"/>
  <c r="T37" i="23"/>
  <c r="U35" i="23" s="1"/>
  <c r="R37" i="23"/>
  <c r="S34" i="23" s="1"/>
  <c r="P37" i="23"/>
  <c r="Q35" i="23" s="1"/>
  <c r="N37" i="23"/>
  <c r="O35" i="23" s="1"/>
  <c r="L37" i="23"/>
  <c r="M36" i="23" s="1"/>
  <c r="J37" i="23"/>
  <c r="K36" i="23" s="1"/>
  <c r="H37" i="23"/>
  <c r="I34" i="23" s="1"/>
  <c r="F37" i="23"/>
  <c r="G34" i="23" s="1"/>
  <c r="D37" i="23"/>
  <c r="E35" i="23" s="1"/>
  <c r="B37" i="23"/>
  <c r="C36" i="23" s="1"/>
  <c r="M29" i="23"/>
  <c r="AE27" i="23"/>
  <c r="M27" i="23"/>
  <c r="M12" i="23"/>
  <c r="AN37" i="22"/>
  <c r="AO27" i="22" s="1"/>
  <c r="AL37" i="22"/>
  <c r="AM36" i="22" s="1"/>
  <c r="AJ37" i="22"/>
  <c r="AK35" i="22" s="1"/>
  <c r="AH37" i="22"/>
  <c r="AI36" i="22" s="1"/>
  <c r="AF37" i="22"/>
  <c r="AG35" i="22" s="1"/>
  <c r="AD37" i="22"/>
  <c r="AE36" i="22" s="1"/>
  <c r="AB37" i="22"/>
  <c r="AC22" i="22" s="1"/>
  <c r="Z37" i="22"/>
  <c r="AA36" i="22" s="1"/>
  <c r="X37" i="22"/>
  <c r="Y35" i="22" s="1"/>
  <c r="V37" i="22"/>
  <c r="W36" i="22" s="1"/>
  <c r="T37" i="22"/>
  <c r="U33" i="22" s="1"/>
  <c r="R37" i="22"/>
  <c r="S36" i="22" s="1"/>
  <c r="P37" i="22"/>
  <c r="Q33" i="22" s="1"/>
  <c r="N37" i="22"/>
  <c r="O36" i="22" s="1"/>
  <c r="L37" i="22"/>
  <c r="M31" i="22" s="1"/>
  <c r="J37" i="22"/>
  <c r="K36" i="22" s="1"/>
  <c r="H37" i="22"/>
  <c r="I35" i="22" s="1"/>
  <c r="F37" i="22"/>
  <c r="G36" i="22" s="1"/>
  <c r="D37" i="22"/>
  <c r="E35" i="22" s="1"/>
  <c r="B37" i="22"/>
  <c r="C35" i="22" s="1"/>
  <c r="M35" i="22"/>
  <c r="AX37" i="18"/>
  <c r="AY36" i="18" s="1"/>
  <c r="AV37" i="18"/>
  <c r="AW36" i="18" s="1"/>
  <c r="AT37" i="18"/>
  <c r="AU36" i="18" s="1"/>
  <c r="AR37" i="18"/>
  <c r="AS36" i="18" s="1"/>
  <c r="AP37" i="18"/>
  <c r="AQ36" i="18" s="1"/>
  <c r="AN37" i="18"/>
  <c r="AO36" i="18" s="1"/>
  <c r="AL37" i="18"/>
  <c r="AM36" i="18" s="1"/>
  <c r="AJ37" i="18"/>
  <c r="AK36" i="18" s="1"/>
  <c r="AH37" i="18"/>
  <c r="AI36" i="18" s="1"/>
  <c r="AF37" i="18"/>
  <c r="AG36" i="18" s="1"/>
  <c r="AD37" i="18"/>
  <c r="AE36" i="18" s="1"/>
  <c r="AB37" i="18"/>
  <c r="AC36" i="18" s="1"/>
  <c r="Z37" i="18"/>
  <c r="AA36" i="18" s="1"/>
  <c r="X37" i="18"/>
  <c r="Y36" i="18" s="1"/>
  <c r="V37" i="18"/>
  <c r="W36" i="18" s="1"/>
  <c r="T37" i="18"/>
  <c r="U36" i="18" s="1"/>
  <c r="R37" i="18"/>
  <c r="S36" i="18" s="1"/>
  <c r="P37" i="18"/>
  <c r="Q36" i="18" s="1"/>
  <c r="N37" i="18"/>
  <c r="O36" i="18" s="1"/>
  <c r="L37" i="18"/>
  <c r="M36" i="18" s="1"/>
  <c r="Z38" i="4"/>
  <c r="X38" i="4"/>
  <c r="V38" i="4"/>
  <c r="T38" i="4"/>
  <c r="R38" i="4"/>
  <c r="AA37" i="4"/>
  <c r="Y37" i="4"/>
  <c r="W37" i="4"/>
  <c r="U37" i="4"/>
  <c r="S37" i="4"/>
  <c r="AA36" i="4"/>
  <c r="Y36" i="4"/>
  <c r="W36" i="4"/>
  <c r="U36" i="4"/>
  <c r="S36" i="4"/>
  <c r="AA35" i="4"/>
  <c r="Y35" i="4"/>
  <c r="W35" i="4"/>
  <c r="U35" i="4"/>
  <c r="S35" i="4"/>
  <c r="AA34" i="4"/>
  <c r="Y34" i="4"/>
  <c r="W34" i="4"/>
  <c r="U34" i="4"/>
  <c r="S34" i="4"/>
  <c r="AA33" i="4"/>
  <c r="Y33" i="4"/>
  <c r="W33" i="4"/>
  <c r="U33" i="4"/>
  <c r="S33" i="4"/>
  <c r="AA32" i="4"/>
  <c r="Y32" i="4"/>
  <c r="W32" i="4"/>
  <c r="U32" i="4"/>
  <c r="S32" i="4"/>
  <c r="AA31" i="4"/>
  <c r="Y31" i="4"/>
  <c r="W31" i="4"/>
  <c r="U31" i="4"/>
  <c r="S31" i="4"/>
  <c r="AA30" i="4"/>
  <c r="Y30" i="4"/>
  <c r="W30" i="4"/>
  <c r="U30" i="4"/>
  <c r="S30" i="4"/>
  <c r="AA29" i="4"/>
  <c r="Y29" i="4"/>
  <c r="W29" i="4"/>
  <c r="U29" i="4"/>
  <c r="S29" i="4"/>
  <c r="AA28" i="4"/>
  <c r="Y28" i="4"/>
  <c r="W28" i="4"/>
  <c r="U28" i="4"/>
  <c r="S28" i="4"/>
  <c r="AA27" i="4"/>
  <c r="Y27" i="4"/>
  <c r="W27" i="4"/>
  <c r="U27" i="4"/>
  <c r="S27" i="4"/>
  <c r="AA26" i="4"/>
  <c r="Y26" i="4"/>
  <c r="W26" i="4"/>
  <c r="U26" i="4"/>
  <c r="S26" i="4"/>
  <c r="AA25" i="4"/>
  <c r="Y25" i="4"/>
  <c r="W25" i="4"/>
  <c r="U25" i="4"/>
  <c r="S25" i="4"/>
  <c r="AA24" i="4"/>
  <c r="Y24" i="4"/>
  <c r="W24" i="4"/>
  <c r="U24" i="4"/>
  <c r="S24" i="4"/>
  <c r="AA23" i="4"/>
  <c r="Y23" i="4"/>
  <c r="W23" i="4"/>
  <c r="U23" i="4"/>
  <c r="S23" i="4"/>
  <c r="AA22" i="4"/>
  <c r="Y22" i="4"/>
  <c r="W22" i="4"/>
  <c r="U22" i="4"/>
  <c r="S22" i="4"/>
  <c r="AA21" i="4"/>
  <c r="Y21" i="4"/>
  <c r="W21" i="4"/>
  <c r="U21" i="4"/>
  <c r="S21" i="4"/>
  <c r="AA20" i="4"/>
  <c r="Y20" i="4"/>
  <c r="W20" i="4"/>
  <c r="U20" i="4"/>
  <c r="S20" i="4"/>
  <c r="AA19" i="4"/>
  <c r="Y19" i="4"/>
  <c r="W19" i="4"/>
  <c r="U19" i="4"/>
  <c r="S19" i="4"/>
  <c r="AA18" i="4"/>
  <c r="Y18" i="4"/>
  <c r="W18" i="4"/>
  <c r="U18" i="4"/>
  <c r="S18" i="4"/>
  <c r="AA17" i="4"/>
  <c r="Y17" i="4"/>
  <c r="W17" i="4"/>
  <c r="U17" i="4"/>
  <c r="S17" i="4"/>
  <c r="AA16" i="4"/>
  <c r="Y16" i="4"/>
  <c r="W16" i="4"/>
  <c r="U16" i="4"/>
  <c r="S16" i="4"/>
  <c r="AA15" i="4"/>
  <c r="Y15" i="4"/>
  <c r="W15" i="4"/>
  <c r="U15" i="4"/>
  <c r="S15" i="4"/>
  <c r="AA14" i="4"/>
  <c r="Y14" i="4"/>
  <c r="W14" i="4"/>
  <c r="U14" i="4"/>
  <c r="S14" i="4"/>
  <c r="AA13" i="4"/>
  <c r="Y13" i="4"/>
  <c r="W13" i="4"/>
  <c r="U13" i="4"/>
  <c r="S13" i="4"/>
  <c r="AA12" i="4"/>
  <c r="Y12" i="4"/>
  <c r="W12" i="4"/>
  <c r="U12" i="4"/>
  <c r="S12" i="4"/>
  <c r="AA11" i="4"/>
  <c r="Y11" i="4"/>
  <c r="W11" i="4"/>
  <c r="U11" i="4"/>
  <c r="S11" i="4"/>
  <c r="AA10" i="4"/>
  <c r="Y10" i="4"/>
  <c r="W10" i="4"/>
  <c r="U10" i="4"/>
  <c r="S10" i="4"/>
  <c r="AA9" i="4"/>
  <c r="Y9" i="4"/>
  <c r="W9" i="4"/>
  <c r="U9" i="4"/>
  <c r="S9" i="4"/>
  <c r="AA8" i="4"/>
  <c r="Y8" i="4"/>
  <c r="W8" i="4"/>
  <c r="U8" i="4"/>
  <c r="S8" i="4"/>
  <c r="AA7" i="4"/>
  <c r="Y7" i="4"/>
  <c r="W7" i="4"/>
  <c r="U7" i="4"/>
  <c r="S7" i="4"/>
  <c r="AA6" i="4"/>
  <c r="Y6" i="4"/>
  <c r="W6" i="4"/>
  <c r="U6" i="4"/>
  <c r="S6" i="4"/>
  <c r="AA5" i="4"/>
  <c r="Y5" i="4"/>
  <c r="W5" i="4"/>
  <c r="U5" i="4"/>
  <c r="S5" i="4"/>
  <c r="J37" i="18"/>
  <c r="K36" i="18" s="1"/>
  <c r="H37" i="18"/>
  <c r="I36" i="18" s="1"/>
  <c r="F37" i="18"/>
  <c r="G30" i="18" s="1"/>
  <c r="D37" i="18"/>
  <c r="E36" i="18" s="1"/>
  <c r="B37" i="18"/>
  <c r="C30" i="18" s="1"/>
  <c r="AN54" i="20"/>
  <c r="AO53" i="20" s="1"/>
  <c r="AL54" i="20"/>
  <c r="AM53" i="20" s="1"/>
  <c r="AJ54" i="20"/>
  <c r="AK53" i="20" s="1"/>
  <c r="AH54" i="20"/>
  <c r="AI50" i="20" s="1"/>
  <c r="AF54" i="20"/>
  <c r="AG49" i="20" s="1"/>
  <c r="AD54" i="20"/>
  <c r="AE53" i="20" s="1"/>
  <c r="AB54" i="20"/>
  <c r="AC50" i="20" s="1"/>
  <c r="Z54" i="20"/>
  <c r="AA53" i="20" s="1"/>
  <c r="X54" i="20"/>
  <c r="Y53" i="20" s="1"/>
  <c r="V54" i="20"/>
  <c r="W53" i="20" s="1"/>
  <c r="T54" i="20"/>
  <c r="U53" i="20" s="1"/>
  <c r="R54" i="20"/>
  <c r="S53" i="20" s="1"/>
  <c r="P54" i="20"/>
  <c r="Q50" i="20" s="1"/>
  <c r="N54" i="20"/>
  <c r="O53" i="20" s="1"/>
  <c r="L54" i="20"/>
  <c r="M53" i="20" s="1"/>
  <c r="J54" i="20"/>
  <c r="K53" i="20" s="1"/>
  <c r="H54" i="20"/>
  <c r="I53" i="20" s="1"/>
  <c r="F54" i="20"/>
  <c r="G53" i="20" s="1"/>
  <c r="D54" i="20"/>
  <c r="E53" i="20" s="1"/>
  <c r="B54" i="20"/>
  <c r="C52" i="20" s="1"/>
  <c r="T54" i="19"/>
  <c r="U53" i="19" s="1"/>
  <c r="R54" i="19"/>
  <c r="S53" i="19" s="1"/>
  <c r="P54" i="19"/>
  <c r="Q45" i="19" s="1"/>
  <c r="N54" i="19"/>
  <c r="O53" i="19" s="1"/>
  <c r="L54" i="19"/>
  <c r="M53" i="19" s="1"/>
  <c r="O55" i="4"/>
  <c r="M55" i="4"/>
  <c r="K55" i="4"/>
  <c r="I55" i="4"/>
  <c r="G55" i="4"/>
  <c r="P54" i="4"/>
  <c r="N54" i="4"/>
  <c r="L54" i="4"/>
  <c r="J54" i="4"/>
  <c r="H54" i="4"/>
  <c r="P53" i="4"/>
  <c r="N53" i="4"/>
  <c r="L53" i="4"/>
  <c r="J53" i="4"/>
  <c r="H53" i="4"/>
  <c r="P52" i="4"/>
  <c r="N52" i="4"/>
  <c r="L52" i="4"/>
  <c r="J52" i="4"/>
  <c r="H52" i="4"/>
  <c r="P51" i="4"/>
  <c r="N51" i="4"/>
  <c r="L51" i="4"/>
  <c r="J51" i="4"/>
  <c r="H51" i="4"/>
  <c r="P50" i="4"/>
  <c r="N50" i="4"/>
  <c r="L50" i="4"/>
  <c r="J50" i="4"/>
  <c r="H50" i="4"/>
  <c r="P49" i="4"/>
  <c r="N49" i="4"/>
  <c r="L49" i="4"/>
  <c r="J49" i="4"/>
  <c r="H49" i="4"/>
  <c r="P48" i="4"/>
  <c r="N48" i="4"/>
  <c r="L48" i="4"/>
  <c r="J48" i="4"/>
  <c r="H48" i="4"/>
  <c r="P47" i="4"/>
  <c r="N47" i="4"/>
  <c r="L47" i="4"/>
  <c r="J47" i="4"/>
  <c r="H47" i="4"/>
  <c r="P46" i="4"/>
  <c r="N46" i="4"/>
  <c r="L46" i="4"/>
  <c r="J46" i="4"/>
  <c r="H46" i="4"/>
  <c r="P45" i="4"/>
  <c r="N45" i="4"/>
  <c r="L45" i="4"/>
  <c r="J45" i="4"/>
  <c r="H45" i="4"/>
  <c r="P44" i="4"/>
  <c r="N44" i="4"/>
  <c r="L44" i="4"/>
  <c r="J44" i="4"/>
  <c r="H44" i="4"/>
  <c r="P43" i="4"/>
  <c r="N43" i="4"/>
  <c r="L43" i="4"/>
  <c r="J43" i="4"/>
  <c r="H43" i="4"/>
  <c r="P42" i="4"/>
  <c r="N42" i="4"/>
  <c r="L42" i="4"/>
  <c r="J42" i="4"/>
  <c r="H42" i="4"/>
  <c r="P41" i="4"/>
  <c r="N41" i="4"/>
  <c r="L41" i="4"/>
  <c r="J41" i="4"/>
  <c r="H41" i="4"/>
  <c r="P40" i="4"/>
  <c r="N40" i="4"/>
  <c r="L40" i="4"/>
  <c r="J40" i="4"/>
  <c r="H40" i="4"/>
  <c r="P39" i="4"/>
  <c r="N39" i="4"/>
  <c r="L39" i="4"/>
  <c r="J39" i="4"/>
  <c r="H39" i="4"/>
  <c r="P38" i="4"/>
  <c r="N38" i="4"/>
  <c r="L38" i="4"/>
  <c r="J38" i="4"/>
  <c r="H38" i="4"/>
  <c r="P37" i="4"/>
  <c r="N37" i="4"/>
  <c r="L37" i="4"/>
  <c r="J37" i="4"/>
  <c r="H37" i="4"/>
  <c r="P36" i="4"/>
  <c r="N36" i="4"/>
  <c r="L36" i="4"/>
  <c r="J36" i="4"/>
  <c r="H36" i="4"/>
  <c r="P35" i="4"/>
  <c r="N35" i="4"/>
  <c r="L35" i="4"/>
  <c r="J35" i="4"/>
  <c r="H35" i="4"/>
  <c r="P34" i="4"/>
  <c r="N34" i="4"/>
  <c r="L34" i="4"/>
  <c r="J34" i="4"/>
  <c r="H34" i="4"/>
  <c r="P33" i="4"/>
  <c r="N33" i="4"/>
  <c r="L33" i="4"/>
  <c r="J33" i="4"/>
  <c r="H33" i="4"/>
  <c r="P32" i="4"/>
  <c r="N32" i="4"/>
  <c r="L32" i="4"/>
  <c r="J32" i="4"/>
  <c r="H32" i="4"/>
  <c r="P31" i="4"/>
  <c r="N31" i="4"/>
  <c r="L31" i="4"/>
  <c r="J31" i="4"/>
  <c r="H31" i="4"/>
  <c r="P30" i="4"/>
  <c r="N30" i="4"/>
  <c r="L30" i="4"/>
  <c r="J30" i="4"/>
  <c r="H30" i="4"/>
  <c r="P29" i="4"/>
  <c r="N29" i="4"/>
  <c r="L29" i="4"/>
  <c r="J29" i="4"/>
  <c r="H29" i="4"/>
  <c r="P28" i="4"/>
  <c r="N28" i="4"/>
  <c r="L28" i="4"/>
  <c r="J28" i="4"/>
  <c r="H28" i="4"/>
  <c r="P27" i="4"/>
  <c r="N27" i="4"/>
  <c r="L27" i="4"/>
  <c r="J27" i="4"/>
  <c r="H27" i="4"/>
  <c r="P26" i="4"/>
  <c r="N26" i="4"/>
  <c r="L26" i="4"/>
  <c r="J26" i="4"/>
  <c r="H26" i="4"/>
  <c r="P25" i="4"/>
  <c r="N25" i="4"/>
  <c r="L25" i="4"/>
  <c r="J25" i="4"/>
  <c r="H25" i="4"/>
  <c r="P24" i="4"/>
  <c r="N24" i="4"/>
  <c r="L24" i="4"/>
  <c r="J24" i="4"/>
  <c r="H24" i="4"/>
  <c r="P23" i="4"/>
  <c r="N23" i="4"/>
  <c r="L23" i="4"/>
  <c r="J23" i="4"/>
  <c r="H23" i="4"/>
  <c r="P22" i="4"/>
  <c r="N22" i="4"/>
  <c r="L22" i="4"/>
  <c r="J22" i="4"/>
  <c r="H22" i="4"/>
  <c r="P21" i="4"/>
  <c r="N21" i="4"/>
  <c r="L21" i="4"/>
  <c r="J21" i="4"/>
  <c r="H21" i="4"/>
  <c r="P20" i="4"/>
  <c r="N20" i="4"/>
  <c r="L20" i="4"/>
  <c r="J20" i="4"/>
  <c r="H20" i="4"/>
  <c r="P19" i="4"/>
  <c r="N19" i="4"/>
  <c r="L19" i="4"/>
  <c r="J19" i="4"/>
  <c r="H19" i="4"/>
  <c r="P18" i="4"/>
  <c r="N18" i="4"/>
  <c r="L18" i="4"/>
  <c r="J18" i="4"/>
  <c r="H18" i="4"/>
  <c r="P17" i="4"/>
  <c r="N17" i="4"/>
  <c r="L17" i="4"/>
  <c r="J17" i="4"/>
  <c r="H17" i="4"/>
  <c r="P16" i="4"/>
  <c r="N16" i="4"/>
  <c r="L16" i="4"/>
  <c r="J16" i="4"/>
  <c r="H16" i="4"/>
  <c r="P15" i="4"/>
  <c r="N15" i="4"/>
  <c r="L15" i="4"/>
  <c r="J15" i="4"/>
  <c r="H15" i="4"/>
  <c r="P14" i="4"/>
  <c r="N14" i="4"/>
  <c r="L14" i="4"/>
  <c r="J14" i="4"/>
  <c r="H14" i="4"/>
  <c r="P13" i="4"/>
  <c r="N13" i="4"/>
  <c r="L13" i="4"/>
  <c r="J13" i="4"/>
  <c r="H13" i="4"/>
  <c r="P12" i="4"/>
  <c r="N12" i="4"/>
  <c r="L12" i="4"/>
  <c r="J12" i="4"/>
  <c r="H12" i="4"/>
  <c r="P11" i="4"/>
  <c r="N11" i="4"/>
  <c r="L11" i="4"/>
  <c r="J11" i="4"/>
  <c r="H11" i="4"/>
  <c r="P10" i="4"/>
  <c r="N10" i="4"/>
  <c r="L10" i="4"/>
  <c r="J10" i="4"/>
  <c r="H10" i="4"/>
  <c r="P9" i="4"/>
  <c r="N9" i="4"/>
  <c r="L9" i="4"/>
  <c r="J9" i="4"/>
  <c r="H9" i="4"/>
  <c r="P8" i="4"/>
  <c r="N8" i="4"/>
  <c r="L8" i="4"/>
  <c r="J8" i="4"/>
  <c r="H8" i="4"/>
  <c r="P7" i="4"/>
  <c r="N7" i="4"/>
  <c r="L7" i="4"/>
  <c r="J7" i="4"/>
  <c r="H7" i="4"/>
  <c r="P6" i="4"/>
  <c r="N6" i="4"/>
  <c r="L6" i="4"/>
  <c r="J6" i="4"/>
  <c r="H6" i="4"/>
  <c r="P5" i="4"/>
  <c r="N5" i="4"/>
  <c r="L5" i="4"/>
  <c r="J5" i="4"/>
  <c r="H5" i="4"/>
  <c r="J54" i="19"/>
  <c r="K53" i="19" s="1"/>
  <c r="H54" i="19"/>
  <c r="I53" i="19" s="1"/>
  <c r="F54" i="19"/>
  <c r="G53" i="19" s="1"/>
  <c r="D54" i="19"/>
  <c r="E53" i="19" s="1"/>
  <c r="B54" i="19"/>
  <c r="C5" i="19" s="1"/>
  <c r="T54" i="17"/>
  <c r="R54" i="17"/>
  <c r="P54" i="17"/>
  <c r="N54" i="17"/>
  <c r="L54" i="17"/>
  <c r="J54" i="17"/>
  <c r="H54" i="17"/>
  <c r="F54" i="17"/>
  <c r="D54" i="17"/>
  <c r="B54" i="17"/>
  <c r="K12" i="28" l="1"/>
  <c r="K14" i="28"/>
  <c r="AO22" i="26"/>
  <c r="K6" i="18"/>
  <c r="K4" i="26"/>
  <c r="K6" i="26"/>
  <c r="K16" i="26"/>
  <c r="K19" i="26"/>
  <c r="K20" i="26"/>
  <c r="K5" i="26"/>
  <c r="K7" i="26"/>
  <c r="K10" i="26"/>
  <c r="K11" i="26"/>
  <c r="K14" i="26"/>
  <c r="K15" i="26"/>
  <c r="K17" i="26"/>
  <c r="K18" i="26"/>
  <c r="K21" i="26"/>
  <c r="K22" i="26"/>
  <c r="K23" i="26"/>
  <c r="K25" i="26"/>
  <c r="K26" i="26"/>
  <c r="K29" i="26"/>
  <c r="K30" i="26"/>
  <c r="K33" i="26"/>
  <c r="U25" i="28"/>
  <c r="U29" i="28"/>
  <c r="O26" i="28"/>
  <c r="O32" i="28"/>
  <c r="O5" i="28"/>
  <c r="U13" i="28"/>
  <c r="O10" i="28"/>
  <c r="O18" i="28"/>
  <c r="U8" i="28"/>
  <c r="Q10" i="28"/>
  <c r="Q17" i="28"/>
  <c r="C4" i="28"/>
  <c r="C20" i="28"/>
  <c r="Q6" i="28"/>
  <c r="U6" i="28"/>
  <c r="M8" i="28"/>
  <c r="U4" i="28"/>
  <c r="U10" i="28"/>
  <c r="U12" i="28"/>
  <c r="U17" i="28"/>
  <c r="Q4" i="28"/>
  <c r="Q8" i="28"/>
  <c r="Q12" i="28"/>
  <c r="Q13" i="28"/>
  <c r="Q21" i="28"/>
  <c r="Q25" i="28"/>
  <c r="O7" i="28"/>
  <c r="O8" i="28"/>
  <c r="O15" i="28"/>
  <c r="O25" i="28"/>
  <c r="K13" i="28"/>
  <c r="K25" i="28"/>
  <c r="K26" i="28"/>
  <c r="O4" i="28"/>
  <c r="O6" i="28"/>
  <c r="O9" i="28"/>
  <c r="O11" i="28"/>
  <c r="O12" i="28"/>
  <c r="O13" i="28"/>
  <c r="O14" i="28"/>
  <c r="O17" i="28"/>
  <c r="M21" i="28"/>
  <c r="K4" i="28"/>
  <c r="K5" i="28"/>
  <c r="K6" i="28"/>
  <c r="K7" i="28"/>
  <c r="K8" i="28"/>
  <c r="K10" i="28"/>
  <c r="K16" i="28"/>
  <c r="K18" i="28"/>
  <c r="K31" i="28"/>
  <c r="C8" i="28"/>
  <c r="C9" i="28"/>
  <c r="C10" i="28"/>
  <c r="C13" i="28"/>
  <c r="C19" i="28"/>
  <c r="C24" i="28"/>
  <c r="O19" i="28"/>
  <c r="O22" i="28"/>
  <c r="O28" i="28"/>
  <c r="C6" i="28"/>
  <c r="C15" i="28"/>
  <c r="C16" i="28"/>
  <c r="C25" i="28"/>
  <c r="C34" i="28"/>
  <c r="O16" i="28"/>
  <c r="O20" i="28"/>
  <c r="O21" i="28"/>
  <c r="O23" i="28"/>
  <c r="O24" i="28"/>
  <c r="O27" i="28"/>
  <c r="O29" i="28"/>
  <c r="O30" i="28"/>
  <c r="O31" i="28"/>
  <c r="O34" i="28"/>
  <c r="C5" i="28"/>
  <c r="C7" i="28"/>
  <c r="C11" i="28"/>
  <c r="C12" i="28"/>
  <c r="C14" i="28"/>
  <c r="C17" i="28"/>
  <c r="C18" i="28"/>
  <c r="C21" i="28"/>
  <c r="C27" i="28"/>
  <c r="C28" i="28"/>
  <c r="C30" i="28"/>
  <c r="C31" i="28"/>
  <c r="Q29" i="28"/>
  <c r="M4" i="28"/>
  <c r="M12" i="28"/>
  <c r="M13" i="28"/>
  <c r="M29" i="28"/>
  <c r="K9" i="28"/>
  <c r="K11" i="28"/>
  <c r="K15" i="28"/>
  <c r="K17" i="28"/>
  <c r="K19" i="28"/>
  <c r="K21" i="28"/>
  <c r="K23" i="28"/>
  <c r="K28" i="28"/>
  <c r="K33" i="28"/>
  <c r="K34" i="28"/>
  <c r="K36" i="28"/>
  <c r="O33" i="28"/>
  <c r="O35" i="28"/>
  <c r="C22" i="28"/>
  <c r="C23" i="28"/>
  <c r="C26" i="28"/>
  <c r="C29" i="28"/>
  <c r="C32" i="28"/>
  <c r="C33" i="28"/>
  <c r="C35" i="28"/>
  <c r="M6" i="28"/>
  <c r="M10" i="28"/>
  <c r="M17" i="28"/>
  <c r="M25" i="28"/>
  <c r="K22" i="28"/>
  <c r="K24" i="28"/>
  <c r="K27" i="28"/>
  <c r="K29" i="28"/>
  <c r="K30" i="28"/>
  <c r="K32" i="28"/>
  <c r="M5" i="27"/>
  <c r="M6" i="27"/>
  <c r="M7" i="27"/>
  <c r="M11" i="27"/>
  <c r="M17" i="27"/>
  <c r="M18" i="27"/>
  <c r="M22" i="27"/>
  <c r="M25" i="27"/>
  <c r="U4" i="27"/>
  <c r="U18" i="27"/>
  <c r="M4" i="27"/>
  <c r="M8" i="27"/>
  <c r="M10" i="27"/>
  <c r="M12" i="27"/>
  <c r="M14" i="27"/>
  <c r="M21" i="27"/>
  <c r="M26" i="27"/>
  <c r="M33" i="27"/>
  <c r="M35" i="27"/>
  <c r="G33" i="27"/>
  <c r="U7" i="27"/>
  <c r="U26" i="27"/>
  <c r="U35" i="27"/>
  <c r="AA14" i="27"/>
  <c r="E4" i="27"/>
  <c r="E8" i="27"/>
  <c r="E9" i="27"/>
  <c r="E10" i="27"/>
  <c r="E11" i="27"/>
  <c r="E12" i="27"/>
  <c r="E13" i="27"/>
  <c r="E14" i="27"/>
  <c r="E16" i="27"/>
  <c r="E19" i="27"/>
  <c r="E21" i="27"/>
  <c r="E22" i="27"/>
  <c r="E23" i="27"/>
  <c r="E25" i="27"/>
  <c r="E26" i="27"/>
  <c r="E28" i="27"/>
  <c r="E32" i="27"/>
  <c r="E34" i="27"/>
  <c r="U22" i="27"/>
  <c r="U30" i="27"/>
  <c r="AE11" i="27"/>
  <c r="U6" i="27"/>
  <c r="U9" i="27"/>
  <c r="U13" i="27"/>
  <c r="U16" i="27"/>
  <c r="U20" i="27"/>
  <c r="U24" i="27"/>
  <c r="U28" i="27"/>
  <c r="U32" i="27"/>
  <c r="U33" i="27"/>
  <c r="U34" i="27"/>
  <c r="O33" i="27"/>
  <c r="G35" i="27"/>
  <c r="C33" i="27"/>
  <c r="C35" i="27"/>
  <c r="W33" i="27"/>
  <c r="W35" i="27"/>
  <c r="O7" i="27"/>
  <c r="O35" i="27"/>
  <c r="M15" i="27"/>
  <c r="M16" i="27"/>
  <c r="M19" i="27"/>
  <c r="M20" i="27"/>
  <c r="M23" i="27"/>
  <c r="M24" i="27"/>
  <c r="M27" i="27"/>
  <c r="M28" i="27"/>
  <c r="M31" i="27"/>
  <c r="M32" i="27"/>
  <c r="M34" i="27"/>
  <c r="AE10" i="27"/>
  <c r="U5" i="27"/>
  <c r="U8" i="27"/>
  <c r="U10" i="27"/>
  <c r="U11" i="27"/>
  <c r="U12" i="27"/>
  <c r="U14" i="27"/>
  <c r="U15" i="27"/>
  <c r="U17" i="27"/>
  <c r="U19" i="27"/>
  <c r="U21" i="27"/>
  <c r="U23" i="27"/>
  <c r="U25" i="27"/>
  <c r="U27" i="27"/>
  <c r="U29" i="27"/>
  <c r="O5" i="27"/>
  <c r="AE31" i="27"/>
  <c r="AE5" i="27"/>
  <c r="AA10" i="27"/>
  <c r="AE14" i="27"/>
  <c r="AE15" i="27"/>
  <c r="AA12" i="27"/>
  <c r="O9" i="27"/>
  <c r="AE8" i="27"/>
  <c r="AE23" i="27"/>
  <c r="Y10" i="27"/>
  <c r="W4" i="27"/>
  <c r="W11" i="27"/>
  <c r="G14" i="27"/>
  <c r="G27" i="27"/>
  <c r="C27" i="27"/>
  <c r="AE19" i="27"/>
  <c r="AE27" i="27"/>
  <c r="W14" i="27"/>
  <c r="W15" i="27"/>
  <c r="W19" i="27"/>
  <c r="W21" i="27"/>
  <c r="W27" i="27"/>
  <c r="W29" i="27"/>
  <c r="O12" i="27"/>
  <c r="G4" i="27"/>
  <c r="G12" i="27"/>
  <c r="C7" i="27"/>
  <c r="C19" i="27"/>
  <c r="O6" i="27"/>
  <c r="O13" i="27"/>
  <c r="O19" i="27"/>
  <c r="C17" i="27"/>
  <c r="W5" i="27"/>
  <c r="W6" i="27"/>
  <c r="W7" i="27"/>
  <c r="W8" i="27"/>
  <c r="W9" i="27"/>
  <c r="W10" i="27"/>
  <c r="W12" i="27"/>
  <c r="W13" i="27"/>
  <c r="W17" i="27"/>
  <c r="W23" i="27"/>
  <c r="W25" i="27"/>
  <c r="O17" i="27"/>
  <c r="O21" i="27"/>
  <c r="O23" i="27"/>
  <c r="G15" i="27"/>
  <c r="G17" i="27"/>
  <c r="G19" i="27"/>
  <c r="G21" i="27"/>
  <c r="G25" i="27"/>
  <c r="G29" i="27"/>
  <c r="C9" i="27"/>
  <c r="C14" i="27"/>
  <c r="C25" i="27"/>
  <c r="O4" i="27"/>
  <c r="O8" i="27"/>
  <c r="O10" i="27"/>
  <c r="O11" i="27"/>
  <c r="O14" i="27"/>
  <c r="O15" i="27"/>
  <c r="O25" i="27"/>
  <c r="O27" i="27"/>
  <c r="O29" i="27"/>
  <c r="K6" i="27"/>
  <c r="K10" i="27"/>
  <c r="G7" i="27"/>
  <c r="G8" i="27"/>
  <c r="G11" i="27"/>
  <c r="G13" i="27"/>
  <c r="G16" i="27"/>
  <c r="G23" i="27"/>
  <c r="G31" i="27"/>
  <c r="C5" i="27"/>
  <c r="C11" i="27"/>
  <c r="C12" i="27"/>
  <c r="C13" i="27"/>
  <c r="C15" i="27"/>
  <c r="C16" i="27"/>
  <c r="C21" i="27"/>
  <c r="C23" i="27"/>
  <c r="C29" i="27"/>
  <c r="C31" i="27"/>
  <c r="AE35" i="27"/>
  <c r="AE4" i="27"/>
  <c r="AE6" i="27"/>
  <c r="AE7" i="27"/>
  <c r="AE9" i="27"/>
  <c r="AE12" i="27"/>
  <c r="AE13" i="27"/>
  <c r="AE17" i="27"/>
  <c r="AE21" i="27"/>
  <c r="AE25" i="27"/>
  <c r="AE29" i="27"/>
  <c r="AA11" i="27"/>
  <c r="AA13" i="27"/>
  <c r="AA15" i="27"/>
  <c r="K4" i="27"/>
  <c r="K5" i="27"/>
  <c r="K7" i="27"/>
  <c r="K8" i="27"/>
  <c r="K9" i="27"/>
  <c r="K11" i="27"/>
  <c r="K12" i="27"/>
  <c r="K13" i="27"/>
  <c r="K14" i="27"/>
  <c r="K15" i="27"/>
  <c r="K16" i="27"/>
  <c r="K17" i="27"/>
  <c r="K19" i="27"/>
  <c r="K21" i="27"/>
  <c r="K23" i="27"/>
  <c r="K25" i="27"/>
  <c r="K27" i="27"/>
  <c r="K29" i="27"/>
  <c r="K31" i="27"/>
  <c r="K33" i="27"/>
  <c r="G5" i="27"/>
  <c r="G6" i="27"/>
  <c r="G9" i="27"/>
  <c r="C4" i="27"/>
  <c r="C6" i="27"/>
  <c r="C8" i="27"/>
  <c r="AC23" i="26"/>
  <c r="AC36" i="26"/>
  <c r="AG15" i="26"/>
  <c r="W4" i="26"/>
  <c r="W5" i="26"/>
  <c r="W6" i="26"/>
  <c r="W7" i="26"/>
  <c r="W8" i="26"/>
  <c r="W10" i="26"/>
  <c r="W12" i="26"/>
  <c r="W14" i="26"/>
  <c r="W17" i="26"/>
  <c r="W19" i="26"/>
  <c r="W21" i="26"/>
  <c r="W25" i="26"/>
  <c r="W27" i="26"/>
  <c r="W29" i="26"/>
  <c r="W31" i="26"/>
  <c r="W33" i="26"/>
  <c r="AC10" i="26"/>
  <c r="AC16" i="26"/>
  <c r="AE12" i="26"/>
  <c r="AE13" i="26"/>
  <c r="AC8" i="26"/>
  <c r="AC22" i="26"/>
  <c r="AE22" i="26"/>
  <c r="AE23" i="26"/>
  <c r="AE24" i="26"/>
  <c r="AE25" i="26"/>
  <c r="AE26" i="26"/>
  <c r="AE27" i="26"/>
  <c r="M10" i="26"/>
  <c r="M12" i="26"/>
  <c r="AO13" i="26"/>
  <c r="AO15" i="26"/>
  <c r="AO34" i="26"/>
  <c r="AE8" i="26"/>
  <c r="AE9" i="26"/>
  <c r="AE10" i="26"/>
  <c r="AE11" i="26"/>
  <c r="AE14" i="26"/>
  <c r="AE16" i="26"/>
  <c r="AE17" i="26"/>
  <c r="AE18" i="26"/>
  <c r="AE19" i="26"/>
  <c r="AE33" i="26"/>
  <c r="AE34" i="26"/>
  <c r="AC5" i="26"/>
  <c r="AC20" i="26"/>
  <c r="AC28" i="26"/>
  <c r="AC33" i="26"/>
  <c r="AE15" i="26"/>
  <c r="AE20" i="26"/>
  <c r="AE21" i="26"/>
  <c r="AE28" i="26"/>
  <c r="AE29" i="26"/>
  <c r="AE30" i="26"/>
  <c r="AE31" i="26"/>
  <c r="AE32" i="26"/>
  <c r="AC4" i="26"/>
  <c r="AC7" i="26"/>
  <c r="AC11" i="26"/>
  <c r="AC13" i="26"/>
  <c r="AC15" i="26"/>
  <c r="AC17" i="26"/>
  <c r="AC21" i="26"/>
  <c r="AC27" i="26"/>
  <c r="AC29" i="26"/>
  <c r="AA14" i="26"/>
  <c r="AO6" i="26"/>
  <c r="AO7" i="26"/>
  <c r="AG10" i="26"/>
  <c r="AG16" i="26"/>
  <c r="U4" i="26"/>
  <c r="U13" i="26"/>
  <c r="M19" i="26"/>
  <c r="M34" i="26"/>
  <c r="AO4" i="26"/>
  <c r="AO5" i="26"/>
  <c r="AO12" i="26"/>
  <c r="AO16" i="26"/>
  <c r="AO17" i="26"/>
  <c r="AO19" i="26"/>
  <c r="AO20" i="26"/>
  <c r="AO27" i="26"/>
  <c r="AO28" i="26"/>
  <c r="AO31" i="26"/>
  <c r="AA13" i="26"/>
  <c r="AA15" i="26"/>
  <c r="AA16" i="26"/>
  <c r="AA18" i="26"/>
  <c r="AA19" i="26"/>
  <c r="AA36" i="26"/>
  <c r="U5" i="26"/>
  <c r="U24" i="26"/>
  <c r="U30" i="26"/>
  <c r="M20" i="26"/>
  <c r="M28" i="26"/>
  <c r="G36" i="26"/>
  <c r="AG4" i="26"/>
  <c r="AG5" i="26"/>
  <c r="AG6" i="26"/>
  <c r="AG12" i="26"/>
  <c r="AA17" i="26"/>
  <c r="U9" i="26"/>
  <c r="U12" i="26"/>
  <c r="U15" i="26"/>
  <c r="U19" i="26"/>
  <c r="U20" i="26"/>
  <c r="U25" i="26"/>
  <c r="U31" i="26"/>
  <c r="U34" i="26"/>
  <c r="M4" i="26"/>
  <c r="M22" i="26"/>
  <c r="M27" i="26"/>
  <c r="E27" i="26"/>
  <c r="AO33" i="26"/>
  <c r="AM25" i="26"/>
  <c r="AG23" i="26"/>
  <c r="AG33" i="26"/>
  <c r="AG8" i="26"/>
  <c r="AG9" i="26"/>
  <c r="AG19" i="26"/>
  <c r="AG27" i="26"/>
  <c r="AG29" i="26"/>
  <c r="AC6" i="26"/>
  <c r="AC9" i="26"/>
  <c r="AC12" i="26"/>
  <c r="AC14" i="26"/>
  <c r="AC18" i="26"/>
  <c r="AC19" i="26"/>
  <c r="AC24" i="26"/>
  <c r="AC25" i="26"/>
  <c r="AC26" i="26"/>
  <c r="AC30" i="26"/>
  <c r="AC31" i="26"/>
  <c r="AC32" i="26"/>
  <c r="AC34" i="26"/>
  <c r="U8" i="26"/>
  <c r="U17" i="26"/>
  <c r="U21" i="26"/>
  <c r="U35" i="26"/>
  <c r="M6" i="26"/>
  <c r="M8" i="26"/>
  <c r="M24" i="26"/>
  <c r="M26" i="26"/>
  <c r="M30" i="26"/>
  <c r="M32" i="26"/>
  <c r="M36" i="26"/>
  <c r="I36" i="26"/>
  <c r="E19" i="26"/>
  <c r="E26" i="26"/>
  <c r="E28" i="26"/>
  <c r="AO8" i="26"/>
  <c r="AO9" i="26"/>
  <c r="AO10" i="26"/>
  <c r="AO11" i="26"/>
  <c r="AO14" i="26"/>
  <c r="AO18" i="26"/>
  <c r="AO21" i="26"/>
  <c r="AO23" i="26"/>
  <c r="AO24" i="26"/>
  <c r="AO25" i="26"/>
  <c r="AO26" i="26"/>
  <c r="AO29" i="26"/>
  <c r="AO30" i="26"/>
  <c r="AO32" i="26"/>
  <c r="AO35" i="26"/>
  <c r="AM26" i="26"/>
  <c r="AK26" i="26"/>
  <c r="AG36" i="26"/>
  <c r="AG7" i="26"/>
  <c r="AG11" i="26"/>
  <c r="AG13" i="26"/>
  <c r="AG14" i="26"/>
  <c r="AG17" i="26"/>
  <c r="AG18" i="26"/>
  <c r="AG20" i="26"/>
  <c r="AG21" i="26"/>
  <c r="AG22" i="26"/>
  <c r="AG24" i="26"/>
  <c r="AG25" i="26"/>
  <c r="AG26" i="26"/>
  <c r="AG28" i="26"/>
  <c r="AG30" i="26"/>
  <c r="AG31" i="26"/>
  <c r="AG32" i="26"/>
  <c r="AG34" i="26"/>
  <c r="U6" i="26"/>
  <c r="U7" i="26"/>
  <c r="U10" i="26"/>
  <c r="U11" i="26"/>
  <c r="U14" i="26"/>
  <c r="U16" i="26"/>
  <c r="U18" i="26"/>
  <c r="U22" i="26"/>
  <c r="U23" i="26"/>
  <c r="U26" i="26"/>
  <c r="U27" i="26"/>
  <c r="U28" i="26"/>
  <c r="U29" i="26"/>
  <c r="U32" i="26"/>
  <c r="U33" i="26"/>
  <c r="M5" i="26"/>
  <c r="M7" i="26"/>
  <c r="M9" i="26"/>
  <c r="M11" i="26"/>
  <c r="M13" i="26"/>
  <c r="M14" i="26"/>
  <c r="M15" i="26"/>
  <c r="M16" i="26"/>
  <c r="M17" i="26"/>
  <c r="M18" i="26"/>
  <c r="M21" i="26"/>
  <c r="M23" i="26"/>
  <c r="M25" i="26"/>
  <c r="M29" i="26"/>
  <c r="M31" i="26"/>
  <c r="M33" i="26"/>
  <c r="K4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M25" i="23"/>
  <c r="AG5" i="23"/>
  <c r="W20" i="23"/>
  <c r="W8" i="23"/>
  <c r="W16" i="23"/>
  <c r="W30" i="23"/>
  <c r="AG6" i="23"/>
  <c r="K33" i="23"/>
  <c r="AE5" i="23"/>
  <c r="K5" i="23"/>
  <c r="K34" i="23"/>
  <c r="AE12" i="23"/>
  <c r="AE17" i="23"/>
  <c r="AE22" i="23"/>
  <c r="AE36" i="23"/>
  <c r="W6" i="23"/>
  <c r="W7" i="23"/>
  <c r="W9" i="23"/>
  <c r="W12" i="23"/>
  <c r="W13" i="23"/>
  <c r="W17" i="23"/>
  <c r="W19" i="23"/>
  <c r="W22" i="23"/>
  <c r="W24" i="23"/>
  <c r="W25" i="23"/>
  <c r="W27" i="23"/>
  <c r="W28" i="23"/>
  <c r="W29" i="23"/>
  <c r="W32" i="23"/>
  <c r="W33" i="23"/>
  <c r="K9" i="23"/>
  <c r="K11" i="23"/>
  <c r="K22" i="23"/>
  <c r="K27" i="23"/>
  <c r="K28" i="23"/>
  <c r="K29" i="23"/>
  <c r="AO15" i="23"/>
  <c r="AO18" i="23"/>
  <c r="AG8" i="23"/>
  <c r="K4" i="23"/>
  <c r="K7" i="23"/>
  <c r="K8" i="23"/>
  <c r="K12" i="23"/>
  <c r="K13" i="23"/>
  <c r="K15" i="23"/>
  <c r="K16" i="23"/>
  <c r="K17" i="23"/>
  <c r="K19" i="23"/>
  <c r="K20" i="23"/>
  <c r="K21" i="23"/>
  <c r="K30" i="23"/>
  <c r="AO36" i="23"/>
  <c r="AG4" i="23"/>
  <c r="AG7" i="23"/>
  <c r="AG9" i="23"/>
  <c r="AG11" i="23"/>
  <c r="AG15" i="23"/>
  <c r="AG19" i="23"/>
  <c r="AG26" i="23"/>
  <c r="AE14" i="23"/>
  <c r="AE15" i="23"/>
  <c r="AE33" i="23"/>
  <c r="AE34" i="23"/>
  <c r="AE4" i="23"/>
  <c r="AE6" i="23"/>
  <c r="AE7" i="23"/>
  <c r="AE8" i="23"/>
  <c r="AE9" i="23"/>
  <c r="AE10" i="23"/>
  <c r="AE11" i="23"/>
  <c r="AE13" i="23"/>
  <c r="AE16" i="23"/>
  <c r="AE18" i="23"/>
  <c r="AE19" i="23"/>
  <c r="AE20" i="23"/>
  <c r="AE21" i="23"/>
  <c r="AE23" i="23"/>
  <c r="AE26" i="23"/>
  <c r="AE28" i="23"/>
  <c r="AE35" i="23"/>
  <c r="AG10" i="23"/>
  <c r="AG12" i="23"/>
  <c r="AG13" i="23"/>
  <c r="AG14" i="23"/>
  <c r="AG16" i="23"/>
  <c r="AG17" i="23"/>
  <c r="AG18" i="23"/>
  <c r="AG22" i="23"/>
  <c r="AG23" i="23"/>
  <c r="AG27" i="23"/>
  <c r="W4" i="23"/>
  <c r="W5" i="23"/>
  <c r="W10" i="23"/>
  <c r="W11" i="23"/>
  <c r="W14" i="23"/>
  <c r="W15" i="23"/>
  <c r="W18" i="23"/>
  <c r="W21" i="23"/>
  <c r="W23" i="23"/>
  <c r="W26" i="23"/>
  <c r="W31" i="23"/>
  <c r="W34" i="23"/>
  <c r="W35" i="23"/>
  <c r="U16" i="23"/>
  <c r="U18" i="23"/>
  <c r="M5" i="23"/>
  <c r="M6" i="23"/>
  <c r="M11" i="23"/>
  <c r="AO7" i="23"/>
  <c r="AO10" i="23"/>
  <c r="AO11" i="23"/>
  <c r="AO19" i="23"/>
  <c r="AO23" i="23"/>
  <c r="AO24" i="23"/>
  <c r="AO28" i="23"/>
  <c r="AO34" i="23"/>
  <c r="M4" i="23"/>
  <c r="M13" i="23"/>
  <c r="M14" i="23"/>
  <c r="M19" i="23"/>
  <c r="M20" i="23"/>
  <c r="M21" i="23"/>
  <c r="M22" i="23"/>
  <c r="M23" i="23"/>
  <c r="M28" i="23"/>
  <c r="M30" i="23"/>
  <c r="M31" i="23"/>
  <c r="M33" i="23"/>
  <c r="M34" i="23"/>
  <c r="M35" i="23"/>
  <c r="U8" i="23"/>
  <c r="U10" i="23"/>
  <c r="U26" i="23"/>
  <c r="AO6" i="23"/>
  <c r="AO14" i="23"/>
  <c r="AO20" i="23"/>
  <c r="AO22" i="23"/>
  <c r="AO26" i="23"/>
  <c r="AO27" i="23"/>
  <c r="AO30" i="23"/>
  <c r="AO32" i="23"/>
  <c r="AE24" i="23"/>
  <c r="AE25" i="23"/>
  <c r="AE29" i="23"/>
  <c r="AE30" i="23"/>
  <c r="AE31" i="23"/>
  <c r="U4" i="23"/>
  <c r="U6" i="23"/>
  <c r="U12" i="23"/>
  <c r="U14" i="23"/>
  <c r="U20" i="23"/>
  <c r="U22" i="23"/>
  <c r="U24" i="23"/>
  <c r="U28" i="23"/>
  <c r="M7" i="23"/>
  <c r="M8" i="23"/>
  <c r="M9" i="23"/>
  <c r="M10" i="23"/>
  <c r="M15" i="23"/>
  <c r="M16" i="23"/>
  <c r="M17" i="23"/>
  <c r="M18" i="23"/>
  <c r="M24" i="23"/>
  <c r="M26" i="23"/>
  <c r="M32" i="23"/>
  <c r="K6" i="23"/>
  <c r="K10" i="23"/>
  <c r="K14" i="23"/>
  <c r="K18" i="23"/>
  <c r="K23" i="23"/>
  <c r="K24" i="23"/>
  <c r="K25" i="23"/>
  <c r="K26" i="23"/>
  <c r="K31" i="23"/>
  <c r="K32" i="23"/>
  <c r="K35" i="23"/>
  <c r="AO4" i="23"/>
  <c r="AO5" i="23"/>
  <c r="AO8" i="23"/>
  <c r="AO9" i="23"/>
  <c r="AO12" i="23"/>
  <c r="AO13" i="23"/>
  <c r="AO16" i="23"/>
  <c r="AO17" i="23"/>
  <c r="AO21" i="23"/>
  <c r="AO25" i="23"/>
  <c r="AO29" i="23"/>
  <c r="AO31" i="23"/>
  <c r="AO33" i="23"/>
  <c r="AG20" i="23"/>
  <c r="AG21" i="23"/>
  <c r="AG24" i="23"/>
  <c r="AG25" i="23"/>
  <c r="AG28" i="23"/>
  <c r="AG29" i="23"/>
  <c r="AG30" i="23"/>
  <c r="AG31" i="23"/>
  <c r="AG32" i="23"/>
  <c r="AG33" i="23"/>
  <c r="AG34" i="23"/>
  <c r="AG35" i="23"/>
  <c r="U30" i="23"/>
  <c r="U32" i="23"/>
  <c r="U34" i="23"/>
  <c r="U36" i="23"/>
  <c r="U5" i="23"/>
  <c r="U7" i="23"/>
  <c r="U9" i="23"/>
  <c r="U11" i="23"/>
  <c r="U13" i="23"/>
  <c r="U15" i="23"/>
  <c r="U17" i="23"/>
  <c r="U19" i="23"/>
  <c r="U21" i="23"/>
  <c r="U23" i="23"/>
  <c r="U25" i="23"/>
  <c r="U27" i="23"/>
  <c r="U29" i="23"/>
  <c r="U31" i="23"/>
  <c r="U33" i="23"/>
  <c r="Q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6" i="23"/>
  <c r="AE23" i="22"/>
  <c r="W4" i="22"/>
  <c r="W31" i="22"/>
  <c r="W14" i="22"/>
  <c r="W29" i="22"/>
  <c r="U27" i="22"/>
  <c r="U31" i="22"/>
  <c r="U4" i="22"/>
  <c r="U6" i="22"/>
  <c r="M33" i="22"/>
  <c r="K35" i="22"/>
  <c r="W18" i="22"/>
  <c r="W16" i="22"/>
  <c r="W22" i="22"/>
  <c r="U8" i="22"/>
  <c r="U20" i="22"/>
  <c r="M18" i="22"/>
  <c r="M20" i="22"/>
  <c r="M22" i="22"/>
  <c r="E8" i="22"/>
  <c r="U12" i="22"/>
  <c r="U16" i="22"/>
  <c r="M6" i="22"/>
  <c r="M12" i="22"/>
  <c r="M27" i="22"/>
  <c r="AO33" i="22"/>
  <c r="AO35" i="22"/>
  <c r="AG6" i="22"/>
  <c r="AG14" i="22"/>
  <c r="AE4" i="22"/>
  <c r="AE8" i="22"/>
  <c r="AE33" i="22"/>
  <c r="U23" i="22"/>
  <c r="U35" i="22"/>
  <c r="K13" i="22"/>
  <c r="K17" i="22"/>
  <c r="AO4" i="22"/>
  <c r="AO29" i="22"/>
  <c r="AG16" i="22"/>
  <c r="AG25" i="22"/>
  <c r="K5" i="22"/>
  <c r="K7" i="22"/>
  <c r="K9" i="22"/>
  <c r="K19" i="22"/>
  <c r="AO14" i="22"/>
  <c r="AO16" i="22"/>
  <c r="AO18" i="22"/>
  <c r="AO20" i="22"/>
  <c r="AO31" i="22"/>
  <c r="AG20" i="22"/>
  <c r="AG23" i="22"/>
  <c r="AG27" i="22"/>
  <c r="AG33" i="22"/>
  <c r="K11" i="22"/>
  <c r="K21" i="22"/>
  <c r="K25" i="22"/>
  <c r="K27" i="22"/>
  <c r="K29" i="22"/>
  <c r="K33" i="22"/>
  <c r="AG4" i="22"/>
  <c r="AG8" i="22"/>
  <c r="AG10" i="22"/>
  <c r="AG12" i="22"/>
  <c r="AG18" i="22"/>
  <c r="AG22" i="22"/>
  <c r="AG29" i="22"/>
  <c r="AG31" i="22"/>
  <c r="AE6" i="22"/>
  <c r="AE10" i="22"/>
  <c r="AE16" i="22"/>
  <c r="AE18" i="22"/>
  <c r="AE25" i="22"/>
  <c r="AE31" i="22"/>
  <c r="W33" i="22"/>
  <c r="W6" i="22"/>
  <c r="W8" i="22"/>
  <c r="W10" i="22"/>
  <c r="W12" i="22"/>
  <c r="W20" i="22"/>
  <c r="W23" i="22"/>
  <c r="W25" i="22"/>
  <c r="W27" i="22"/>
  <c r="W35" i="22"/>
  <c r="M4" i="22"/>
  <c r="M8" i="22"/>
  <c r="M10" i="22"/>
  <c r="M14" i="22"/>
  <c r="M16" i="22"/>
  <c r="M23" i="22"/>
  <c r="M25" i="22"/>
  <c r="M29" i="22"/>
  <c r="AO6" i="22"/>
  <c r="AO8" i="22"/>
  <c r="AO10" i="22"/>
  <c r="AO12" i="22"/>
  <c r="AO22" i="22"/>
  <c r="AO23" i="22"/>
  <c r="AO25" i="22"/>
  <c r="K4" i="22"/>
  <c r="K6" i="22"/>
  <c r="K15" i="22"/>
  <c r="K23" i="22"/>
  <c r="K31" i="22"/>
  <c r="C4" i="22"/>
  <c r="C5" i="22"/>
  <c r="C6" i="22"/>
  <c r="C7" i="22"/>
  <c r="C8" i="22"/>
  <c r="C36" i="22"/>
  <c r="AM35" i="22"/>
  <c r="AE12" i="22"/>
  <c r="AE14" i="22"/>
  <c r="AE20" i="22"/>
  <c r="AE22" i="22"/>
  <c r="AE27" i="22"/>
  <c r="AE29" i="22"/>
  <c r="AE35" i="22"/>
  <c r="U10" i="22"/>
  <c r="U14" i="22"/>
  <c r="U18" i="22"/>
  <c r="U22" i="22"/>
  <c r="U25" i="22"/>
  <c r="U29" i="22"/>
  <c r="K8" i="22"/>
  <c r="K10" i="22"/>
  <c r="K12" i="22"/>
  <c r="K14" i="22"/>
  <c r="K16" i="22"/>
  <c r="K18" i="22"/>
  <c r="K20" i="22"/>
  <c r="K22" i="22"/>
  <c r="K24" i="22"/>
  <c r="K26" i="22"/>
  <c r="K28" i="22"/>
  <c r="K30" i="22"/>
  <c r="K32" i="22"/>
  <c r="K34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K22" i="18"/>
  <c r="M5" i="18"/>
  <c r="K14" i="18"/>
  <c r="K30" i="18"/>
  <c r="C34" i="18"/>
  <c r="AG17" i="18"/>
  <c r="AG9" i="18"/>
  <c r="AG25" i="18"/>
  <c r="AG5" i="18"/>
  <c r="AG13" i="18"/>
  <c r="AG21" i="18"/>
  <c r="AG29" i="18"/>
  <c r="AY6" i="18"/>
  <c r="AQ14" i="18"/>
  <c r="AQ22" i="18"/>
  <c r="AQ30" i="18"/>
  <c r="AQ10" i="18"/>
  <c r="AQ18" i="18"/>
  <c r="AQ26" i="18"/>
  <c r="AG33" i="18"/>
  <c r="AG7" i="18"/>
  <c r="AG11" i="18"/>
  <c r="AG15" i="18"/>
  <c r="AG19" i="18"/>
  <c r="AG23" i="18"/>
  <c r="AG27" i="18"/>
  <c r="AG31" i="18"/>
  <c r="AG35" i="18"/>
  <c r="W15" i="18"/>
  <c r="M21" i="18"/>
  <c r="AQ4" i="18"/>
  <c r="AQ8" i="18"/>
  <c r="AQ12" i="18"/>
  <c r="AQ16" i="18"/>
  <c r="AQ20" i="18"/>
  <c r="AQ24" i="18"/>
  <c r="AQ28" i="18"/>
  <c r="AQ33" i="18"/>
  <c r="W7" i="18"/>
  <c r="W23" i="18"/>
  <c r="M13" i="18"/>
  <c r="M29" i="18"/>
  <c r="K10" i="18"/>
  <c r="K18" i="18"/>
  <c r="K26" i="18"/>
  <c r="AY4" i="18"/>
  <c r="K4" i="18"/>
  <c r="K8" i="18"/>
  <c r="K12" i="18"/>
  <c r="K16" i="18"/>
  <c r="K20" i="18"/>
  <c r="K24" i="18"/>
  <c r="K28" i="18"/>
  <c r="C32" i="18"/>
  <c r="C36" i="18"/>
  <c r="W11" i="18"/>
  <c r="W19" i="18"/>
  <c r="W29" i="18"/>
  <c r="M9" i="18"/>
  <c r="M17" i="18"/>
  <c r="M25" i="18"/>
  <c r="M33" i="18"/>
  <c r="AY5" i="18"/>
  <c r="AQ5" i="18"/>
  <c r="AQ6" i="18"/>
  <c r="AQ7" i="18"/>
  <c r="AQ9" i="18"/>
  <c r="AQ11" i="18"/>
  <c r="AQ13" i="18"/>
  <c r="AQ15" i="18"/>
  <c r="AQ17" i="18"/>
  <c r="AQ19" i="18"/>
  <c r="AQ21" i="18"/>
  <c r="AQ23" i="18"/>
  <c r="AQ25" i="18"/>
  <c r="AQ27" i="18"/>
  <c r="AQ29" i="18"/>
  <c r="AQ31" i="18"/>
  <c r="AQ35" i="18"/>
  <c r="W5" i="18"/>
  <c r="W9" i="18"/>
  <c r="W13" i="18"/>
  <c r="W17" i="18"/>
  <c r="W21" i="18"/>
  <c r="W25" i="18"/>
  <c r="W33" i="18"/>
  <c r="M7" i="18"/>
  <c r="M11" i="18"/>
  <c r="M15" i="18"/>
  <c r="M19" i="18"/>
  <c r="M23" i="18"/>
  <c r="M27" i="18"/>
  <c r="M31" i="18"/>
  <c r="M35" i="18"/>
  <c r="AG4" i="18"/>
  <c r="AG6" i="18"/>
  <c r="AG8" i="18"/>
  <c r="AG10" i="18"/>
  <c r="AG12" i="18"/>
  <c r="AG14" i="18"/>
  <c r="AG16" i="18"/>
  <c r="AG18" i="18"/>
  <c r="AG20" i="18"/>
  <c r="AG22" i="18"/>
  <c r="AG24" i="18"/>
  <c r="AG26" i="18"/>
  <c r="AG28" i="18"/>
  <c r="AG30" i="18"/>
  <c r="AG32" i="18"/>
  <c r="AG34" i="18"/>
  <c r="W4" i="18"/>
  <c r="W6" i="18"/>
  <c r="W8" i="18"/>
  <c r="W10" i="18"/>
  <c r="W12" i="18"/>
  <c r="W14" i="18"/>
  <c r="W16" i="18"/>
  <c r="W18" i="18"/>
  <c r="W20" i="18"/>
  <c r="W22" i="18"/>
  <c r="W24" i="18"/>
  <c r="W27" i="18"/>
  <c r="W31" i="18"/>
  <c r="W35" i="18"/>
  <c r="K5" i="18"/>
  <c r="K7" i="18"/>
  <c r="K9" i="18"/>
  <c r="K11" i="18"/>
  <c r="K13" i="18"/>
  <c r="K15" i="18"/>
  <c r="K17" i="18"/>
  <c r="K19" i="18"/>
  <c r="K21" i="18"/>
  <c r="K23" i="18"/>
  <c r="K25" i="18"/>
  <c r="K27" i="18"/>
  <c r="K29" i="18"/>
  <c r="K31" i="18"/>
  <c r="K32" i="18"/>
  <c r="K34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W26" i="18"/>
  <c r="W28" i="18"/>
  <c r="W30" i="18"/>
  <c r="W32" i="18"/>
  <c r="W34" i="18"/>
  <c r="M4" i="18"/>
  <c r="M6" i="18"/>
  <c r="M8" i="18"/>
  <c r="M10" i="18"/>
  <c r="M12" i="18"/>
  <c r="M14" i="18"/>
  <c r="M16" i="18"/>
  <c r="M18" i="18"/>
  <c r="M20" i="18"/>
  <c r="M22" i="18"/>
  <c r="M24" i="18"/>
  <c r="M26" i="18"/>
  <c r="M28" i="18"/>
  <c r="M30" i="18"/>
  <c r="M32" i="18"/>
  <c r="M34" i="18"/>
  <c r="AQ32" i="18"/>
  <c r="AQ34" i="18"/>
  <c r="AE4" i="18"/>
  <c r="AE5" i="18"/>
  <c r="AE6" i="18"/>
  <c r="AE7" i="18"/>
  <c r="AE8" i="18"/>
  <c r="AE9" i="18"/>
  <c r="AE10" i="18"/>
  <c r="AE11" i="18"/>
  <c r="AE12" i="18"/>
  <c r="AE13" i="18"/>
  <c r="AE14" i="18"/>
  <c r="AE15" i="18"/>
  <c r="AE16" i="18"/>
  <c r="AE17" i="18"/>
  <c r="AE18" i="18"/>
  <c r="AE19" i="18"/>
  <c r="AE20" i="18"/>
  <c r="AE21" i="18"/>
  <c r="AE22" i="18"/>
  <c r="AE23" i="18"/>
  <c r="AE24" i="18"/>
  <c r="AE25" i="18"/>
  <c r="AE26" i="18"/>
  <c r="AE27" i="18"/>
  <c r="AE28" i="18"/>
  <c r="AE29" i="18"/>
  <c r="AE30" i="18"/>
  <c r="AE31" i="18"/>
  <c r="AE32" i="18"/>
  <c r="AE33" i="18"/>
  <c r="AE34" i="18"/>
  <c r="AE35" i="18"/>
  <c r="AY7" i="18"/>
  <c r="AY8" i="18"/>
  <c r="AY9" i="18"/>
  <c r="AY10" i="18"/>
  <c r="AY11" i="18"/>
  <c r="AY12" i="18"/>
  <c r="AY13" i="18"/>
  <c r="AY14" i="18"/>
  <c r="AY15" i="18"/>
  <c r="AY16" i="18"/>
  <c r="AY17" i="18"/>
  <c r="AY18" i="18"/>
  <c r="AY19" i="18"/>
  <c r="AY20" i="18"/>
  <c r="AY21" i="18"/>
  <c r="AY22" i="18"/>
  <c r="AY23" i="18"/>
  <c r="AY24" i="18"/>
  <c r="AY25" i="18"/>
  <c r="AY26" i="18"/>
  <c r="AY27" i="18"/>
  <c r="AY28" i="18"/>
  <c r="AY29" i="18"/>
  <c r="AY30" i="18"/>
  <c r="AY31" i="18"/>
  <c r="AY32" i="18"/>
  <c r="AY33" i="18"/>
  <c r="AY34" i="18"/>
  <c r="AY35" i="18"/>
  <c r="AO4" i="18"/>
  <c r="AO5" i="18"/>
  <c r="AO6" i="18"/>
  <c r="AO7" i="18"/>
  <c r="AO8" i="18"/>
  <c r="AO9" i="18"/>
  <c r="AO10" i="18"/>
  <c r="AO11" i="18"/>
  <c r="AO12" i="18"/>
  <c r="AO13" i="18"/>
  <c r="AO14" i="18"/>
  <c r="AO15" i="18"/>
  <c r="AO16" i="18"/>
  <c r="AO17" i="18"/>
  <c r="AO18" i="18"/>
  <c r="AO19" i="18"/>
  <c r="AO20" i="18"/>
  <c r="AO21" i="18"/>
  <c r="AO22" i="18"/>
  <c r="AO23" i="18"/>
  <c r="AO24" i="18"/>
  <c r="AO25" i="18"/>
  <c r="AO26" i="18"/>
  <c r="AO27" i="18"/>
  <c r="AO28" i="18"/>
  <c r="AO29" i="18"/>
  <c r="AO30" i="18"/>
  <c r="AO31" i="18"/>
  <c r="AO32" i="18"/>
  <c r="AO33" i="18"/>
  <c r="AO34" i="18"/>
  <c r="AO35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AC49" i="20"/>
  <c r="AC53" i="20"/>
  <c r="AC7" i="20"/>
  <c r="AC52" i="20"/>
  <c r="AM11" i="20"/>
  <c r="AI51" i="20"/>
  <c r="M50" i="20"/>
  <c r="AM15" i="20"/>
  <c r="AM14" i="20"/>
  <c r="AM22" i="20"/>
  <c r="I48" i="20"/>
  <c r="AG10" i="20"/>
  <c r="AG14" i="20"/>
  <c r="AG15" i="20"/>
  <c r="AG17" i="20"/>
  <c r="O52" i="20"/>
  <c r="AG6" i="20"/>
  <c r="AG30" i="20"/>
  <c r="AG38" i="20"/>
  <c r="AG53" i="20"/>
  <c r="AG24" i="20"/>
  <c r="AG33" i="20"/>
  <c r="AG51" i="20"/>
  <c r="AG52" i="20"/>
  <c r="AE48" i="20"/>
  <c r="AE52" i="20"/>
  <c r="AA51" i="20"/>
  <c r="AI52" i="20"/>
  <c r="AI53" i="20"/>
  <c r="AM31" i="20"/>
  <c r="AM34" i="20"/>
  <c r="AG4" i="20"/>
  <c r="AG8" i="20"/>
  <c r="AG28" i="20"/>
  <c r="AG48" i="20"/>
  <c r="Y46" i="20"/>
  <c r="AC17" i="20"/>
  <c r="Y14" i="20"/>
  <c r="Y31" i="20"/>
  <c r="AC22" i="20"/>
  <c r="AC36" i="20"/>
  <c r="Y23" i="20"/>
  <c r="U16" i="20"/>
  <c r="Q28" i="20"/>
  <c r="AI44" i="20"/>
  <c r="AE20" i="20"/>
  <c r="AE22" i="20"/>
  <c r="AM6" i="20"/>
  <c r="AM46" i="20"/>
  <c r="AG5" i="20"/>
  <c r="AG9" i="20"/>
  <c r="AG26" i="20"/>
  <c r="AG29" i="20"/>
  <c r="AG31" i="20"/>
  <c r="AG32" i="20"/>
  <c r="AG34" i="20"/>
  <c r="AG36" i="20"/>
  <c r="AG39" i="20"/>
  <c r="AG45" i="20"/>
  <c r="AG47" i="20"/>
  <c r="AG50" i="20"/>
  <c r="AC4" i="20"/>
  <c r="AC37" i="20"/>
  <c r="AM50" i="20"/>
  <c r="AM26" i="20"/>
  <c r="AO28" i="20"/>
  <c r="AI42" i="20"/>
  <c r="O22" i="20"/>
  <c r="O20" i="20"/>
  <c r="O24" i="20"/>
  <c r="I32" i="20"/>
  <c r="AO15" i="20"/>
  <c r="AO30" i="20"/>
  <c r="AO46" i="20"/>
  <c r="AE34" i="20"/>
  <c r="AE36" i="20"/>
  <c r="U35" i="20"/>
  <c r="M42" i="20"/>
  <c r="AM7" i="20"/>
  <c r="AM10" i="20"/>
  <c r="AM18" i="20"/>
  <c r="AM23" i="20"/>
  <c r="AM30" i="20"/>
  <c r="AM38" i="20"/>
  <c r="AM39" i="20"/>
  <c r="AM42" i="20"/>
  <c r="AM47" i="20"/>
  <c r="AI22" i="20"/>
  <c r="AC5" i="20"/>
  <c r="AC20" i="20"/>
  <c r="AC21" i="20"/>
  <c r="AC23" i="20"/>
  <c r="AC39" i="20"/>
  <c r="Y22" i="20"/>
  <c r="U7" i="20"/>
  <c r="U23" i="20"/>
  <c r="U24" i="20"/>
  <c r="U30" i="20"/>
  <c r="U40" i="20"/>
  <c r="U46" i="20"/>
  <c r="M14" i="20"/>
  <c r="I8" i="20"/>
  <c r="I42" i="20"/>
  <c r="G7" i="20"/>
  <c r="G10" i="20"/>
  <c r="G16" i="20"/>
  <c r="G11" i="20"/>
  <c r="G29" i="20"/>
  <c r="C19" i="20"/>
  <c r="C35" i="20"/>
  <c r="C25" i="20"/>
  <c r="AO31" i="20"/>
  <c r="AI8" i="20"/>
  <c r="AI9" i="20"/>
  <c r="AI10" i="20"/>
  <c r="AI20" i="20"/>
  <c r="AI29" i="20"/>
  <c r="AI30" i="20"/>
  <c r="AI31" i="20"/>
  <c r="AI32" i="20"/>
  <c r="AI33" i="20"/>
  <c r="AI34" i="20"/>
  <c r="AI39" i="20"/>
  <c r="AI40" i="20"/>
  <c r="AA15" i="20"/>
  <c r="W6" i="20"/>
  <c r="W10" i="20"/>
  <c r="U11" i="20"/>
  <c r="U14" i="20"/>
  <c r="U19" i="20"/>
  <c r="U32" i="20"/>
  <c r="U38" i="20"/>
  <c r="U48" i="20"/>
  <c r="Q19" i="20"/>
  <c r="Q44" i="20"/>
  <c r="M6" i="20"/>
  <c r="AO23" i="20"/>
  <c r="AK22" i="20"/>
  <c r="AK26" i="20"/>
  <c r="AK42" i="20"/>
  <c r="AI5" i="20"/>
  <c r="AI6" i="20"/>
  <c r="AI7" i="20"/>
  <c r="AI12" i="20"/>
  <c r="AI19" i="20"/>
  <c r="AI21" i="20"/>
  <c r="AI41" i="20"/>
  <c r="AI43" i="20"/>
  <c r="AE8" i="20"/>
  <c r="AE16" i="20"/>
  <c r="AA6" i="20"/>
  <c r="AA19" i="20"/>
  <c r="AA47" i="20"/>
  <c r="W4" i="20"/>
  <c r="Q4" i="20"/>
  <c r="Q13" i="20"/>
  <c r="Q14" i="20"/>
  <c r="Q21" i="20"/>
  <c r="Q22" i="20"/>
  <c r="Q27" i="20"/>
  <c r="Q30" i="20"/>
  <c r="Q37" i="20"/>
  <c r="Q43" i="20"/>
  <c r="Q46" i="20"/>
  <c r="Q51" i="20"/>
  <c r="Q52" i="20"/>
  <c r="M26" i="20"/>
  <c r="M34" i="20"/>
  <c r="K4" i="20"/>
  <c r="K10" i="20"/>
  <c r="K20" i="20"/>
  <c r="K26" i="20"/>
  <c r="K36" i="20"/>
  <c r="G13" i="20"/>
  <c r="G23" i="20"/>
  <c r="G26" i="20"/>
  <c r="G27" i="20"/>
  <c r="G32" i="20"/>
  <c r="G40" i="20"/>
  <c r="C4" i="20"/>
  <c r="C9" i="20"/>
  <c r="C18" i="20"/>
  <c r="C20" i="20"/>
  <c r="C34" i="20"/>
  <c r="C36" i="20"/>
  <c r="AO44" i="20"/>
  <c r="AG7" i="20"/>
  <c r="AG11" i="20"/>
  <c r="AG12" i="20"/>
  <c r="AG13" i="20"/>
  <c r="AG16" i="20"/>
  <c r="AG18" i="20"/>
  <c r="AG19" i="20"/>
  <c r="AG20" i="20"/>
  <c r="AG21" i="20"/>
  <c r="AG22" i="20"/>
  <c r="AG23" i="20"/>
  <c r="AG25" i="20"/>
  <c r="AG27" i="20"/>
  <c r="AG35" i="20"/>
  <c r="AG37" i="20"/>
  <c r="AG40" i="20"/>
  <c r="AG41" i="20"/>
  <c r="AG42" i="20"/>
  <c r="AG43" i="20"/>
  <c r="AG44" i="20"/>
  <c r="AG46" i="20"/>
  <c r="AE4" i="20"/>
  <c r="AE23" i="20"/>
  <c r="AE31" i="20"/>
  <c r="AE40" i="20"/>
  <c r="AA14" i="20"/>
  <c r="AA18" i="20"/>
  <c r="AA22" i="20"/>
  <c r="AA23" i="20"/>
  <c r="AA31" i="20"/>
  <c r="AA38" i="20"/>
  <c r="AA46" i="20"/>
  <c r="AA50" i="20"/>
  <c r="W14" i="20"/>
  <c r="W20" i="20"/>
  <c r="W22" i="20"/>
  <c r="W28" i="20"/>
  <c r="W36" i="20"/>
  <c r="W38" i="20"/>
  <c r="W42" i="20"/>
  <c r="W46" i="20"/>
  <c r="W52" i="20"/>
  <c r="W12" i="20"/>
  <c r="W26" i="20"/>
  <c r="W30" i="20"/>
  <c r="W44" i="20"/>
  <c r="U6" i="20"/>
  <c r="U8" i="20"/>
  <c r="U15" i="20"/>
  <c r="U22" i="20"/>
  <c r="U27" i="20"/>
  <c r="U31" i="20"/>
  <c r="U39" i="20"/>
  <c r="U43" i="20"/>
  <c r="U47" i="20"/>
  <c r="U51" i="20"/>
  <c r="S50" i="20"/>
  <c r="S51" i="20"/>
  <c r="Q5" i="20"/>
  <c r="Q6" i="20"/>
  <c r="Q11" i="20"/>
  <c r="Q12" i="20"/>
  <c r="Q20" i="20"/>
  <c r="Q29" i="20"/>
  <c r="Q35" i="20"/>
  <c r="Q36" i="20"/>
  <c r="Q38" i="20"/>
  <c r="Q45" i="20"/>
  <c r="Q53" i="20"/>
  <c r="M10" i="20"/>
  <c r="M18" i="20"/>
  <c r="M22" i="20"/>
  <c r="M30" i="20"/>
  <c r="M38" i="20"/>
  <c r="M46" i="20"/>
  <c r="I16" i="20"/>
  <c r="I24" i="20"/>
  <c r="I46" i="20"/>
  <c r="G4" i="20"/>
  <c r="G5" i="20"/>
  <c r="G8" i="20"/>
  <c r="G12" i="20"/>
  <c r="G15" i="20"/>
  <c r="G18" i="20"/>
  <c r="G19" i="20"/>
  <c r="G20" i="20"/>
  <c r="G21" i="20"/>
  <c r="G24" i="20"/>
  <c r="G28" i="20"/>
  <c r="G31" i="20"/>
  <c r="G34" i="20"/>
  <c r="G35" i="20"/>
  <c r="G36" i="20"/>
  <c r="G37" i="20"/>
  <c r="G42" i="20"/>
  <c r="G44" i="20"/>
  <c r="G48" i="20"/>
  <c r="G52" i="20"/>
  <c r="E6" i="20"/>
  <c r="E14" i="20"/>
  <c r="E22" i="20"/>
  <c r="E30" i="20"/>
  <c r="E38" i="20"/>
  <c r="E42" i="20"/>
  <c r="C13" i="20"/>
  <c r="C14" i="20"/>
  <c r="C15" i="20"/>
  <c r="C16" i="20"/>
  <c r="C29" i="20"/>
  <c r="C30" i="20"/>
  <c r="C31" i="20"/>
  <c r="C32" i="20"/>
  <c r="AO4" i="20"/>
  <c r="AO6" i="20"/>
  <c r="AO7" i="20"/>
  <c r="AO12" i="20"/>
  <c r="AO14" i="20"/>
  <c r="AO22" i="20"/>
  <c r="AO38" i="20"/>
  <c r="AO39" i="20"/>
  <c r="AO47" i="20"/>
  <c r="AK38" i="20"/>
  <c r="AI4" i="20"/>
  <c r="AI11" i="20"/>
  <c r="AI13" i="20"/>
  <c r="AI14" i="20"/>
  <c r="AI15" i="20"/>
  <c r="AI16" i="20"/>
  <c r="AI17" i="20"/>
  <c r="AI18" i="20"/>
  <c r="AI23" i="20"/>
  <c r="AI24" i="20"/>
  <c r="AI25" i="20"/>
  <c r="AI26" i="20"/>
  <c r="AI27" i="20"/>
  <c r="AI28" i="20"/>
  <c r="AI35" i="20"/>
  <c r="AI36" i="20"/>
  <c r="AI37" i="20"/>
  <c r="AI38" i="20"/>
  <c r="AI45" i="20"/>
  <c r="AI46" i="20"/>
  <c r="AI47" i="20"/>
  <c r="AI48" i="20"/>
  <c r="AI49" i="20"/>
  <c r="AC6" i="20"/>
  <c r="AC11" i="20"/>
  <c r="AC27" i="20"/>
  <c r="AC33" i="20"/>
  <c r="AC38" i="20"/>
  <c r="AC43" i="20"/>
  <c r="Y9" i="20"/>
  <c r="Y33" i="20"/>
  <c r="Y41" i="20"/>
  <c r="S18" i="20"/>
  <c r="S19" i="20"/>
  <c r="S22" i="20"/>
  <c r="S23" i="20"/>
  <c r="O4" i="20"/>
  <c r="O6" i="20"/>
  <c r="O8" i="20"/>
  <c r="O36" i="20"/>
  <c r="O38" i="20"/>
  <c r="O40" i="20"/>
  <c r="K12" i="20"/>
  <c r="K18" i="20"/>
  <c r="K28" i="20"/>
  <c r="K34" i="20"/>
  <c r="K42" i="20"/>
  <c r="K44" i="20"/>
  <c r="E46" i="20"/>
  <c r="E10" i="20"/>
  <c r="E18" i="20"/>
  <c r="E26" i="20"/>
  <c r="E34" i="20"/>
  <c r="AO9" i="20"/>
  <c r="AO17" i="20"/>
  <c r="AO20" i="20"/>
  <c r="AO25" i="20"/>
  <c r="AO33" i="20"/>
  <c r="AO36" i="20"/>
  <c r="AO41" i="20"/>
  <c r="AO49" i="20"/>
  <c r="AO52" i="20"/>
  <c r="AK6" i="20"/>
  <c r="AK10" i="20"/>
  <c r="AK14" i="20"/>
  <c r="AK18" i="20"/>
  <c r="AK30" i="20"/>
  <c r="AK34" i="20"/>
  <c r="AK46" i="20"/>
  <c r="AK50" i="20"/>
  <c r="AE6" i="20"/>
  <c r="AE7" i="20"/>
  <c r="AE10" i="20"/>
  <c r="AE11" i="20"/>
  <c r="AE12" i="20"/>
  <c r="AE14" i="20"/>
  <c r="AE15" i="20"/>
  <c r="AE18" i="20"/>
  <c r="AE19" i="20"/>
  <c r="AE24" i="20"/>
  <c r="AE26" i="20"/>
  <c r="AE27" i="20"/>
  <c r="AE28" i="20"/>
  <c r="AE30" i="20"/>
  <c r="AE32" i="20"/>
  <c r="AE35" i="20"/>
  <c r="AE38" i="20"/>
  <c r="AE39" i="20"/>
  <c r="AE42" i="20"/>
  <c r="AE43" i="20"/>
  <c r="AE44" i="20"/>
  <c r="AE46" i="20"/>
  <c r="AE47" i="20"/>
  <c r="AE50" i="20"/>
  <c r="AE51" i="20"/>
  <c r="AA7" i="20"/>
  <c r="AA10" i="20"/>
  <c r="AA11" i="20"/>
  <c r="AA26" i="20"/>
  <c r="AA27" i="20"/>
  <c r="AA30" i="20"/>
  <c r="AA34" i="20"/>
  <c r="AA35" i="20"/>
  <c r="AA39" i="20"/>
  <c r="AA42" i="20"/>
  <c r="AA43" i="20"/>
  <c r="Y6" i="20"/>
  <c r="Y7" i="20"/>
  <c r="Y15" i="20"/>
  <c r="Y17" i="20"/>
  <c r="Y25" i="20"/>
  <c r="Y30" i="20"/>
  <c r="Y38" i="20"/>
  <c r="Y39" i="20"/>
  <c r="Y47" i="20"/>
  <c r="Y49" i="20"/>
  <c r="W8" i="20"/>
  <c r="W16" i="20"/>
  <c r="W18" i="20"/>
  <c r="W24" i="20"/>
  <c r="W32" i="20"/>
  <c r="W34" i="20"/>
  <c r="W40" i="20"/>
  <c r="W48" i="20"/>
  <c r="W50" i="20"/>
  <c r="S6" i="20"/>
  <c r="S7" i="20"/>
  <c r="S34" i="20"/>
  <c r="S35" i="20"/>
  <c r="S38" i="20"/>
  <c r="S39" i="20"/>
  <c r="O12" i="20"/>
  <c r="O14" i="20"/>
  <c r="O16" i="20"/>
  <c r="O28" i="20"/>
  <c r="O30" i="20"/>
  <c r="O32" i="20"/>
  <c r="O44" i="20"/>
  <c r="O46" i="20"/>
  <c r="O48" i="20"/>
  <c r="C5" i="20"/>
  <c r="C6" i="20"/>
  <c r="C7" i="20"/>
  <c r="C8" i="20"/>
  <c r="C10" i="20"/>
  <c r="C11" i="20"/>
  <c r="C12" i="20"/>
  <c r="C17" i="20"/>
  <c r="C21" i="20"/>
  <c r="C22" i="20"/>
  <c r="C23" i="20"/>
  <c r="C24" i="20"/>
  <c r="C26" i="20"/>
  <c r="C27" i="20"/>
  <c r="C28" i="20"/>
  <c r="C33" i="20"/>
  <c r="C37" i="20"/>
  <c r="C38" i="20"/>
  <c r="C42" i="20"/>
  <c r="C50" i="20"/>
  <c r="C53" i="20"/>
  <c r="C41" i="20"/>
  <c r="C49" i="20"/>
  <c r="AM19" i="20"/>
  <c r="AM27" i="20"/>
  <c r="AM35" i="20"/>
  <c r="AM43" i="20"/>
  <c r="AM51" i="20"/>
  <c r="AC9" i="20"/>
  <c r="AC12" i="20"/>
  <c r="AC13" i="20"/>
  <c r="AC14" i="20"/>
  <c r="AC15" i="20"/>
  <c r="AC19" i="20"/>
  <c r="AC25" i="20"/>
  <c r="AC28" i="20"/>
  <c r="AC29" i="20"/>
  <c r="AC30" i="20"/>
  <c r="AC31" i="20"/>
  <c r="AC35" i="20"/>
  <c r="AC41" i="20"/>
  <c r="AC44" i="20"/>
  <c r="AC45" i="20"/>
  <c r="AC46" i="20"/>
  <c r="AC47" i="20"/>
  <c r="AC51" i="20"/>
  <c r="Y4" i="20"/>
  <c r="Y12" i="20"/>
  <c r="Y20" i="20"/>
  <c r="Y28" i="20"/>
  <c r="Y36" i="20"/>
  <c r="Y44" i="20"/>
  <c r="Y52" i="20"/>
  <c r="S10" i="20"/>
  <c r="S11" i="20"/>
  <c r="S14" i="20"/>
  <c r="S15" i="20"/>
  <c r="S26" i="20"/>
  <c r="S27" i="20"/>
  <c r="S30" i="20"/>
  <c r="S31" i="20"/>
  <c r="S42" i="20"/>
  <c r="S43" i="20"/>
  <c r="S46" i="20"/>
  <c r="S47" i="20"/>
  <c r="O10" i="20"/>
  <c r="O18" i="20"/>
  <c r="O26" i="20"/>
  <c r="O34" i="20"/>
  <c r="O42" i="20"/>
  <c r="O50" i="20"/>
  <c r="I4" i="20"/>
  <c r="I6" i="20"/>
  <c r="I10" i="20"/>
  <c r="I12" i="20"/>
  <c r="I14" i="20"/>
  <c r="I18" i="20"/>
  <c r="I20" i="20"/>
  <c r="I22" i="20"/>
  <c r="I26" i="20"/>
  <c r="I28" i="20"/>
  <c r="I30" i="20"/>
  <c r="I34" i="20"/>
  <c r="I36" i="20"/>
  <c r="I38" i="20"/>
  <c r="I40" i="20"/>
  <c r="I44" i="20"/>
  <c r="I50" i="20"/>
  <c r="I52" i="20"/>
  <c r="G6" i="20"/>
  <c r="G9" i="20"/>
  <c r="G14" i="20"/>
  <c r="G17" i="20"/>
  <c r="G22" i="20"/>
  <c r="G25" i="20"/>
  <c r="G30" i="20"/>
  <c r="G33" i="20"/>
  <c r="G38" i="20"/>
  <c r="G39" i="20"/>
  <c r="G41" i="20"/>
  <c r="G43" i="20"/>
  <c r="G45" i="20"/>
  <c r="G46" i="20"/>
  <c r="G47" i="20"/>
  <c r="G49" i="20"/>
  <c r="G50" i="20"/>
  <c r="G51" i="20"/>
  <c r="C39" i="20"/>
  <c r="C40" i="20"/>
  <c r="C45" i="20"/>
  <c r="C46" i="20"/>
  <c r="AO5" i="20"/>
  <c r="AO8" i="20"/>
  <c r="AO10" i="20"/>
  <c r="AO11" i="20"/>
  <c r="AO13" i="20"/>
  <c r="AO16" i="20"/>
  <c r="AO18" i="20"/>
  <c r="AO19" i="20"/>
  <c r="AO21" i="20"/>
  <c r="AO24" i="20"/>
  <c r="AO26" i="20"/>
  <c r="AO27" i="20"/>
  <c r="AO29" i="20"/>
  <c r="AO32" i="20"/>
  <c r="AO34" i="20"/>
  <c r="AO35" i="20"/>
  <c r="AO37" i="20"/>
  <c r="AO40" i="20"/>
  <c r="AO42" i="20"/>
  <c r="AO43" i="20"/>
  <c r="AO45" i="20"/>
  <c r="AO48" i="20"/>
  <c r="AO50" i="20"/>
  <c r="AO51" i="20"/>
  <c r="AK4" i="20"/>
  <c r="AK8" i="20"/>
  <c r="AK12" i="20"/>
  <c r="AK16" i="20"/>
  <c r="AK20" i="20"/>
  <c r="AK24" i="20"/>
  <c r="AK28" i="20"/>
  <c r="AK32" i="20"/>
  <c r="AK36" i="20"/>
  <c r="AK40" i="20"/>
  <c r="AK44" i="20"/>
  <c r="AK48" i="20"/>
  <c r="AK52" i="20"/>
  <c r="AC8" i="20"/>
  <c r="AC10" i="20"/>
  <c r="AC16" i="20"/>
  <c r="AC18" i="20"/>
  <c r="AC24" i="20"/>
  <c r="AC26" i="20"/>
  <c r="AC32" i="20"/>
  <c r="AC34" i="20"/>
  <c r="AC40" i="20"/>
  <c r="AC42" i="20"/>
  <c r="AC48" i="20"/>
  <c r="Y5" i="20"/>
  <c r="Y8" i="20"/>
  <c r="Y10" i="20"/>
  <c r="Y11" i="20"/>
  <c r="Y13" i="20"/>
  <c r="Y16" i="20"/>
  <c r="Y18" i="20"/>
  <c r="Y19" i="20"/>
  <c r="Y21" i="20"/>
  <c r="Y24" i="20"/>
  <c r="Y26" i="20"/>
  <c r="Y27" i="20"/>
  <c r="Y29" i="20"/>
  <c r="Y32" i="20"/>
  <c r="Y34" i="20"/>
  <c r="Y35" i="20"/>
  <c r="Y37" i="20"/>
  <c r="Y40" i="20"/>
  <c r="Y42" i="20"/>
  <c r="Y43" i="20"/>
  <c r="Y45" i="20"/>
  <c r="Y48" i="20"/>
  <c r="Y50" i="20"/>
  <c r="Y51" i="20"/>
  <c r="U4" i="20"/>
  <c r="U5" i="20"/>
  <c r="U9" i="20"/>
  <c r="U10" i="20"/>
  <c r="U12" i="20"/>
  <c r="U13" i="20"/>
  <c r="U17" i="20"/>
  <c r="U18" i="20"/>
  <c r="U20" i="20"/>
  <c r="U21" i="20"/>
  <c r="U25" i="20"/>
  <c r="U26" i="20"/>
  <c r="U28" i="20"/>
  <c r="U29" i="20"/>
  <c r="U33" i="20"/>
  <c r="U34" i="20"/>
  <c r="U36" i="20"/>
  <c r="U37" i="20"/>
  <c r="U41" i="20"/>
  <c r="U42" i="20"/>
  <c r="U44" i="20"/>
  <c r="U45" i="20"/>
  <c r="U49" i="20"/>
  <c r="U50" i="20"/>
  <c r="U52" i="20"/>
  <c r="Q7" i="20"/>
  <c r="Q8" i="20"/>
  <c r="Q9" i="20"/>
  <c r="Q10" i="20"/>
  <c r="Q15" i="20"/>
  <c r="Q16" i="20"/>
  <c r="Q17" i="20"/>
  <c r="Q18" i="20"/>
  <c r="Q23" i="20"/>
  <c r="Q24" i="20"/>
  <c r="Q25" i="20"/>
  <c r="Q26" i="20"/>
  <c r="Q31" i="20"/>
  <c r="Q32" i="20"/>
  <c r="Q33" i="20"/>
  <c r="Q34" i="20"/>
  <c r="Q39" i="20"/>
  <c r="Q40" i="20"/>
  <c r="Q41" i="20"/>
  <c r="Q42" i="20"/>
  <c r="Q47" i="20"/>
  <c r="Q48" i="20"/>
  <c r="Q49" i="20"/>
  <c r="M4" i="20"/>
  <c r="M5" i="20"/>
  <c r="M7" i="20"/>
  <c r="M8" i="20"/>
  <c r="M9" i="20"/>
  <c r="M11" i="20"/>
  <c r="M12" i="20"/>
  <c r="M13" i="20"/>
  <c r="M15" i="20"/>
  <c r="M16" i="20"/>
  <c r="M17" i="20"/>
  <c r="M19" i="20"/>
  <c r="M20" i="20"/>
  <c r="M21" i="20"/>
  <c r="M23" i="20"/>
  <c r="M24" i="20"/>
  <c r="M25" i="20"/>
  <c r="M27" i="20"/>
  <c r="M28" i="20"/>
  <c r="M29" i="20"/>
  <c r="M31" i="20"/>
  <c r="M32" i="20"/>
  <c r="M33" i="20"/>
  <c r="M35" i="20"/>
  <c r="M36" i="20"/>
  <c r="M37" i="20"/>
  <c r="M39" i="20"/>
  <c r="M40" i="20"/>
  <c r="M41" i="20"/>
  <c r="M43" i="20"/>
  <c r="M44" i="20"/>
  <c r="M45" i="20"/>
  <c r="M47" i="20"/>
  <c r="M48" i="20"/>
  <c r="M49" i="20"/>
  <c r="M51" i="20"/>
  <c r="M52" i="20"/>
  <c r="K6" i="20"/>
  <c r="K8" i="20"/>
  <c r="K14" i="20"/>
  <c r="K16" i="20"/>
  <c r="K22" i="20"/>
  <c r="K24" i="20"/>
  <c r="K30" i="20"/>
  <c r="K32" i="20"/>
  <c r="K38" i="20"/>
  <c r="K40" i="20"/>
  <c r="K46" i="20"/>
  <c r="K48" i="20"/>
  <c r="K50" i="20"/>
  <c r="K52" i="20"/>
  <c r="E4" i="20"/>
  <c r="E8" i="20"/>
  <c r="E12" i="20"/>
  <c r="E16" i="20"/>
  <c r="E20" i="20"/>
  <c r="E24" i="20"/>
  <c r="E28" i="20"/>
  <c r="E32" i="20"/>
  <c r="E36" i="20"/>
  <c r="E40" i="20"/>
  <c r="E44" i="20"/>
  <c r="E48" i="20"/>
  <c r="E52" i="20"/>
  <c r="E50" i="20"/>
  <c r="C43" i="20"/>
  <c r="C44" i="20"/>
  <c r="C47" i="20"/>
  <c r="C48" i="20"/>
  <c r="C51" i="20"/>
  <c r="AM4" i="20"/>
  <c r="AM5" i="20"/>
  <c r="AM8" i="20"/>
  <c r="AM9" i="20"/>
  <c r="AM12" i="20"/>
  <c r="AM13" i="20"/>
  <c r="AM16" i="20"/>
  <c r="AM17" i="20"/>
  <c r="AM20" i="20"/>
  <c r="AM21" i="20"/>
  <c r="AM24" i="20"/>
  <c r="AM25" i="20"/>
  <c r="AM28" i="20"/>
  <c r="AM29" i="20"/>
  <c r="AM32" i="20"/>
  <c r="AM33" i="20"/>
  <c r="AM36" i="20"/>
  <c r="AM37" i="20"/>
  <c r="AM40" i="20"/>
  <c r="AM41" i="20"/>
  <c r="AM44" i="20"/>
  <c r="AM45" i="20"/>
  <c r="AM48" i="20"/>
  <c r="AM49" i="20"/>
  <c r="AM52" i="20"/>
  <c r="AK5" i="20"/>
  <c r="AK7" i="20"/>
  <c r="AK9" i="20"/>
  <c r="AK11" i="20"/>
  <c r="AK13" i="20"/>
  <c r="AK15" i="20"/>
  <c r="AK17" i="20"/>
  <c r="AK19" i="20"/>
  <c r="AK21" i="20"/>
  <c r="AK23" i="20"/>
  <c r="AK25" i="20"/>
  <c r="AK27" i="20"/>
  <c r="AK29" i="20"/>
  <c r="AK31" i="20"/>
  <c r="AK33" i="20"/>
  <c r="AK35" i="20"/>
  <c r="AK37" i="20"/>
  <c r="AK39" i="20"/>
  <c r="AK41" i="20"/>
  <c r="AK43" i="20"/>
  <c r="AK45" i="20"/>
  <c r="AK47" i="20"/>
  <c r="AK49" i="20"/>
  <c r="AK51" i="20"/>
  <c r="AE5" i="20"/>
  <c r="AE9" i="20"/>
  <c r="AE13" i="20"/>
  <c r="AE17" i="20"/>
  <c r="AE21" i="20"/>
  <c r="AE25" i="20"/>
  <c r="AE29" i="20"/>
  <c r="AE33" i="20"/>
  <c r="AE37" i="20"/>
  <c r="AE41" i="20"/>
  <c r="AE45" i="20"/>
  <c r="AE49" i="20"/>
  <c r="AA4" i="20"/>
  <c r="AA5" i="20"/>
  <c r="AA8" i="20"/>
  <c r="AA9" i="20"/>
  <c r="AA12" i="20"/>
  <c r="AA13" i="20"/>
  <c r="AA16" i="20"/>
  <c r="AA17" i="20"/>
  <c r="AA20" i="20"/>
  <c r="AA21" i="20"/>
  <c r="AA24" i="20"/>
  <c r="AA25" i="20"/>
  <c r="AA28" i="20"/>
  <c r="AA29" i="20"/>
  <c r="AA32" i="20"/>
  <c r="AA33" i="20"/>
  <c r="AA36" i="20"/>
  <c r="AA37" i="20"/>
  <c r="AA40" i="20"/>
  <c r="AA41" i="20"/>
  <c r="AA44" i="20"/>
  <c r="AA45" i="20"/>
  <c r="AA48" i="20"/>
  <c r="AA49" i="20"/>
  <c r="AA52" i="20"/>
  <c r="W5" i="20"/>
  <c r="W7" i="20"/>
  <c r="W9" i="20"/>
  <c r="W11" i="20"/>
  <c r="W13" i="20"/>
  <c r="W15" i="20"/>
  <c r="W17" i="20"/>
  <c r="W19" i="20"/>
  <c r="W21" i="20"/>
  <c r="W23" i="20"/>
  <c r="W25" i="20"/>
  <c r="W27" i="20"/>
  <c r="W29" i="20"/>
  <c r="W31" i="20"/>
  <c r="W33" i="20"/>
  <c r="W35" i="20"/>
  <c r="W37" i="20"/>
  <c r="W39" i="20"/>
  <c r="W41" i="20"/>
  <c r="W43" i="20"/>
  <c r="W45" i="20"/>
  <c r="W47" i="20"/>
  <c r="W49" i="20"/>
  <c r="W51" i="20"/>
  <c r="S4" i="20"/>
  <c r="S5" i="20"/>
  <c r="S8" i="20"/>
  <c r="S9" i="20"/>
  <c r="S12" i="20"/>
  <c r="S13" i="20"/>
  <c r="S16" i="20"/>
  <c r="S17" i="20"/>
  <c r="S20" i="20"/>
  <c r="S21" i="20"/>
  <c r="S24" i="20"/>
  <c r="S25" i="20"/>
  <c r="S28" i="20"/>
  <c r="S29" i="20"/>
  <c r="S32" i="20"/>
  <c r="S33" i="20"/>
  <c r="S36" i="20"/>
  <c r="S37" i="20"/>
  <c r="S40" i="20"/>
  <c r="S41" i="20"/>
  <c r="S44" i="20"/>
  <c r="S45" i="20"/>
  <c r="S48" i="20"/>
  <c r="S49" i="20"/>
  <c r="S52" i="20"/>
  <c r="O5" i="20"/>
  <c r="O7" i="20"/>
  <c r="O9" i="20"/>
  <c r="O11" i="20"/>
  <c r="O13" i="20"/>
  <c r="O15" i="20"/>
  <c r="O17" i="20"/>
  <c r="O19" i="20"/>
  <c r="O21" i="20"/>
  <c r="O23" i="20"/>
  <c r="O25" i="20"/>
  <c r="O27" i="20"/>
  <c r="O29" i="20"/>
  <c r="O31" i="20"/>
  <c r="O33" i="20"/>
  <c r="O35" i="20"/>
  <c r="O37" i="20"/>
  <c r="O39" i="20"/>
  <c r="O41" i="20"/>
  <c r="O43" i="20"/>
  <c r="O45" i="20"/>
  <c r="O47" i="20"/>
  <c r="O49" i="20"/>
  <c r="O51" i="20"/>
  <c r="K5" i="20"/>
  <c r="K7" i="20"/>
  <c r="K9" i="20"/>
  <c r="K11" i="20"/>
  <c r="K13" i="20"/>
  <c r="K15" i="20"/>
  <c r="K17" i="20"/>
  <c r="K19" i="20"/>
  <c r="K21" i="20"/>
  <c r="K23" i="20"/>
  <c r="K25" i="20"/>
  <c r="K27" i="20"/>
  <c r="K29" i="20"/>
  <c r="K31" i="20"/>
  <c r="K33" i="20"/>
  <c r="K35" i="20"/>
  <c r="K37" i="20"/>
  <c r="K39" i="20"/>
  <c r="K41" i="20"/>
  <c r="K43" i="20"/>
  <c r="K45" i="20"/>
  <c r="K47" i="20"/>
  <c r="K49" i="20"/>
  <c r="K51" i="20"/>
  <c r="M4" i="19"/>
  <c r="M22" i="19"/>
  <c r="M12" i="19"/>
  <c r="M28" i="19"/>
  <c r="Q6" i="19"/>
  <c r="U8" i="19"/>
  <c r="U9" i="19"/>
  <c r="U17" i="19"/>
  <c r="Q35" i="19"/>
  <c r="Q4" i="19"/>
  <c r="Q31" i="19"/>
  <c r="Q48" i="19"/>
  <c r="Q8" i="19"/>
  <c r="Q9" i="19"/>
  <c r="Q10" i="19"/>
  <c r="Q15" i="19"/>
  <c r="Q18" i="19"/>
  <c r="Q23" i="19"/>
  <c r="Q29" i="19"/>
  <c r="Q33" i="19"/>
  <c r="Q46" i="19"/>
  <c r="Q50" i="19"/>
  <c r="M14" i="19"/>
  <c r="M20" i="19"/>
  <c r="U25" i="19"/>
  <c r="U39" i="19"/>
  <c r="U13" i="19"/>
  <c r="U21" i="19"/>
  <c r="Q5" i="19"/>
  <c r="Q7" i="19"/>
  <c r="Q11" i="19"/>
  <c r="Q14" i="19"/>
  <c r="Q19" i="19"/>
  <c r="Q22" i="19"/>
  <c r="Q28" i="19"/>
  <c r="Q30" i="19"/>
  <c r="Q32" i="19"/>
  <c r="Q34" i="19"/>
  <c r="Q47" i="19"/>
  <c r="Q49" i="19"/>
  <c r="Q51" i="19"/>
  <c r="Q53" i="19"/>
  <c r="Q52" i="19"/>
  <c r="M8" i="19"/>
  <c r="U4" i="19"/>
  <c r="U5" i="19"/>
  <c r="U27" i="19"/>
  <c r="U37" i="19"/>
  <c r="U41" i="19"/>
  <c r="U45" i="19"/>
  <c r="U43" i="19"/>
  <c r="M6" i="19"/>
  <c r="M10" i="19"/>
  <c r="M16" i="19"/>
  <c r="M18" i="19"/>
  <c r="M24" i="19"/>
  <c r="M36" i="19"/>
  <c r="M46" i="19"/>
  <c r="K22" i="19"/>
  <c r="K6" i="19"/>
  <c r="K38" i="19"/>
  <c r="U6" i="19"/>
  <c r="U7" i="19"/>
  <c r="U10" i="19"/>
  <c r="U11" i="19"/>
  <c r="U12" i="19"/>
  <c r="U14" i="19"/>
  <c r="U15" i="19"/>
  <c r="U16" i="19"/>
  <c r="U18" i="19"/>
  <c r="U19" i="19"/>
  <c r="U20" i="19"/>
  <c r="U22" i="19"/>
  <c r="U23" i="19"/>
  <c r="U24" i="19"/>
  <c r="U26" i="19"/>
  <c r="U28" i="19"/>
  <c r="U29" i="19"/>
  <c r="U30" i="19"/>
  <c r="U31" i="19"/>
  <c r="U32" i="19"/>
  <c r="U33" i="19"/>
  <c r="U34" i="19"/>
  <c r="U35" i="19"/>
  <c r="U36" i="19"/>
  <c r="U38" i="19"/>
  <c r="U40" i="19"/>
  <c r="U42" i="19"/>
  <c r="U44" i="19"/>
  <c r="U46" i="19"/>
  <c r="U47" i="19"/>
  <c r="U48" i="19"/>
  <c r="U49" i="19"/>
  <c r="U50" i="19"/>
  <c r="U51" i="19"/>
  <c r="U52" i="19"/>
  <c r="Q12" i="19"/>
  <c r="Q13" i="19"/>
  <c r="Q16" i="19"/>
  <c r="Q17" i="19"/>
  <c r="Q20" i="19"/>
  <c r="Q21" i="19"/>
  <c r="Q24" i="19"/>
  <c r="Q25" i="19"/>
  <c r="Q26" i="19"/>
  <c r="Q27" i="19"/>
  <c r="Q36" i="19"/>
  <c r="Q37" i="19"/>
  <c r="Q38" i="19"/>
  <c r="Q39" i="19"/>
  <c r="Q40" i="19"/>
  <c r="Q41" i="19"/>
  <c r="Q42" i="19"/>
  <c r="Q43" i="19"/>
  <c r="Q44" i="19"/>
  <c r="M5" i="19"/>
  <c r="M7" i="19"/>
  <c r="M9" i="19"/>
  <c r="M11" i="19"/>
  <c r="M13" i="19"/>
  <c r="M15" i="19"/>
  <c r="M17" i="19"/>
  <c r="M19" i="19"/>
  <c r="M21" i="19"/>
  <c r="M23" i="19"/>
  <c r="M26" i="19"/>
  <c r="M30" i="19"/>
  <c r="M41" i="19"/>
  <c r="M49" i="19"/>
  <c r="K14" i="19"/>
  <c r="K30" i="19"/>
  <c r="K46" i="19"/>
  <c r="E22" i="19"/>
  <c r="E6" i="19"/>
  <c r="E38" i="19"/>
  <c r="E14" i="19"/>
  <c r="E30" i="19"/>
  <c r="E46" i="19"/>
  <c r="E10" i="19"/>
  <c r="E18" i="19"/>
  <c r="E26" i="19"/>
  <c r="E34" i="19"/>
  <c r="E42" i="19"/>
  <c r="E50" i="19"/>
  <c r="E4" i="19"/>
  <c r="E8" i="19"/>
  <c r="E12" i="19"/>
  <c r="E16" i="19"/>
  <c r="E20" i="19"/>
  <c r="E24" i="19"/>
  <c r="E28" i="19"/>
  <c r="E32" i="19"/>
  <c r="E36" i="19"/>
  <c r="E40" i="19"/>
  <c r="E44" i="19"/>
  <c r="E48" i="19"/>
  <c r="E52" i="19"/>
  <c r="I18" i="19"/>
  <c r="G5" i="19"/>
  <c r="E5" i="19"/>
  <c r="E7" i="19"/>
  <c r="E9" i="19"/>
  <c r="E11" i="19"/>
  <c r="E13" i="19"/>
  <c r="E15" i="19"/>
  <c r="E17" i="19"/>
  <c r="E19" i="19"/>
  <c r="E21" i="19"/>
  <c r="E23" i="19"/>
  <c r="E25" i="19"/>
  <c r="E27" i="19"/>
  <c r="E29" i="19"/>
  <c r="E31" i="19"/>
  <c r="E33" i="19"/>
  <c r="E35" i="19"/>
  <c r="E37" i="19"/>
  <c r="E39" i="19"/>
  <c r="E41" i="19"/>
  <c r="E43" i="19"/>
  <c r="E45" i="19"/>
  <c r="E47" i="19"/>
  <c r="E49" i="19"/>
  <c r="E51" i="19"/>
  <c r="O46" i="19"/>
  <c r="M25" i="19"/>
  <c r="M27" i="19"/>
  <c r="M29" i="19"/>
  <c r="M33" i="19"/>
  <c r="M38" i="19"/>
  <c r="M44" i="19"/>
  <c r="M52" i="19"/>
  <c r="I34" i="19"/>
  <c r="O6" i="19"/>
  <c r="K10" i="19"/>
  <c r="K18" i="19"/>
  <c r="K26" i="19"/>
  <c r="K34" i="19"/>
  <c r="K42" i="19"/>
  <c r="K50" i="19"/>
  <c r="G21" i="19"/>
  <c r="O22" i="19"/>
  <c r="I10" i="19"/>
  <c r="I26" i="19"/>
  <c r="I42" i="19"/>
  <c r="G13" i="19"/>
  <c r="G29" i="19"/>
  <c r="C41" i="19"/>
  <c r="S38" i="19"/>
  <c r="O14" i="19"/>
  <c r="O30" i="19"/>
  <c r="O38" i="19"/>
  <c r="I6" i="19"/>
  <c r="I14" i="19"/>
  <c r="I22" i="19"/>
  <c r="I30" i="19"/>
  <c r="I38" i="19"/>
  <c r="I46" i="19"/>
  <c r="G9" i="19"/>
  <c r="G17" i="19"/>
  <c r="G25" i="19"/>
  <c r="G33" i="19"/>
  <c r="C25" i="19"/>
  <c r="S31" i="19"/>
  <c r="S47" i="19"/>
  <c r="O10" i="19"/>
  <c r="O18" i="19"/>
  <c r="O26" i="19"/>
  <c r="O34" i="19"/>
  <c r="O42" i="19"/>
  <c r="O50" i="19"/>
  <c r="I50" i="19"/>
  <c r="I4" i="19"/>
  <c r="I8" i="19"/>
  <c r="I12" i="19"/>
  <c r="I16" i="19"/>
  <c r="I20" i="19"/>
  <c r="I24" i="19"/>
  <c r="I28" i="19"/>
  <c r="I32" i="19"/>
  <c r="I36" i="19"/>
  <c r="I40" i="19"/>
  <c r="I44" i="19"/>
  <c r="I48" i="19"/>
  <c r="I52" i="19"/>
  <c r="G7" i="19"/>
  <c r="G11" i="19"/>
  <c r="G15" i="19"/>
  <c r="G19" i="19"/>
  <c r="G23" i="19"/>
  <c r="G27" i="19"/>
  <c r="G31" i="19"/>
  <c r="G35" i="19"/>
  <c r="C49" i="19"/>
  <c r="C33" i="19"/>
  <c r="C17" i="19"/>
  <c r="S6" i="19"/>
  <c r="S7" i="19"/>
  <c r="S14" i="19"/>
  <c r="S15" i="19"/>
  <c r="S22" i="19"/>
  <c r="S23" i="19"/>
  <c r="S30" i="19"/>
  <c r="S39" i="19"/>
  <c r="S46" i="19"/>
  <c r="M31" i="19"/>
  <c r="M32" i="19"/>
  <c r="M34" i="19"/>
  <c r="M35" i="19"/>
  <c r="M37" i="19"/>
  <c r="M39" i="19"/>
  <c r="M40" i="19"/>
  <c r="M42" i="19"/>
  <c r="M43" i="19"/>
  <c r="M45" i="19"/>
  <c r="M47" i="19"/>
  <c r="M48" i="19"/>
  <c r="M50" i="19"/>
  <c r="M51" i="19"/>
  <c r="K4" i="19"/>
  <c r="K8" i="19"/>
  <c r="K12" i="19"/>
  <c r="K16" i="19"/>
  <c r="K20" i="19"/>
  <c r="K24" i="19"/>
  <c r="K28" i="19"/>
  <c r="K32" i="19"/>
  <c r="K36" i="19"/>
  <c r="K40" i="19"/>
  <c r="K44" i="19"/>
  <c r="K48" i="19"/>
  <c r="K52" i="19"/>
  <c r="G37" i="19"/>
  <c r="G39" i="19"/>
  <c r="G41" i="19"/>
  <c r="G43" i="19"/>
  <c r="G46" i="19"/>
  <c r="G50" i="19"/>
  <c r="G4" i="19"/>
  <c r="G6" i="19"/>
  <c r="G8" i="19"/>
  <c r="G10" i="19"/>
  <c r="G12" i="19"/>
  <c r="G14" i="19"/>
  <c r="G16" i="19"/>
  <c r="G18" i="19"/>
  <c r="G20" i="19"/>
  <c r="G22" i="19"/>
  <c r="G24" i="19"/>
  <c r="G26" i="19"/>
  <c r="G28" i="19"/>
  <c r="G30" i="19"/>
  <c r="G32" i="19"/>
  <c r="G34" i="19"/>
  <c r="G36" i="19"/>
  <c r="G38" i="19"/>
  <c r="G40" i="19"/>
  <c r="G42" i="19"/>
  <c r="G44" i="19"/>
  <c r="G48" i="19"/>
  <c r="G52" i="19"/>
  <c r="C53" i="19"/>
  <c r="C45" i="19"/>
  <c r="C37" i="19"/>
  <c r="C29" i="19"/>
  <c r="C21" i="19"/>
  <c r="C12" i="19"/>
  <c r="S10" i="19"/>
  <c r="S11" i="19"/>
  <c r="S18" i="19"/>
  <c r="S19" i="19"/>
  <c r="S26" i="19"/>
  <c r="S27" i="19"/>
  <c r="S34" i="19"/>
  <c r="S35" i="19"/>
  <c r="S42" i="19"/>
  <c r="S43" i="19"/>
  <c r="S50" i="19"/>
  <c r="S51" i="19"/>
  <c r="O4" i="19"/>
  <c r="O8" i="19"/>
  <c r="O12" i="19"/>
  <c r="O16" i="19"/>
  <c r="O20" i="19"/>
  <c r="O24" i="19"/>
  <c r="O28" i="19"/>
  <c r="O32" i="19"/>
  <c r="O36" i="19"/>
  <c r="O40" i="19"/>
  <c r="O44" i="19"/>
  <c r="O48" i="19"/>
  <c r="O52" i="19"/>
  <c r="K5" i="19"/>
  <c r="K7" i="19"/>
  <c r="K9" i="19"/>
  <c r="K11" i="19"/>
  <c r="K13" i="19"/>
  <c r="K15" i="19"/>
  <c r="K17" i="19"/>
  <c r="K19" i="19"/>
  <c r="K21" i="19"/>
  <c r="K23" i="19"/>
  <c r="K25" i="19"/>
  <c r="K27" i="19"/>
  <c r="K29" i="19"/>
  <c r="K31" i="19"/>
  <c r="K33" i="19"/>
  <c r="K35" i="19"/>
  <c r="K37" i="19"/>
  <c r="K39" i="19"/>
  <c r="K41" i="19"/>
  <c r="K43" i="19"/>
  <c r="K45" i="19"/>
  <c r="K47" i="19"/>
  <c r="K49" i="19"/>
  <c r="K51" i="19"/>
  <c r="C51" i="19"/>
  <c r="C47" i="19"/>
  <c r="C43" i="19"/>
  <c r="C39" i="19"/>
  <c r="C35" i="19"/>
  <c r="C31" i="19"/>
  <c r="C27" i="19"/>
  <c r="C23" i="19"/>
  <c r="C19" i="19"/>
  <c r="C15" i="19"/>
  <c r="C8" i="19"/>
  <c r="S4" i="19"/>
  <c r="S5" i="19"/>
  <c r="S8" i="19"/>
  <c r="S9" i="19"/>
  <c r="S12" i="19"/>
  <c r="S13" i="19"/>
  <c r="S16" i="19"/>
  <c r="S17" i="19"/>
  <c r="S20" i="19"/>
  <c r="S21" i="19"/>
  <c r="S24" i="19"/>
  <c r="S25" i="19"/>
  <c r="S28" i="19"/>
  <c r="S29" i="19"/>
  <c r="S32" i="19"/>
  <c r="S33" i="19"/>
  <c r="S36" i="19"/>
  <c r="S37" i="19"/>
  <c r="S40" i="19"/>
  <c r="S41" i="19"/>
  <c r="S44" i="19"/>
  <c r="S45" i="19"/>
  <c r="S48" i="19"/>
  <c r="S49" i="19"/>
  <c r="S52" i="19"/>
  <c r="O5" i="19"/>
  <c r="O7" i="19"/>
  <c r="O9" i="19"/>
  <c r="O11" i="19"/>
  <c r="O13" i="19"/>
  <c r="O15" i="19"/>
  <c r="O17" i="19"/>
  <c r="O19" i="19"/>
  <c r="O21" i="19"/>
  <c r="O23" i="19"/>
  <c r="O25" i="19"/>
  <c r="O27" i="19"/>
  <c r="O29" i="19"/>
  <c r="O31" i="19"/>
  <c r="O33" i="19"/>
  <c r="O35" i="19"/>
  <c r="O37" i="19"/>
  <c r="O39" i="19"/>
  <c r="O41" i="19"/>
  <c r="O43" i="19"/>
  <c r="O45" i="19"/>
  <c r="O47" i="19"/>
  <c r="O49" i="19"/>
  <c r="O51" i="19"/>
  <c r="I5" i="19"/>
  <c r="I7" i="19"/>
  <c r="I9" i="19"/>
  <c r="I11" i="19"/>
  <c r="I13" i="19"/>
  <c r="I15" i="19"/>
  <c r="I17" i="19"/>
  <c r="I19" i="19"/>
  <c r="I21" i="19"/>
  <c r="I23" i="19"/>
  <c r="I25" i="19"/>
  <c r="I27" i="19"/>
  <c r="I29" i="19"/>
  <c r="I31" i="19"/>
  <c r="I33" i="19"/>
  <c r="I35" i="19"/>
  <c r="I37" i="19"/>
  <c r="I39" i="19"/>
  <c r="I41" i="19"/>
  <c r="I43" i="19"/>
  <c r="I45" i="19"/>
  <c r="I47" i="19"/>
  <c r="I49" i="19"/>
  <c r="I51" i="19"/>
  <c r="C4" i="19"/>
  <c r="C52" i="19"/>
  <c r="C50" i="19"/>
  <c r="C48" i="19"/>
  <c r="C46" i="19"/>
  <c r="C44" i="19"/>
  <c r="C42" i="19"/>
  <c r="C40" i="19"/>
  <c r="C38" i="19"/>
  <c r="C36" i="19"/>
  <c r="C34" i="19"/>
  <c r="C32" i="19"/>
  <c r="C30" i="19"/>
  <c r="C28" i="19"/>
  <c r="C26" i="19"/>
  <c r="C24" i="19"/>
  <c r="C22" i="19"/>
  <c r="C20" i="19"/>
  <c r="C18" i="19"/>
  <c r="C16" i="19"/>
  <c r="C14" i="19"/>
  <c r="C10" i="19"/>
  <c r="C6" i="19"/>
  <c r="D7" i="4" a="1"/>
  <c r="D7" i="4" s="1"/>
  <c r="D9" i="4" s="1" a="1"/>
  <c r="D9" i="4" s="1"/>
  <c r="D8" i="4" a="1"/>
  <c r="D8" i="4" s="1"/>
  <c r="G36" i="28"/>
  <c r="AM36" i="23"/>
  <c r="AM32" i="23"/>
  <c r="AM35" i="23"/>
  <c r="AC36" i="27"/>
  <c r="AC14" i="27"/>
  <c r="AC30" i="27"/>
  <c r="AC32" i="27"/>
  <c r="AC31" i="27"/>
  <c r="AC33" i="27"/>
  <c r="S31" i="27"/>
  <c r="I4" i="27"/>
  <c r="I5" i="27"/>
  <c r="I6" i="27"/>
  <c r="I7" i="27"/>
  <c r="I8" i="27"/>
  <c r="I9" i="27"/>
  <c r="I10" i="27"/>
  <c r="I35" i="27"/>
  <c r="I36" i="27"/>
  <c r="S4" i="26"/>
  <c r="S5" i="26"/>
  <c r="S6" i="26"/>
  <c r="S7" i="26"/>
  <c r="S8" i="26"/>
  <c r="S9" i="26"/>
  <c r="S10" i="26"/>
  <c r="I35" i="23"/>
  <c r="I36" i="23"/>
  <c r="Q36" i="27"/>
  <c r="Q32" i="27"/>
  <c r="Q16" i="27"/>
  <c r="Q17" i="27"/>
  <c r="Q20" i="27"/>
  <c r="Q21" i="27"/>
  <c r="Q24" i="27"/>
  <c r="Q25" i="27"/>
  <c r="Q28" i="27"/>
  <c r="Q29" i="27"/>
  <c r="Q33" i="27"/>
  <c r="G32" i="25"/>
  <c r="G16" i="25"/>
  <c r="G8" i="25"/>
  <c r="G24" i="25"/>
  <c r="G4" i="25"/>
  <c r="G12" i="25"/>
  <c r="G20" i="25"/>
  <c r="G28" i="25"/>
  <c r="G7" i="25"/>
  <c r="G11" i="25"/>
  <c r="G15" i="25"/>
  <c r="G19" i="25"/>
  <c r="G23" i="25"/>
  <c r="G27" i="25"/>
  <c r="G31" i="25"/>
  <c r="AI6" i="22"/>
  <c r="AI7" i="22"/>
  <c r="AI8" i="22"/>
  <c r="AI9" i="22"/>
  <c r="AI10" i="22"/>
  <c r="AI11" i="22"/>
  <c r="AI12" i="22"/>
  <c r="AI13" i="22"/>
  <c r="AI14" i="22"/>
  <c r="AI15" i="22"/>
  <c r="AI16" i="22"/>
  <c r="AI17" i="22"/>
  <c r="AI18" i="22"/>
  <c r="AI19" i="22"/>
  <c r="AI20" i="22"/>
  <c r="AI21" i="22"/>
  <c r="AI22" i="22"/>
  <c r="AI36" i="23"/>
  <c r="Y6" i="22"/>
  <c r="Y8" i="22"/>
  <c r="Y36" i="23"/>
  <c r="O36" i="23"/>
  <c r="E36" i="23"/>
  <c r="E9" i="26"/>
  <c r="E5" i="26"/>
  <c r="E15" i="26"/>
  <c r="E7" i="26"/>
  <c r="E11" i="26"/>
  <c r="E12" i="26"/>
  <c r="E13" i="26"/>
  <c r="E17" i="26"/>
  <c r="E4" i="26"/>
  <c r="E6" i="26"/>
  <c r="E8" i="26"/>
  <c r="E10" i="26"/>
  <c r="E14" i="26"/>
  <c r="E16" i="26"/>
  <c r="E18" i="26"/>
  <c r="E20" i="26"/>
  <c r="E21" i="26"/>
  <c r="E22" i="26"/>
  <c r="E23" i="26"/>
  <c r="E24" i="26"/>
  <c r="E25" i="26"/>
  <c r="S5" i="28"/>
  <c r="S6" i="28"/>
  <c r="S9" i="28"/>
  <c r="S10" i="28"/>
  <c r="S13" i="28"/>
  <c r="S18" i="28"/>
  <c r="S19" i="28"/>
  <c r="S20" i="28"/>
  <c r="S21" i="28"/>
  <c r="S26" i="28"/>
  <c r="S27" i="28"/>
  <c r="S28" i="28"/>
  <c r="S29" i="28"/>
  <c r="S34" i="28"/>
  <c r="S35" i="28"/>
  <c r="S4" i="28"/>
  <c r="S7" i="28"/>
  <c r="S8" i="28"/>
  <c r="S11" i="28"/>
  <c r="S12" i="28"/>
  <c r="S14" i="28"/>
  <c r="S15" i="28"/>
  <c r="S16" i="28"/>
  <c r="S17" i="28"/>
  <c r="S22" i="28"/>
  <c r="S23" i="28"/>
  <c r="S24" i="28"/>
  <c r="S25" i="28"/>
  <c r="S30" i="28"/>
  <c r="S31" i="28"/>
  <c r="S32" i="28"/>
  <c r="S33" i="28"/>
  <c r="AM4" i="22"/>
  <c r="AM20" i="22"/>
  <c r="AM12" i="22"/>
  <c r="AM27" i="22"/>
  <c r="AM8" i="22"/>
  <c r="AM16" i="22"/>
  <c r="AM23" i="22"/>
  <c r="AM31" i="22"/>
  <c r="AM6" i="22"/>
  <c r="AM10" i="22"/>
  <c r="AM14" i="22"/>
  <c r="AM18" i="22"/>
  <c r="AM22" i="22"/>
  <c r="AM25" i="22"/>
  <c r="AM29" i="22"/>
  <c r="AM33" i="22"/>
  <c r="AM5" i="23"/>
  <c r="AM9" i="23"/>
  <c r="AM16" i="23"/>
  <c r="AM7" i="23"/>
  <c r="AM12" i="23"/>
  <c r="AM20" i="23"/>
  <c r="AM4" i="23"/>
  <c r="AM6" i="23"/>
  <c r="AM8" i="23"/>
  <c r="AM10" i="23"/>
  <c r="AM14" i="23"/>
  <c r="AM18" i="23"/>
  <c r="AM23" i="23"/>
  <c r="AM11" i="23"/>
  <c r="AM13" i="23"/>
  <c r="AM15" i="23"/>
  <c r="AM17" i="23"/>
  <c r="AM19" i="23"/>
  <c r="AM21" i="23"/>
  <c r="AM27" i="23"/>
  <c r="AM22" i="23"/>
  <c r="AM25" i="23"/>
  <c r="AM29" i="23"/>
  <c r="AM24" i="23"/>
  <c r="AM26" i="23"/>
  <c r="AM28" i="23"/>
  <c r="AM30" i="23"/>
  <c r="AM31" i="23"/>
  <c r="AM33" i="23"/>
  <c r="AC5" i="27"/>
  <c r="AC9" i="27"/>
  <c r="AC7" i="27"/>
  <c r="AC11" i="27"/>
  <c r="AC4" i="27"/>
  <c r="AC6" i="27"/>
  <c r="AC8" i="27"/>
  <c r="AC10" i="27"/>
  <c r="AC12" i="27"/>
  <c r="AC13" i="27"/>
  <c r="AC15" i="27"/>
  <c r="AC18" i="27"/>
  <c r="AC22" i="27"/>
  <c r="AC26" i="27"/>
  <c r="AC16" i="27"/>
  <c r="AC17" i="27"/>
  <c r="AC19" i="27"/>
  <c r="AC20" i="27"/>
  <c r="AC21" i="27"/>
  <c r="AC23" i="27"/>
  <c r="AC24" i="27"/>
  <c r="AC25" i="27"/>
  <c r="AC27" i="27"/>
  <c r="AC28" i="27"/>
  <c r="AC29" i="27"/>
  <c r="AC34" i="27"/>
  <c r="S11" i="27"/>
  <c r="S12" i="27"/>
  <c r="S13" i="27"/>
  <c r="S14" i="27"/>
  <c r="S15" i="27"/>
  <c r="S23" i="27"/>
  <c r="S19" i="27"/>
  <c r="S27" i="27"/>
  <c r="S4" i="27"/>
  <c r="S5" i="27"/>
  <c r="S6" i="27"/>
  <c r="S7" i="27"/>
  <c r="S8" i="27"/>
  <c r="S9" i="27"/>
  <c r="S10" i="27"/>
  <c r="S17" i="27"/>
  <c r="S21" i="27"/>
  <c r="S25" i="27"/>
  <c r="S29" i="27"/>
  <c r="S33" i="27"/>
  <c r="I15" i="27"/>
  <c r="I11" i="27"/>
  <c r="I19" i="27"/>
  <c r="I20" i="27"/>
  <c r="I21" i="27"/>
  <c r="I13" i="27"/>
  <c r="I17" i="27"/>
  <c r="I27" i="27"/>
  <c r="I28" i="27"/>
  <c r="I29" i="27"/>
  <c r="I12" i="27"/>
  <c r="I14" i="27"/>
  <c r="I16" i="27"/>
  <c r="I18" i="27"/>
  <c r="I23" i="27"/>
  <c r="I24" i="27"/>
  <c r="I25" i="27"/>
  <c r="I31" i="27"/>
  <c r="I32" i="27"/>
  <c r="I33" i="27"/>
  <c r="I22" i="27"/>
  <c r="I26" i="27"/>
  <c r="I30" i="27"/>
  <c r="I4" i="28"/>
  <c r="I6" i="28"/>
  <c r="I8" i="28"/>
  <c r="I10" i="28"/>
  <c r="I12" i="28"/>
  <c r="I13" i="28"/>
  <c r="I17" i="28"/>
  <c r="I21" i="28"/>
  <c r="I25" i="28"/>
  <c r="I29" i="28"/>
  <c r="AW5" i="18"/>
  <c r="AW21" i="18"/>
  <c r="AW13" i="18"/>
  <c r="AW29" i="18"/>
  <c r="AW9" i="18"/>
  <c r="AW17" i="18"/>
  <c r="AW25" i="18"/>
  <c r="AW33" i="18"/>
  <c r="AW7" i="18"/>
  <c r="AW11" i="18"/>
  <c r="AW15" i="18"/>
  <c r="AW19" i="18"/>
  <c r="AW23" i="18"/>
  <c r="AW27" i="18"/>
  <c r="AW31" i="18"/>
  <c r="AW35" i="18"/>
  <c r="AW4" i="18"/>
  <c r="AW6" i="18"/>
  <c r="AW8" i="18"/>
  <c r="AW10" i="18"/>
  <c r="AW12" i="18"/>
  <c r="AW14" i="18"/>
  <c r="AW16" i="18"/>
  <c r="AW18" i="18"/>
  <c r="AW20" i="18"/>
  <c r="AW22" i="18"/>
  <c r="AW24" i="18"/>
  <c r="AW26" i="18"/>
  <c r="AW28" i="18"/>
  <c r="AW30" i="18"/>
  <c r="AW32" i="18"/>
  <c r="AW34" i="18"/>
  <c r="AC23" i="22"/>
  <c r="AC25" i="22"/>
  <c r="AC27" i="22"/>
  <c r="AC29" i="22"/>
  <c r="AC31" i="22"/>
  <c r="AC33" i="22"/>
  <c r="AC35" i="22"/>
  <c r="AC4" i="22"/>
  <c r="AC6" i="22"/>
  <c r="AC8" i="22"/>
  <c r="AC10" i="22"/>
  <c r="AC12" i="22"/>
  <c r="AC14" i="22"/>
  <c r="AC16" i="22"/>
  <c r="AC18" i="22"/>
  <c r="AC20" i="22"/>
  <c r="S4" i="22"/>
  <c r="S5" i="22"/>
  <c r="S6" i="22"/>
  <c r="S7" i="22"/>
  <c r="S8" i="22"/>
  <c r="S9" i="22"/>
  <c r="S15" i="22"/>
  <c r="S11" i="22"/>
  <c r="S19" i="22"/>
  <c r="S13" i="22"/>
  <c r="S17" i="22"/>
  <c r="S21" i="22"/>
  <c r="S10" i="22"/>
  <c r="S12" i="22"/>
  <c r="S14" i="22"/>
  <c r="S16" i="22"/>
  <c r="S18" i="22"/>
  <c r="S20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AM5" i="18"/>
  <c r="AM21" i="18"/>
  <c r="AM13" i="18"/>
  <c r="AM29" i="18"/>
  <c r="AM9" i="18"/>
  <c r="AM17" i="18"/>
  <c r="AM25" i="18"/>
  <c r="AM33" i="18"/>
  <c r="AM7" i="18"/>
  <c r="AM11" i="18"/>
  <c r="AM15" i="18"/>
  <c r="AM19" i="18"/>
  <c r="AM23" i="18"/>
  <c r="AM27" i="18"/>
  <c r="AM31" i="18"/>
  <c r="AM35" i="18"/>
  <c r="AM4" i="18"/>
  <c r="AM6" i="18"/>
  <c r="AM8" i="18"/>
  <c r="AM10" i="18"/>
  <c r="AM12" i="18"/>
  <c r="AM14" i="18"/>
  <c r="AM16" i="18"/>
  <c r="AM18" i="18"/>
  <c r="AM20" i="18"/>
  <c r="AM22" i="18"/>
  <c r="AM24" i="18"/>
  <c r="AM26" i="18"/>
  <c r="AM28" i="18"/>
  <c r="AM30" i="18"/>
  <c r="AM32" i="18"/>
  <c r="AM34" i="18"/>
  <c r="I5" i="25"/>
  <c r="I7" i="25"/>
  <c r="I9" i="25"/>
  <c r="I11" i="25"/>
  <c r="I13" i="25"/>
  <c r="I15" i="25"/>
  <c r="I17" i="25"/>
  <c r="I19" i="25"/>
  <c r="I21" i="25"/>
  <c r="I23" i="25"/>
  <c r="I25" i="25"/>
  <c r="I27" i="25"/>
  <c r="I29" i="25"/>
  <c r="I31" i="25"/>
  <c r="I33" i="25"/>
  <c r="I35" i="25"/>
  <c r="I4" i="22"/>
  <c r="I14" i="22"/>
  <c r="I22" i="22"/>
  <c r="I8" i="22"/>
  <c r="I10" i="22"/>
  <c r="I18" i="22"/>
  <c r="I29" i="22"/>
  <c r="I6" i="22"/>
  <c r="I12" i="22"/>
  <c r="I16" i="22"/>
  <c r="I20" i="22"/>
  <c r="I25" i="22"/>
  <c r="I33" i="22"/>
  <c r="I23" i="22"/>
  <c r="I27" i="22"/>
  <c r="I31" i="22"/>
  <c r="AC7" i="18"/>
  <c r="AC21" i="18"/>
  <c r="AC13" i="18"/>
  <c r="AC29" i="18"/>
  <c r="AC5" i="18"/>
  <c r="AC9" i="18"/>
  <c r="AC17" i="18"/>
  <c r="AC25" i="18"/>
  <c r="AC33" i="18"/>
  <c r="AC11" i="18"/>
  <c r="AC15" i="18"/>
  <c r="AC19" i="18"/>
  <c r="AC23" i="18"/>
  <c r="AC27" i="18"/>
  <c r="AC31" i="18"/>
  <c r="AC35" i="18"/>
  <c r="AC4" i="18"/>
  <c r="AC6" i="18"/>
  <c r="AC8" i="18"/>
  <c r="AC10" i="18"/>
  <c r="AC12" i="18"/>
  <c r="AC14" i="18"/>
  <c r="AC16" i="18"/>
  <c r="AC18" i="18"/>
  <c r="AC20" i="18"/>
  <c r="AC22" i="18"/>
  <c r="AC24" i="18"/>
  <c r="AC26" i="18"/>
  <c r="AC28" i="18"/>
  <c r="AC30" i="18"/>
  <c r="AC32" i="18"/>
  <c r="AC34" i="18"/>
  <c r="AM4" i="26"/>
  <c r="AM5" i="26"/>
  <c r="AM6" i="26"/>
  <c r="AM7" i="26"/>
  <c r="AM8" i="26"/>
  <c r="AM9" i="26"/>
  <c r="AM10" i="26"/>
  <c r="AM21" i="26"/>
  <c r="AM12" i="26"/>
  <c r="AM13" i="26"/>
  <c r="AM14" i="26"/>
  <c r="AM15" i="26"/>
  <c r="AM16" i="26"/>
  <c r="AM17" i="26"/>
  <c r="AM18" i="26"/>
  <c r="AM19" i="26"/>
  <c r="AM23" i="26"/>
  <c r="AM28" i="26"/>
  <c r="AM29" i="26"/>
  <c r="AM30" i="26"/>
  <c r="AM31" i="26"/>
  <c r="AM32" i="26"/>
  <c r="AM33" i="26"/>
  <c r="AM34" i="26"/>
  <c r="AM35" i="26"/>
  <c r="AM11" i="26"/>
  <c r="AM20" i="26"/>
  <c r="AM22" i="26"/>
  <c r="AM24" i="26"/>
  <c r="AM27" i="26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C27" i="23"/>
  <c r="AC28" i="23"/>
  <c r="AC29" i="23"/>
  <c r="AC30" i="23"/>
  <c r="AC31" i="23"/>
  <c r="AC32" i="23"/>
  <c r="AC33" i="23"/>
  <c r="AC34" i="23"/>
  <c r="AC35" i="23"/>
  <c r="S15" i="18"/>
  <c r="S7" i="18"/>
  <c r="S23" i="18"/>
  <c r="S11" i="18"/>
  <c r="S19" i="18"/>
  <c r="S29" i="18"/>
  <c r="S5" i="18"/>
  <c r="S9" i="18"/>
  <c r="S13" i="18"/>
  <c r="S17" i="18"/>
  <c r="S21" i="18"/>
  <c r="S25" i="18"/>
  <c r="S33" i="18"/>
  <c r="S27" i="18"/>
  <c r="S31" i="18"/>
  <c r="S35" i="18"/>
  <c r="S4" i="18"/>
  <c r="S6" i="18"/>
  <c r="S8" i="18"/>
  <c r="S10" i="18"/>
  <c r="S12" i="18"/>
  <c r="S14" i="18"/>
  <c r="S16" i="18"/>
  <c r="S18" i="18"/>
  <c r="S20" i="18"/>
  <c r="S22" i="18"/>
  <c r="S24" i="18"/>
  <c r="S26" i="18"/>
  <c r="S28" i="18"/>
  <c r="S30" i="18"/>
  <c r="S32" i="18"/>
  <c r="S34" i="18"/>
  <c r="I27" i="18"/>
  <c r="I11" i="18"/>
  <c r="I19" i="18"/>
  <c r="I7" i="18"/>
  <c r="I15" i="18"/>
  <c r="I23" i="18"/>
  <c r="I5" i="18"/>
  <c r="I9" i="18"/>
  <c r="I13" i="18"/>
  <c r="I17" i="18"/>
  <c r="I21" i="18"/>
  <c r="I25" i="18"/>
  <c r="I29" i="18"/>
  <c r="I31" i="18"/>
  <c r="I33" i="18"/>
  <c r="I34" i="18"/>
  <c r="S32" i="23"/>
  <c r="S35" i="23"/>
  <c r="S36" i="23"/>
  <c r="S16" i="23"/>
  <c r="S8" i="23"/>
  <c r="S24" i="23"/>
  <c r="S4" i="23"/>
  <c r="S12" i="23"/>
  <c r="S20" i="23"/>
  <c r="S28" i="23"/>
  <c r="S6" i="23"/>
  <c r="S10" i="23"/>
  <c r="S14" i="23"/>
  <c r="S18" i="23"/>
  <c r="S22" i="23"/>
  <c r="S26" i="23"/>
  <c r="S30" i="23"/>
  <c r="S5" i="23"/>
  <c r="S7" i="23"/>
  <c r="S9" i="23"/>
  <c r="S11" i="23"/>
  <c r="S13" i="23"/>
  <c r="S15" i="23"/>
  <c r="S17" i="23"/>
  <c r="S19" i="23"/>
  <c r="S21" i="23"/>
  <c r="S23" i="23"/>
  <c r="S25" i="23"/>
  <c r="S27" i="23"/>
  <c r="S29" i="23"/>
  <c r="S31" i="23"/>
  <c r="S33" i="23"/>
  <c r="S11" i="26"/>
  <c r="S12" i="26"/>
  <c r="S13" i="26"/>
  <c r="S36" i="26"/>
  <c r="S27" i="26"/>
  <c r="S28" i="26"/>
  <c r="S17" i="26"/>
  <c r="S32" i="26"/>
  <c r="S15" i="26"/>
  <c r="S19" i="26"/>
  <c r="S30" i="26"/>
  <c r="S34" i="26"/>
  <c r="S14" i="26"/>
  <c r="S16" i="26"/>
  <c r="S18" i="26"/>
  <c r="S20" i="26"/>
  <c r="S21" i="26"/>
  <c r="S22" i="26"/>
  <c r="S23" i="26"/>
  <c r="S24" i="26"/>
  <c r="S25" i="26"/>
  <c r="S26" i="26"/>
  <c r="S29" i="26"/>
  <c r="S31" i="26"/>
  <c r="S33" i="26"/>
  <c r="I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Q4" i="27"/>
  <c r="Q8" i="27"/>
  <c r="Q6" i="27"/>
  <c r="Q10" i="27"/>
  <c r="Q5" i="27"/>
  <c r="Q7" i="27"/>
  <c r="Q9" i="27"/>
  <c r="Q11" i="27"/>
  <c r="Q12" i="27"/>
  <c r="Q13" i="27"/>
  <c r="Q14" i="27"/>
  <c r="Q15" i="27"/>
  <c r="Q18" i="27"/>
  <c r="Q19" i="27"/>
  <c r="Q22" i="27"/>
  <c r="Q23" i="27"/>
  <c r="Q26" i="27"/>
  <c r="Q27" i="27"/>
  <c r="Q30" i="27"/>
  <c r="Q31" i="27"/>
  <c r="Q34" i="27"/>
  <c r="G35" i="25"/>
  <c r="G36" i="25"/>
  <c r="AA34" i="23"/>
  <c r="AA35" i="23"/>
  <c r="AA36" i="23"/>
  <c r="G35" i="23"/>
  <c r="G36" i="23"/>
  <c r="G4" i="26"/>
  <c r="G8" i="26"/>
  <c r="G6" i="26"/>
  <c r="G10" i="26"/>
  <c r="G5" i="26"/>
  <c r="G7" i="26"/>
  <c r="G9" i="26"/>
  <c r="G12" i="26"/>
  <c r="G11" i="26"/>
  <c r="G13" i="26"/>
  <c r="AK4" i="22"/>
  <c r="AK6" i="22"/>
  <c r="AK8" i="22"/>
  <c r="AK10" i="22"/>
  <c r="AK12" i="22"/>
  <c r="AK14" i="22"/>
  <c r="AK16" i="22"/>
  <c r="AK18" i="22"/>
  <c r="AK20" i="22"/>
  <c r="AK22" i="22"/>
  <c r="AK23" i="22"/>
  <c r="AK25" i="22"/>
  <c r="AK27" i="22"/>
  <c r="AK29" i="22"/>
  <c r="AK31" i="22"/>
  <c r="AK33" i="22"/>
  <c r="AK33" i="23"/>
  <c r="AK36" i="23"/>
  <c r="AK17" i="23"/>
  <c r="AK9" i="23"/>
  <c r="AK25" i="23"/>
  <c r="AK5" i="23"/>
  <c r="AK13" i="23"/>
  <c r="AK21" i="23"/>
  <c r="AK29" i="23"/>
  <c r="AK7" i="23"/>
  <c r="AK11" i="23"/>
  <c r="AK15" i="23"/>
  <c r="AK19" i="23"/>
  <c r="AK23" i="23"/>
  <c r="AK27" i="23"/>
  <c r="AK31" i="23"/>
  <c r="AK4" i="23"/>
  <c r="AK6" i="23"/>
  <c r="AK8" i="23"/>
  <c r="AK10" i="23"/>
  <c r="AK12" i="23"/>
  <c r="AK14" i="23"/>
  <c r="AK16" i="23"/>
  <c r="AK18" i="23"/>
  <c r="AK20" i="23"/>
  <c r="AK22" i="23"/>
  <c r="AK24" i="23"/>
  <c r="AK26" i="23"/>
  <c r="AK28" i="23"/>
  <c r="AK30" i="23"/>
  <c r="AK32" i="23"/>
  <c r="AK34" i="23"/>
  <c r="AA4" i="27"/>
  <c r="AA5" i="27"/>
  <c r="AA6" i="27"/>
  <c r="AA7" i="27"/>
  <c r="AA8" i="27"/>
  <c r="AA9" i="27"/>
  <c r="AA17" i="27"/>
  <c r="AA19" i="27"/>
  <c r="AA21" i="27"/>
  <c r="AA23" i="27"/>
  <c r="AA25" i="27"/>
  <c r="AA27" i="27"/>
  <c r="AA29" i="27"/>
  <c r="AA31" i="27"/>
  <c r="AA33" i="27"/>
  <c r="G4" i="28"/>
  <c r="G12" i="28"/>
  <c r="G6" i="28"/>
  <c r="G20" i="28"/>
  <c r="G28" i="28"/>
  <c r="G8" i="28"/>
  <c r="G16" i="28"/>
  <c r="G24" i="28"/>
  <c r="G32" i="28"/>
  <c r="G10" i="28"/>
  <c r="G14" i="28"/>
  <c r="G18" i="28"/>
  <c r="G22" i="28"/>
  <c r="G26" i="28"/>
  <c r="G30" i="28"/>
  <c r="G34" i="28"/>
  <c r="G5" i="28"/>
  <c r="G7" i="28"/>
  <c r="G9" i="28"/>
  <c r="G11" i="28"/>
  <c r="G13" i="28"/>
  <c r="G15" i="28"/>
  <c r="G17" i="28"/>
  <c r="G19" i="28"/>
  <c r="G21" i="28"/>
  <c r="G23" i="28"/>
  <c r="G25" i="28"/>
  <c r="G27" i="28"/>
  <c r="G29" i="28"/>
  <c r="G31" i="28"/>
  <c r="G33" i="28"/>
  <c r="AU4" i="18"/>
  <c r="AU5" i="18"/>
  <c r="AU6" i="18"/>
  <c r="AU7" i="18"/>
  <c r="AU8" i="18"/>
  <c r="AU9" i="18"/>
  <c r="AU10" i="18"/>
  <c r="AU11" i="18"/>
  <c r="AU12" i="18"/>
  <c r="AU13" i="18"/>
  <c r="AU14" i="18"/>
  <c r="AU15" i="18"/>
  <c r="AU16" i="18"/>
  <c r="AU17" i="18"/>
  <c r="AU18" i="18"/>
  <c r="AU19" i="18"/>
  <c r="AU20" i="18"/>
  <c r="AU21" i="18"/>
  <c r="AU22" i="18"/>
  <c r="AU23" i="18"/>
  <c r="AU24" i="18"/>
  <c r="AU25" i="18"/>
  <c r="AU26" i="18"/>
  <c r="AU27" i="18"/>
  <c r="AU28" i="18"/>
  <c r="AU29" i="18"/>
  <c r="AU30" i="18"/>
  <c r="AU31" i="18"/>
  <c r="AU32" i="18"/>
  <c r="AU33" i="18"/>
  <c r="AU34" i="18"/>
  <c r="AU35" i="18"/>
  <c r="AA23" i="22"/>
  <c r="AA24" i="22"/>
  <c r="AA25" i="22"/>
  <c r="AA26" i="22"/>
  <c r="AA27" i="22"/>
  <c r="AA28" i="22"/>
  <c r="AA29" i="22"/>
  <c r="AA30" i="22"/>
  <c r="AA31" i="22"/>
  <c r="AA32" i="22"/>
  <c r="AA33" i="22"/>
  <c r="AA34" i="22"/>
  <c r="AA35" i="22"/>
  <c r="AA7" i="22"/>
  <c r="AA15" i="22"/>
  <c r="AA11" i="22"/>
  <c r="AA19" i="22"/>
  <c r="AA4" i="22"/>
  <c r="AA5" i="22"/>
  <c r="AA9" i="22"/>
  <c r="AA13" i="22"/>
  <c r="AA17" i="22"/>
  <c r="AA21" i="22"/>
  <c r="AA6" i="22"/>
  <c r="AA8" i="22"/>
  <c r="AA10" i="22"/>
  <c r="AA12" i="22"/>
  <c r="AA14" i="22"/>
  <c r="AA16" i="22"/>
  <c r="AA18" i="22"/>
  <c r="AA20" i="22"/>
  <c r="AA22" i="22"/>
  <c r="Q8" i="22"/>
  <c r="Q10" i="22"/>
  <c r="Q35" i="22"/>
  <c r="Q4" i="22"/>
  <c r="Q18" i="22"/>
  <c r="Q27" i="22"/>
  <c r="Q6" i="22"/>
  <c r="Q14" i="22"/>
  <c r="Q22" i="22"/>
  <c r="Q23" i="22"/>
  <c r="Q31" i="22"/>
  <c r="Q12" i="22"/>
  <c r="Q16" i="22"/>
  <c r="Q20" i="22"/>
  <c r="Q25" i="22"/>
  <c r="Q29" i="22"/>
  <c r="AK4" i="18"/>
  <c r="AK5" i="18"/>
  <c r="AK6" i="18"/>
  <c r="AK7" i="18"/>
  <c r="AK8" i="18"/>
  <c r="AK9" i="18"/>
  <c r="AK10" i="18"/>
  <c r="AK11" i="18"/>
  <c r="AK12" i="18"/>
  <c r="AK13" i="18"/>
  <c r="AK14" i="18"/>
  <c r="AK15" i="18"/>
  <c r="AK16" i="18"/>
  <c r="AK17" i="18"/>
  <c r="AK18" i="18"/>
  <c r="AK19" i="18"/>
  <c r="AK20" i="18"/>
  <c r="AK21" i="18"/>
  <c r="AK22" i="18"/>
  <c r="AK23" i="18"/>
  <c r="AK24" i="18"/>
  <c r="AK25" i="18"/>
  <c r="AK26" i="18"/>
  <c r="AK27" i="18"/>
  <c r="AK28" i="18"/>
  <c r="AK29" i="18"/>
  <c r="AK30" i="18"/>
  <c r="AK31" i="18"/>
  <c r="AK32" i="18"/>
  <c r="AK33" i="18"/>
  <c r="AK34" i="18"/>
  <c r="AK35" i="18"/>
  <c r="G5" i="25"/>
  <c r="G6" i="25"/>
  <c r="G9" i="25"/>
  <c r="G10" i="25"/>
  <c r="G13" i="25"/>
  <c r="G14" i="25"/>
  <c r="G17" i="25"/>
  <c r="G18" i="25"/>
  <c r="G21" i="25"/>
  <c r="G22" i="25"/>
  <c r="G25" i="25"/>
  <c r="G26" i="25"/>
  <c r="G29" i="25"/>
  <c r="G30" i="25"/>
  <c r="G33" i="25"/>
  <c r="G10" i="22"/>
  <c r="G12" i="22"/>
  <c r="G14" i="22"/>
  <c r="G16" i="22"/>
  <c r="G18" i="22"/>
  <c r="G20" i="22"/>
  <c r="G22" i="22"/>
  <c r="G4" i="22"/>
  <c r="G6" i="22"/>
  <c r="G8" i="22"/>
  <c r="G23" i="22"/>
  <c r="G25" i="22"/>
  <c r="G27" i="22"/>
  <c r="G29" i="22"/>
  <c r="G31" i="22"/>
  <c r="G33" i="22"/>
  <c r="G35" i="22"/>
  <c r="AA4" i="18"/>
  <c r="AA5" i="18"/>
  <c r="AA6" i="18"/>
  <c r="AA7" i="18"/>
  <c r="AA8" i="18"/>
  <c r="AA9" i="18"/>
  <c r="AA10" i="18"/>
  <c r="AA11" i="18"/>
  <c r="AA12" i="18"/>
  <c r="AA13" i="18"/>
  <c r="AA14" i="18"/>
  <c r="AA15" i="18"/>
  <c r="AA16" i="18"/>
  <c r="AA17" i="18"/>
  <c r="AA18" i="18"/>
  <c r="AA19" i="18"/>
  <c r="AA20" i="18"/>
  <c r="AA21" i="18"/>
  <c r="AA22" i="18"/>
  <c r="AA23" i="18"/>
  <c r="AA24" i="18"/>
  <c r="AA25" i="18"/>
  <c r="AA26" i="18"/>
  <c r="AA27" i="18"/>
  <c r="AA28" i="18"/>
  <c r="AA29" i="18"/>
  <c r="AA30" i="18"/>
  <c r="AA31" i="18"/>
  <c r="AA32" i="18"/>
  <c r="AA33" i="18"/>
  <c r="AA34" i="18"/>
  <c r="AA35" i="18"/>
  <c r="AK4" i="26"/>
  <c r="AK5" i="26"/>
  <c r="AK6" i="26"/>
  <c r="AK7" i="26"/>
  <c r="AK8" i="26"/>
  <c r="AK9" i="26"/>
  <c r="AK10" i="26"/>
  <c r="AK11" i="26"/>
  <c r="AK12" i="26"/>
  <c r="AK22" i="26"/>
  <c r="AK20" i="26"/>
  <c r="AK24" i="26"/>
  <c r="AK28" i="26"/>
  <c r="AK29" i="26"/>
  <c r="AK30" i="26"/>
  <c r="AK31" i="26"/>
  <c r="AK32" i="26"/>
  <c r="AK33" i="26"/>
  <c r="AK34" i="26"/>
  <c r="AK35" i="26"/>
  <c r="AK13" i="26"/>
  <c r="AK14" i="26"/>
  <c r="AK15" i="26"/>
  <c r="AK16" i="26"/>
  <c r="AK17" i="26"/>
  <c r="AK18" i="26"/>
  <c r="AK19" i="26"/>
  <c r="AK21" i="26"/>
  <c r="AK23" i="26"/>
  <c r="AK25" i="26"/>
  <c r="AK27" i="26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AA27" i="23"/>
  <c r="AA28" i="23"/>
  <c r="AA29" i="23"/>
  <c r="AA30" i="23"/>
  <c r="AA31" i="23"/>
  <c r="AA32" i="23"/>
  <c r="Q4" i="18"/>
  <c r="Q5" i="18"/>
  <c r="Q6" i="18"/>
  <c r="Q7" i="18"/>
  <c r="Q8" i="18"/>
  <c r="Q9" i="18"/>
  <c r="Q10" i="18"/>
  <c r="Q11" i="18"/>
  <c r="Q12" i="18"/>
  <c r="Q13" i="18"/>
  <c r="Q14" i="18"/>
  <c r="Q15" i="18"/>
  <c r="Q16" i="18"/>
  <c r="Q17" i="18"/>
  <c r="Q18" i="18"/>
  <c r="Q19" i="18"/>
  <c r="Q20" i="18"/>
  <c r="Q21" i="18"/>
  <c r="Q22" i="18"/>
  <c r="Q23" i="18"/>
  <c r="Q24" i="18"/>
  <c r="Q25" i="18"/>
  <c r="Q26" i="18"/>
  <c r="Q27" i="18"/>
  <c r="Q28" i="18"/>
  <c r="Q29" i="18"/>
  <c r="Q30" i="18"/>
  <c r="Q31" i="18"/>
  <c r="Q32" i="18"/>
  <c r="Q33" i="18"/>
  <c r="Q34" i="18"/>
  <c r="Q35" i="18"/>
  <c r="G4" i="18"/>
  <c r="G7" i="18"/>
  <c r="G8" i="18"/>
  <c r="G11" i="18"/>
  <c r="G12" i="18"/>
  <c r="G15" i="18"/>
  <c r="G16" i="18"/>
  <c r="G19" i="18"/>
  <c r="G20" i="18"/>
  <c r="G23" i="18"/>
  <c r="G24" i="18"/>
  <c r="G27" i="18"/>
  <c r="G28" i="18"/>
  <c r="G32" i="18"/>
  <c r="G34" i="18"/>
  <c r="G36" i="18"/>
  <c r="G5" i="18"/>
  <c r="G6" i="18"/>
  <c r="G9" i="18"/>
  <c r="G10" i="18"/>
  <c r="G13" i="18"/>
  <c r="G14" i="18"/>
  <c r="G17" i="18"/>
  <c r="G18" i="18"/>
  <c r="G21" i="18"/>
  <c r="G22" i="18"/>
  <c r="G25" i="18"/>
  <c r="G26" i="18"/>
  <c r="G29" i="18"/>
  <c r="AA5" i="26"/>
  <c r="AA9" i="26"/>
  <c r="AA20" i="26"/>
  <c r="AA21" i="26"/>
  <c r="AA22" i="26"/>
  <c r="AA23" i="26"/>
  <c r="AA24" i="26"/>
  <c r="AA25" i="26"/>
  <c r="AA26" i="26"/>
  <c r="AA27" i="26"/>
  <c r="AA28" i="26"/>
  <c r="AA32" i="26"/>
  <c r="AA7" i="26"/>
  <c r="AA11" i="26"/>
  <c r="AA30" i="26"/>
  <c r="AA34" i="26"/>
  <c r="AA4" i="26"/>
  <c r="AA6" i="26"/>
  <c r="AA8" i="26"/>
  <c r="AA10" i="26"/>
  <c r="AA12" i="26"/>
  <c r="AA29" i="26"/>
  <c r="AA31" i="26"/>
  <c r="AA33" i="26"/>
  <c r="Q34" i="23"/>
  <c r="Q4" i="26"/>
  <c r="Q5" i="26"/>
  <c r="Q6" i="26"/>
  <c r="Q7" i="26"/>
  <c r="Q8" i="26"/>
  <c r="Q9" i="26"/>
  <c r="Q10" i="26"/>
  <c r="Q11" i="26"/>
  <c r="Q12" i="26"/>
  <c r="Q13" i="26"/>
  <c r="Q21" i="26"/>
  <c r="Q17" i="26"/>
  <c r="Q25" i="26"/>
  <c r="Q15" i="26"/>
  <c r="Q19" i="26"/>
  <c r="Q23" i="26"/>
  <c r="Q27" i="26"/>
  <c r="Q14" i="26"/>
  <c r="Q16" i="26"/>
  <c r="Q18" i="26"/>
  <c r="Q20" i="26"/>
  <c r="Q22" i="26"/>
  <c r="Q24" i="26"/>
  <c r="Q26" i="26"/>
  <c r="Q28" i="26"/>
  <c r="Q29" i="26"/>
  <c r="Q30" i="26"/>
  <c r="Q31" i="26"/>
  <c r="Q32" i="26"/>
  <c r="Q33" i="26"/>
  <c r="Q34" i="26"/>
  <c r="Q35" i="26"/>
  <c r="G19" i="23"/>
  <c r="G11" i="23"/>
  <c r="G27" i="23"/>
  <c r="G7" i="23"/>
  <c r="G15" i="23"/>
  <c r="G23" i="23"/>
  <c r="G31" i="23"/>
  <c r="G5" i="23"/>
  <c r="G9" i="23"/>
  <c r="G13" i="23"/>
  <c r="G17" i="23"/>
  <c r="G21" i="23"/>
  <c r="G25" i="23"/>
  <c r="G29" i="23"/>
  <c r="G33" i="23"/>
  <c r="G4" i="23"/>
  <c r="G6" i="23"/>
  <c r="G8" i="23"/>
  <c r="G10" i="23"/>
  <c r="G12" i="23"/>
  <c r="G14" i="23"/>
  <c r="G16" i="23"/>
  <c r="G18" i="23"/>
  <c r="G20" i="23"/>
  <c r="G22" i="23"/>
  <c r="G24" i="23"/>
  <c r="G26" i="23"/>
  <c r="G28" i="23"/>
  <c r="G30" i="23"/>
  <c r="G32" i="23"/>
  <c r="G14" i="26"/>
  <c r="G15" i="26"/>
  <c r="G16" i="26"/>
  <c r="G17" i="26"/>
  <c r="G18" i="26"/>
  <c r="G19" i="26"/>
  <c r="G20" i="26"/>
  <c r="G21" i="26"/>
  <c r="G22" i="26"/>
  <c r="G23" i="26"/>
  <c r="G24" i="26"/>
  <c r="G31" i="26"/>
  <c r="G29" i="26"/>
  <c r="G33" i="26"/>
  <c r="G25" i="26"/>
  <c r="G26" i="26"/>
  <c r="G27" i="26"/>
  <c r="G28" i="26"/>
  <c r="G30" i="26"/>
  <c r="G32" i="26"/>
  <c r="G34" i="26"/>
  <c r="E29" i="26"/>
  <c r="E30" i="26"/>
  <c r="E31" i="26"/>
  <c r="E32" i="26"/>
  <c r="E33" i="26"/>
  <c r="E34" i="26"/>
  <c r="E35" i="26"/>
  <c r="I4" i="26"/>
  <c r="I20" i="26"/>
  <c r="I12" i="26"/>
  <c r="I28" i="26"/>
  <c r="I8" i="26"/>
  <c r="I16" i="26"/>
  <c r="I24" i="26"/>
  <c r="I32" i="26"/>
  <c r="I6" i="26"/>
  <c r="I10" i="26"/>
  <c r="I14" i="26"/>
  <c r="I18" i="26"/>
  <c r="I22" i="26"/>
  <c r="I26" i="26"/>
  <c r="I30" i="26"/>
  <c r="I34" i="26"/>
  <c r="I5" i="26"/>
  <c r="I7" i="26"/>
  <c r="I9" i="26"/>
  <c r="I11" i="26"/>
  <c r="I13" i="26"/>
  <c r="I15" i="26"/>
  <c r="I17" i="26"/>
  <c r="I19" i="26"/>
  <c r="I21" i="26"/>
  <c r="I23" i="26"/>
  <c r="I25" i="26"/>
  <c r="I27" i="26"/>
  <c r="I29" i="26"/>
  <c r="I31" i="26"/>
  <c r="I33" i="26"/>
  <c r="AI4" i="22"/>
  <c r="AI5" i="22"/>
  <c r="AI23" i="22"/>
  <c r="AI24" i="22"/>
  <c r="AI25" i="22"/>
  <c r="AI26" i="22"/>
  <c r="AI27" i="22"/>
  <c r="AI28" i="22"/>
  <c r="AI29" i="22"/>
  <c r="AI30" i="22"/>
  <c r="AI31" i="22"/>
  <c r="AI32" i="22"/>
  <c r="AI33" i="22"/>
  <c r="AI34" i="22"/>
  <c r="AI35" i="22"/>
  <c r="AI4" i="23"/>
  <c r="AI5" i="23"/>
  <c r="AI6" i="23"/>
  <c r="AI7" i="23"/>
  <c r="AI8" i="23"/>
  <c r="AI9" i="23"/>
  <c r="AI10" i="23"/>
  <c r="AI11" i="23"/>
  <c r="AI12" i="23"/>
  <c r="AI13" i="23"/>
  <c r="AI14" i="23"/>
  <c r="AI15" i="23"/>
  <c r="AI16" i="23"/>
  <c r="AI17" i="23"/>
  <c r="AI18" i="23"/>
  <c r="AI19" i="23"/>
  <c r="AI20" i="23"/>
  <c r="AI21" i="23"/>
  <c r="AI22" i="23"/>
  <c r="AI23" i="23"/>
  <c r="AI24" i="23"/>
  <c r="AI25" i="23"/>
  <c r="AI26" i="23"/>
  <c r="AI27" i="23"/>
  <c r="AI28" i="23"/>
  <c r="AI29" i="23"/>
  <c r="AI30" i="23"/>
  <c r="AI31" i="23"/>
  <c r="AI32" i="23"/>
  <c r="AI33" i="23"/>
  <c r="AI34" i="23"/>
  <c r="Y21" i="27"/>
  <c r="Y6" i="27"/>
  <c r="Y14" i="27"/>
  <c r="Y17" i="27"/>
  <c r="Y29" i="27"/>
  <c r="Y25" i="27"/>
  <c r="Y33" i="27"/>
  <c r="Y4" i="27"/>
  <c r="Y8" i="27"/>
  <c r="Y12" i="27"/>
  <c r="Y19" i="27"/>
  <c r="Y23" i="27"/>
  <c r="Y27" i="27"/>
  <c r="Y31" i="27"/>
  <c r="Y35" i="27"/>
  <c r="Y5" i="27"/>
  <c r="Y7" i="27"/>
  <c r="Y9" i="27"/>
  <c r="Y11" i="27"/>
  <c r="Y13" i="27"/>
  <c r="Y15" i="27"/>
  <c r="Y16" i="27"/>
  <c r="Y18" i="27"/>
  <c r="Y20" i="27"/>
  <c r="Y22" i="27"/>
  <c r="Y24" i="27"/>
  <c r="Y26" i="27"/>
  <c r="Y28" i="27"/>
  <c r="Y30" i="27"/>
  <c r="Y32" i="27"/>
  <c r="Y34" i="27"/>
  <c r="E8" i="28"/>
  <c r="E21" i="28"/>
  <c r="E4" i="28"/>
  <c r="E12" i="28"/>
  <c r="E13" i="28"/>
  <c r="E29" i="28"/>
  <c r="E6" i="28"/>
  <c r="E10" i="28"/>
  <c r="E17" i="28"/>
  <c r="E25" i="28"/>
  <c r="AS5" i="18"/>
  <c r="AS21" i="18"/>
  <c r="AS13" i="18"/>
  <c r="AS29" i="18"/>
  <c r="AS9" i="18"/>
  <c r="AS17" i="18"/>
  <c r="AS25" i="18"/>
  <c r="AS33" i="18"/>
  <c r="AS7" i="18"/>
  <c r="AS11" i="18"/>
  <c r="AS15" i="18"/>
  <c r="AS19" i="18"/>
  <c r="AS23" i="18"/>
  <c r="AS27" i="18"/>
  <c r="AS31" i="18"/>
  <c r="AS35" i="18"/>
  <c r="AS4" i="18"/>
  <c r="AS6" i="18"/>
  <c r="AS8" i="18"/>
  <c r="AS10" i="18"/>
  <c r="AS12" i="18"/>
  <c r="AS14" i="18"/>
  <c r="AS16" i="18"/>
  <c r="AS18" i="18"/>
  <c r="AS20" i="18"/>
  <c r="AS22" i="18"/>
  <c r="AS24" i="18"/>
  <c r="AS26" i="18"/>
  <c r="AS28" i="18"/>
  <c r="AS30" i="18"/>
  <c r="AS32" i="18"/>
  <c r="AS34" i="18"/>
  <c r="Y16" i="22"/>
  <c r="Y29" i="22"/>
  <c r="Y4" i="22"/>
  <c r="Y12" i="22"/>
  <c r="Y20" i="22"/>
  <c r="Y25" i="22"/>
  <c r="Y33" i="22"/>
  <c r="Y10" i="22"/>
  <c r="Y14" i="22"/>
  <c r="Y18" i="22"/>
  <c r="Y22" i="22"/>
  <c r="Y23" i="22"/>
  <c r="Y27" i="22"/>
  <c r="Y31" i="22"/>
  <c r="O8" i="22"/>
  <c r="O10" i="22"/>
  <c r="O12" i="22"/>
  <c r="O14" i="22"/>
  <c r="O16" i="22"/>
  <c r="O18" i="22"/>
  <c r="O20" i="22"/>
  <c r="O22" i="22"/>
  <c r="O4" i="22"/>
  <c r="O6" i="22"/>
  <c r="O23" i="22"/>
  <c r="O25" i="22"/>
  <c r="O27" i="22"/>
  <c r="O29" i="22"/>
  <c r="O31" i="22"/>
  <c r="O33" i="22"/>
  <c r="O35" i="22"/>
  <c r="AI5" i="18"/>
  <c r="AI21" i="18"/>
  <c r="AI13" i="18"/>
  <c r="AI29" i="18"/>
  <c r="AI9" i="18"/>
  <c r="AI17" i="18"/>
  <c r="AI25" i="18"/>
  <c r="AI33" i="18"/>
  <c r="AI7" i="18"/>
  <c r="AI11" i="18"/>
  <c r="AI15" i="18"/>
  <c r="AI19" i="18"/>
  <c r="AI23" i="18"/>
  <c r="AI27" i="18"/>
  <c r="AI31" i="18"/>
  <c r="AI35" i="18"/>
  <c r="AI4" i="18"/>
  <c r="AI6" i="18"/>
  <c r="AI8" i="18"/>
  <c r="AI10" i="18"/>
  <c r="AI12" i="18"/>
  <c r="AI14" i="18"/>
  <c r="AI16" i="18"/>
  <c r="AI18" i="18"/>
  <c r="AI20" i="18"/>
  <c r="AI22" i="18"/>
  <c r="AI24" i="18"/>
  <c r="AI26" i="18"/>
  <c r="AI28" i="18"/>
  <c r="AI30" i="18"/>
  <c r="AI32" i="18"/>
  <c r="AI34" i="18"/>
  <c r="E5" i="25"/>
  <c r="E7" i="25"/>
  <c r="E9" i="25"/>
  <c r="E11" i="25"/>
  <c r="E13" i="25"/>
  <c r="E15" i="25"/>
  <c r="E17" i="25"/>
  <c r="E19" i="25"/>
  <c r="E21" i="25"/>
  <c r="E23" i="25"/>
  <c r="E25" i="25"/>
  <c r="E27" i="25"/>
  <c r="E29" i="25"/>
  <c r="E31" i="25"/>
  <c r="E33" i="25"/>
  <c r="E35" i="25"/>
  <c r="E16" i="22"/>
  <c r="E29" i="22"/>
  <c r="E4" i="22"/>
  <c r="E12" i="22"/>
  <c r="E20" i="22"/>
  <c r="E25" i="22"/>
  <c r="E33" i="22"/>
  <c r="E6" i="22"/>
  <c r="E10" i="22"/>
  <c r="E14" i="22"/>
  <c r="E18" i="22"/>
  <c r="E22" i="22"/>
  <c r="E23" i="22"/>
  <c r="E27" i="22"/>
  <c r="E31" i="22"/>
  <c r="Y13" i="18"/>
  <c r="Y5" i="18"/>
  <c r="Y21" i="18"/>
  <c r="Y29" i="18"/>
  <c r="Y9" i="18"/>
  <c r="Y17" i="18"/>
  <c r="Y25" i="18"/>
  <c r="Y33" i="18"/>
  <c r="Y7" i="18"/>
  <c r="Y11" i="18"/>
  <c r="Y15" i="18"/>
  <c r="Y19" i="18"/>
  <c r="Y23" i="18"/>
  <c r="Y27" i="18"/>
  <c r="Y31" i="18"/>
  <c r="Y35" i="18"/>
  <c r="Y4" i="18"/>
  <c r="Y6" i="18"/>
  <c r="Y8" i="18"/>
  <c r="Y10" i="18"/>
  <c r="Y12" i="18"/>
  <c r="Y14" i="18"/>
  <c r="Y16" i="18"/>
  <c r="Y18" i="18"/>
  <c r="Y20" i="18"/>
  <c r="Y22" i="18"/>
  <c r="Y24" i="18"/>
  <c r="Y26" i="18"/>
  <c r="Y28" i="18"/>
  <c r="Y30" i="18"/>
  <c r="Y32" i="18"/>
  <c r="Y34" i="18"/>
  <c r="AI4" i="26"/>
  <c r="AI5" i="26"/>
  <c r="AI6" i="26"/>
  <c r="AI7" i="26"/>
  <c r="AI8" i="26"/>
  <c r="AI9" i="26"/>
  <c r="AI10" i="26"/>
  <c r="AI11" i="26"/>
  <c r="AI12" i="26"/>
  <c r="AI13" i="26"/>
  <c r="AI14" i="26"/>
  <c r="AI15" i="26"/>
  <c r="AI16" i="26"/>
  <c r="AI17" i="26"/>
  <c r="AI18" i="26"/>
  <c r="AI19" i="26"/>
  <c r="AI20" i="26"/>
  <c r="AI21" i="26"/>
  <c r="AI22" i="26"/>
  <c r="AI23" i="26"/>
  <c r="AI24" i="26"/>
  <c r="AI25" i="26"/>
  <c r="AI26" i="26"/>
  <c r="AI27" i="26"/>
  <c r="AI28" i="26"/>
  <c r="AI29" i="26"/>
  <c r="AI30" i="26"/>
  <c r="AI31" i="26"/>
  <c r="AI32" i="26"/>
  <c r="AI33" i="26"/>
  <c r="AI34" i="26"/>
  <c r="AI35" i="26"/>
  <c r="Y6" i="23"/>
  <c r="Y20" i="23"/>
  <c r="Y12" i="23"/>
  <c r="Y28" i="23"/>
  <c r="Y4" i="23"/>
  <c r="Y8" i="23"/>
  <c r="Y16" i="23"/>
  <c r="Y24" i="23"/>
  <c r="Y32" i="23"/>
  <c r="Y10" i="23"/>
  <c r="Y14" i="23"/>
  <c r="Y18" i="23"/>
  <c r="Y22" i="23"/>
  <c r="Y26" i="23"/>
  <c r="Y30" i="23"/>
  <c r="Y34" i="23"/>
  <c r="Y5" i="23"/>
  <c r="Y7" i="23"/>
  <c r="Y9" i="23"/>
  <c r="Y11" i="23"/>
  <c r="Y13" i="23"/>
  <c r="Y15" i="23"/>
  <c r="Y17" i="23"/>
  <c r="Y19" i="23"/>
  <c r="Y21" i="23"/>
  <c r="Y23" i="23"/>
  <c r="Y25" i="23"/>
  <c r="Y27" i="23"/>
  <c r="Y29" i="23"/>
  <c r="Y31" i="23"/>
  <c r="Y33" i="23"/>
  <c r="O12" i="18"/>
  <c r="O4" i="18"/>
  <c r="O21" i="18"/>
  <c r="O8" i="18"/>
  <c r="O16" i="18"/>
  <c r="O29" i="18"/>
  <c r="O6" i="18"/>
  <c r="O10" i="18"/>
  <c r="O14" i="18"/>
  <c r="O18" i="18"/>
  <c r="O25" i="18"/>
  <c r="O33" i="18"/>
  <c r="O5" i="18"/>
  <c r="O7" i="18"/>
  <c r="O9" i="18"/>
  <c r="O11" i="18"/>
  <c r="O13" i="18"/>
  <c r="O15" i="18"/>
  <c r="O17" i="18"/>
  <c r="O19" i="18"/>
  <c r="O23" i="18"/>
  <c r="O27" i="18"/>
  <c r="O31" i="18"/>
  <c r="O35" i="18"/>
  <c r="O20" i="18"/>
  <c r="O22" i="18"/>
  <c r="O24" i="18"/>
  <c r="O26" i="18"/>
  <c r="O28" i="18"/>
  <c r="O30" i="18"/>
  <c r="O32" i="18"/>
  <c r="O34" i="18"/>
  <c r="E5" i="18"/>
  <c r="E7" i="18"/>
  <c r="E9" i="18"/>
  <c r="E11" i="18"/>
  <c r="E13" i="18"/>
  <c r="E15" i="18"/>
  <c r="E17" i="18"/>
  <c r="E19" i="18"/>
  <c r="E21" i="18"/>
  <c r="E23" i="18"/>
  <c r="E25" i="18"/>
  <c r="E27" i="18"/>
  <c r="E29" i="18"/>
  <c r="E34" i="18"/>
  <c r="E35" i="18"/>
  <c r="Y17" i="26"/>
  <c r="Y9" i="26"/>
  <c r="Y25" i="26"/>
  <c r="Y5" i="26"/>
  <c r="Y13" i="26"/>
  <c r="Y21" i="26"/>
  <c r="Y29" i="26"/>
  <c r="Y7" i="26"/>
  <c r="Y11" i="26"/>
  <c r="Y15" i="26"/>
  <c r="Y19" i="26"/>
  <c r="Y23" i="26"/>
  <c r="Y27" i="26"/>
  <c r="Y33" i="26"/>
  <c r="Y4" i="26"/>
  <c r="Y6" i="26"/>
  <c r="Y8" i="26"/>
  <c r="Y10" i="26"/>
  <c r="Y12" i="26"/>
  <c r="Y14" i="26"/>
  <c r="Y16" i="26"/>
  <c r="Y18" i="26"/>
  <c r="Y20" i="26"/>
  <c r="Y22" i="26"/>
  <c r="Y24" i="26"/>
  <c r="Y26" i="26"/>
  <c r="Y28" i="26"/>
  <c r="Y31" i="26"/>
  <c r="Y35" i="26"/>
  <c r="Y30" i="26"/>
  <c r="Y32" i="26"/>
  <c r="Y34" i="26"/>
  <c r="O4" i="23"/>
  <c r="O5" i="23"/>
  <c r="O6" i="23"/>
  <c r="O7" i="23"/>
  <c r="O8" i="23"/>
  <c r="O9" i="23"/>
  <c r="O10" i="23"/>
  <c r="O11" i="23"/>
  <c r="O12" i="23"/>
  <c r="O13" i="23"/>
  <c r="O14" i="23"/>
  <c r="O15" i="23"/>
  <c r="O16" i="23"/>
  <c r="O17" i="23"/>
  <c r="O18" i="23"/>
  <c r="O19" i="23"/>
  <c r="O20" i="23"/>
  <c r="O21" i="23"/>
  <c r="O22" i="23"/>
  <c r="O23" i="23"/>
  <c r="O24" i="23"/>
  <c r="O25" i="23"/>
  <c r="O26" i="23"/>
  <c r="O27" i="23"/>
  <c r="O28" i="23"/>
  <c r="O29" i="23"/>
  <c r="O30" i="23"/>
  <c r="O31" i="23"/>
  <c r="O32" i="23"/>
  <c r="O33" i="23"/>
  <c r="O34" i="23"/>
  <c r="O4" i="26"/>
  <c r="O5" i="26"/>
  <c r="O6" i="26"/>
  <c r="O7" i="26"/>
  <c r="O8" i="26"/>
  <c r="O9" i="26"/>
  <c r="O10" i="26"/>
  <c r="O11" i="26"/>
  <c r="O12" i="26"/>
  <c r="O13" i="26"/>
  <c r="O14" i="26"/>
  <c r="O15" i="26"/>
  <c r="O16" i="26"/>
  <c r="O17" i="26"/>
  <c r="O18" i="26"/>
  <c r="O19" i="26"/>
  <c r="O20" i="26"/>
  <c r="O21" i="26"/>
  <c r="O22" i="26"/>
  <c r="O23" i="26"/>
  <c r="O24" i="26"/>
  <c r="O25" i="26"/>
  <c r="O26" i="26"/>
  <c r="O27" i="26"/>
  <c r="O28" i="26"/>
  <c r="O29" i="26"/>
  <c r="O30" i="26"/>
  <c r="O31" i="26"/>
  <c r="O32" i="26"/>
  <c r="O33" i="26"/>
  <c r="O34" i="26"/>
  <c r="O35" i="26"/>
  <c r="E4" i="23"/>
  <c r="E20" i="23"/>
  <c r="E12" i="23"/>
  <c r="E28" i="23"/>
  <c r="E8" i="23"/>
  <c r="E16" i="23"/>
  <c r="E24" i="23"/>
  <c r="E32" i="23"/>
  <c r="E6" i="23"/>
  <c r="E10" i="23"/>
  <c r="E14" i="23"/>
  <c r="E18" i="23"/>
  <c r="E22" i="23"/>
  <c r="E26" i="23"/>
  <c r="E30" i="23"/>
  <c r="E34" i="23"/>
  <c r="E5" i="23"/>
  <c r="E7" i="23"/>
  <c r="E9" i="23"/>
  <c r="E11" i="23"/>
  <c r="E13" i="23"/>
  <c r="E15" i="23"/>
  <c r="E17" i="23"/>
  <c r="E19" i="23"/>
  <c r="E21" i="23"/>
  <c r="E23" i="23"/>
  <c r="E25" i="23"/>
  <c r="E27" i="23"/>
  <c r="E29" i="23"/>
  <c r="E31" i="23"/>
  <c r="E3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F1" i="29"/>
  <c r="F3" i="29"/>
  <c r="F5" i="29"/>
  <c r="F7" i="29"/>
  <c r="F2" i="29"/>
  <c r="F4" i="29"/>
  <c r="F6" i="29"/>
  <c r="E2" i="29"/>
  <c r="E3" i="29"/>
  <c r="E4" i="29"/>
  <c r="E5" i="29"/>
  <c r="E6" i="29"/>
  <c r="E7" i="29"/>
  <c r="E1" i="29"/>
  <c r="H1" i="29" s="1"/>
  <c r="E36" i="28"/>
  <c r="E34" i="28"/>
  <c r="E32" i="28"/>
  <c r="E30" i="28"/>
  <c r="E28" i="28"/>
  <c r="E26" i="28"/>
  <c r="E24" i="28"/>
  <c r="E22" i="28"/>
  <c r="E20" i="28"/>
  <c r="E18" i="28"/>
  <c r="E16" i="28"/>
  <c r="E14" i="28"/>
  <c r="I36" i="28"/>
  <c r="I34" i="28"/>
  <c r="I32" i="28"/>
  <c r="I30" i="28"/>
  <c r="I28" i="28"/>
  <c r="I26" i="28"/>
  <c r="I24" i="28"/>
  <c r="I22" i="28"/>
  <c r="I20" i="28"/>
  <c r="I18" i="28"/>
  <c r="I16" i="28"/>
  <c r="I14" i="28"/>
  <c r="M36" i="28"/>
  <c r="M34" i="28"/>
  <c r="M32" i="28"/>
  <c r="M30" i="28"/>
  <c r="M28" i="28"/>
  <c r="M26" i="28"/>
  <c r="M24" i="28"/>
  <c r="M22" i="28"/>
  <c r="M20" i="28"/>
  <c r="M18" i="28"/>
  <c r="M16" i="28"/>
  <c r="M14" i="28"/>
  <c r="Q36" i="28"/>
  <c r="Q34" i="28"/>
  <c r="Q32" i="28"/>
  <c r="Q30" i="28"/>
  <c r="Q28" i="28"/>
  <c r="Q26" i="28"/>
  <c r="Q24" i="28"/>
  <c r="Q22" i="28"/>
  <c r="Q20" i="28"/>
  <c r="Q18" i="28"/>
  <c r="Q16" i="28"/>
  <c r="Q14" i="28"/>
  <c r="U36" i="28"/>
  <c r="U34" i="28"/>
  <c r="U32" i="28"/>
  <c r="U30" i="28"/>
  <c r="U28" i="28"/>
  <c r="U26" i="28"/>
  <c r="U24" i="28"/>
  <c r="U22" i="28"/>
  <c r="U20" i="28"/>
  <c r="U18" i="28"/>
  <c r="U16" i="28"/>
  <c r="U14" i="28"/>
  <c r="E5" i="28"/>
  <c r="I5" i="28"/>
  <c r="M5" i="28"/>
  <c r="Q5" i="28"/>
  <c r="U5" i="28"/>
  <c r="E7" i="28"/>
  <c r="I7" i="28"/>
  <c r="M7" i="28"/>
  <c r="Q7" i="28"/>
  <c r="U7" i="28"/>
  <c r="E9" i="28"/>
  <c r="I9" i="28"/>
  <c r="M9" i="28"/>
  <c r="Q9" i="28"/>
  <c r="U9" i="28"/>
  <c r="E11" i="28"/>
  <c r="I11" i="28"/>
  <c r="M11" i="28"/>
  <c r="Q11" i="28"/>
  <c r="U11" i="28"/>
  <c r="E15" i="28"/>
  <c r="I15" i="28"/>
  <c r="M15" i="28"/>
  <c r="Q15" i="28"/>
  <c r="U15" i="28"/>
  <c r="E19" i="28"/>
  <c r="I19" i="28"/>
  <c r="M19" i="28"/>
  <c r="Q19" i="28"/>
  <c r="U19" i="28"/>
  <c r="E23" i="28"/>
  <c r="I23" i="28"/>
  <c r="M23" i="28"/>
  <c r="Q23" i="28"/>
  <c r="U23" i="28"/>
  <c r="E27" i="28"/>
  <c r="I27" i="28"/>
  <c r="M27" i="28"/>
  <c r="Q27" i="28"/>
  <c r="U27" i="28"/>
  <c r="E31" i="28"/>
  <c r="I31" i="28"/>
  <c r="M31" i="28"/>
  <c r="Q31" i="28"/>
  <c r="U31" i="28"/>
  <c r="E35" i="28"/>
  <c r="I35" i="28"/>
  <c r="M35" i="28"/>
  <c r="Q35" i="28"/>
  <c r="U35" i="28"/>
  <c r="C36" i="27"/>
  <c r="C34" i="27"/>
  <c r="C32" i="27"/>
  <c r="C30" i="27"/>
  <c r="C28" i="27"/>
  <c r="C26" i="27"/>
  <c r="C24" i="27"/>
  <c r="C22" i="27"/>
  <c r="C20" i="27"/>
  <c r="C18" i="27"/>
  <c r="G36" i="27"/>
  <c r="G34" i="27"/>
  <c r="G32" i="27"/>
  <c r="G30" i="27"/>
  <c r="G28" i="27"/>
  <c r="G26" i="27"/>
  <c r="G24" i="27"/>
  <c r="G22" i="27"/>
  <c r="G20" i="27"/>
  <c r="G18" i="27"/>
  <c r="K36" i="27"/>
  <c r="K34" i="27"/>
  <c r="K32" i="27"/>
  <c r="K30" i="27"/>
  <c r="K28" i="27"/>
  <c r="K26" i="27"/>
  <c r="K24" i="27"/>
  <c r="K22" i="27"/>
  <c r="K20" i="27"/>
  <c r="K18" i="27"/>
  <c r="O36" i="27"/>
  <c r="O34" i="27"/>
  <c r="O32" i="27"/>
  <c r="O30" i="27"/>
  <c r="O28" i="27"/>
  <c r="O26" i="27"/>
  <c r="O24" i="27"/>
  <c r="O22" i="27"/>
  <c r="O20" i="27"/>
  <c r="O18" i="27"/>
  <c r="O16" i="27"/>
  <c r="S36" i="27"/>
  <c r="S34" i="27"/>
  <c r="S32" i="27"/>
  <c r="S30" i="27"/>
  <c r="S28" i="27"/>
  <c r="S26" i="27"/>
  <c r="S24" i="27"/>
  <c r="S22" i="27"/>
  <c r="S20" i="27"/>
  <c r="S18" i="27"/>
  <c r="S16" i="27"/>
  <c r="W36" i="27"/>
  <c r="W34" i="27"/>
  <c r="W32" i="27"/>
  <c r="W30" i="27"/>
  <c r="W28" i="27"/>
  <c r="W26" i="27"/>
  <c r="W24" i="27"/>
  <c r="W22" i="27"/>
  <c r="W20" i="27"/>
  <c r="W18" i="27"/>
  <c r="W16" i="27"/>
  <c r="AA36" i="27"/>
  <c r="AA34" i="27"/>
  <c r="AA32" i="27"/>
  <c r="AA30" i="27"/>
  <c r="AA28" i="27"/>
  <c r="AA26" i="27"/>
  <c r="AA24" i="27"/>
  <c r="AA22" i="27"/>
  <c r="AA20" i="27"/>
  <c r="AA18" i="27"/>
  <c r="AA16" i="27"/>
  <c r="AE36" i="27"/>
  <c r="AE34" i="27"/>
  <c r="AE32" i="27"/>
  <c r="AE30" i="27"/>
  <c r="AE28" i="27"/>
  <c r="AE26" i="27"/>
  <c r="AE24" i="27"/>
  <c r="AE22" i="27"/>
  <c r="AE20" i="27"/>
  <c r="AE18" i="27"/>
  <c r="AE16" i="27"/>
  <c r="E4" i="25"/>
  <c r="I4" i="25"/>
  <c r="E6" i="25"/>
  <c r="I6" i="25"/>
  <c r="E8" i="25"/>
  <c r="I8" i="25"/>
  <c r="E10" i="25"/>
  <c r="I10" i="25"/>
  <c r="E12" i="25"/>
  <c r="I12" i="25"/>
  <c r="E14" i="25"/>
  <c r="I14" i="25"/>
  <c r="E16" i="25"/>
  <c r="I16" i="25"/>
  <c r="E18" i="25"/>
  <c r="I18" i="25"/>
  <c r="E20" i="25"/>
  <c r="I20" i="25"/>
  <c r="E22" i="25"/>
  <c r="I22" i="25"/>
  <c r="E24" i="25"/>
  <c r="I24" i="25"/>
  <c r="E26" i="25"/>
  <c r="I26" i="25"/>
  <c r="E28" i="25"/>
  <c r="I28" i="25"/>
  <c r="E30" i="25"/>
  <c r="I30" i="25"/>
  <c r="E32" i="25"/>
  <c r="I32" i="25"/>
  <c r="E34" i="25"/>
  <c r="I34" i="25"/>
  <c r="G5" i="22"/>
  <c r="O5" i="22"/>
  <c r="W5" i="22"/>
  <c r="AE5" i="22"/>
  <c r="AM5" i="22"/>
  <c r="G7" i="22"/>
  <c r="O7" i="22"/>
  <c r="W7" i="22"/>
  <c r="AE7" i="22"/>
  <c r="AM7" i="22"/>
  <c r="G9" i="22"/>
  <c r="O9" i="22"/>
  <c r="W9" i="22"/>
  <c r="AE9" i="22"/>
  <c r="AM9" i="22"/>
  <c r="G11" i="22"/>
  <c r="O11" i="22"/>
  <c r="W11" i="22"/>
  <c r="AE11" i="22"/>
  <c r="AM11" i="22"/>
  <c r="G13" i="22"/>
  <c r="O13" i="22"/>
  <c r="W13" i="22"/>
  <c r="AE13" i="22"/>
  <c r="AM13" i="22"/>
  <c r="G15" i="22"/>
  <c r="O15" i="22"/>
  <c r="W15" i="22"/>
  <c r="AE15" i="22"/>
  <c r="AM15" i="22"/>
  <c r="G17" i="22"/>
  <c r="O17" i="22"/>
  <c r="W17" i="22"/>
  <c r="AE17" i="22"/>
  <c r="AM17" i="22"/>
  <c r="G19" i="22"/>
  <c r="O19" i="22"/>
  <c r="W19" i="22"/>
  <c r="AE19" i="22"/>
  <c r="AM19" i="22"/>
  <c r="G21" i="22"/>
  <c r="O21" i="22"/>
  <c r="W21" i="22"/>
  <c r="AE21" i="22"/>
  <c r="AM21" i="22"/>
  <c r="G24" i="22"/>
  <c r="O24" i="22"/>
  <c r="W24" i="22"/>
  <c r="AE24" i="22"/>
  <c r="AM24" i="22"/>
  <c r="G26" i="22"/>
  <c r="O26" i="22"/>
  <c r="W26" i="22"/>
  <c r="AE26" i="22"/>
  <c r="AM26" i="22"/>
  <c r="G28" i="22"/>
  <c r="O28" i="22"/>
  <c r="W28" i="22"/>
  <c r="AE28" i="22"/>
  <c r="AM28" i="22"/>
  <c r="G30" i="22"/>
  <c r="O30" i="22"/>
  <c r="W30" i="22"/>
  <c r="AE30" i="22"/>
  <c r="AM30" i="22"/>
  <c r="G32" i="22"/>
  <c r="O32" i="22"/>
  <c r="W32" i="22"/>
  <c r="AE32" i="22"/>
  <c r="AM32" i="22"/>
  <c r="G34" i="22"/>
  <c r="O34" i="22"/>
  <c r="W34" i="22"/>
  <c r="AE34" i="22"/>
  <c r="AM34" i="22"/>
  <c r="E36" i="22"/>
  <c r="E34" i="22"/>
  <c r="E32" i="22"/>
  <c r="E30" i="22"/>
  <c r="E28" i="22"/>
  <c r="E26" i="22"/>
  <c r="E24" i="22"/>
  <c r="I36" i="22"/>
  <c r="I34" i="22"/>
  <c r="I32" i="22"/>
  <c r="I30" i="22"/>
  <c r="I28" i="22"/>
  <c r="I26" i="22"/>
  <c r="I24" i="22"/>
  <c r="M36" i="22"/>
  <c r="M34" i="22"/>
  <c r="M32" i="22"/>
  <c r="M30" i="22"/>
  <c r="M28" i="22"/>
  <c r="M26" i="22"/>
  <c r="M24" i="22"/>
  <c r="Q36" i="22"/>
  <c r="Q34" i="22"/>
  <c r="Q32" i="22"/>
  <c r="Q30" i="22"/>
  <c r="Q28" i="22"/>
  <c r="Q26" i="22"/>
  <c r="Q24" i="22"/>
  <c r="U36" i="22"/>
  <c r="U34" i="22"/>
  <c r="U32" i="22"/>
  <c r="U30" i="22"/>
  <c r="U28" i="22"/>
  <c r="U26" i="22"/>
  <c r="U24" i="22"/>
  <c r="Y36" i="22"/>
  <c r="Y34" i="22"/>
  <c r="Y32" i="22"/>
  <c r="Y30" i="22"/>
  <c r="Y28" i="22"/>
  <c r="Y26" i="22"/>
  <c r="Y24" i="22"/>
  <c r="AC36" i="22"/>
  <c r="AC34" i="22"/>
  <c r="AC32" i="22"/>
  <c r="AC30" i="22"/>
  <c r="AC28" i="22"/>
  <c r="AC26" i="22"/>
  <c r="AC24" i="22"/>
  <c r="AG36" i="22"/>
  <c r="AG34" i="22"/>
  <c r="AG32" i="22"/>
  <c r="AG30" i="22"/>
  <c r="AG28" i="22"/>
  <c r="AG26" i="22"/>
  <c r="AG24" i="22"/>
  <c r="AK36" i="22"/>
  <c r="AK34" i="22"/>
  <c r="AK32" i="22"/>
  <c r="AK30" i="22"/>
  <c r="AK28" i="22"/>
  <c r="AK26" i="22"/>
  <c r="AK24" i="22"/>
  <c r="AO36" i="22"/>
  <c r="AO34" i="22"/>
  <c r="AO32" i="22"/>
  <c r="AO30" i="22"/>
  <c r="AO28" i="22"/>
  <c r="AO26" i="22"/>
  <c r="AO24" i="22"/>
  <c r="E5" i="22"/>
  <c r="I5" i="22"/>
  <c r="M5" i="22"/>
  <c r="Q5" i="22"/>
  <c r="U5" i="22"/>
  <c r="Y5" i="22"/>
  <c r="AC5" i="22"/>
  <c r="AG5" i="22"/>
  <c r="AK5" i="22"/>
  <c r="AO5" i="22"/>
  <c r="E7" i="22"/>
  <c r="I7" i="22"/>
  <c r="M7" i="22"/>
  <c r="Q7" i="22"/>
  <c r="U7" i="22"/>
  <c r="Y7" i="22"/>
  <c r="AC7" i="22"/>
  <c r="AG7" i="22"/>
  <c r="AK7" i="22"/>
  <c r="AO7" i="22"/>
  <c r="E9" i="22"/>
  <c r="I9" i="22"/>
  <c r="M9" i="22"/>
  <c r="Q9" i="22"/>
  <c r="U9" i="22"/>
  <c r="Y9" i="22"/>
  <c r="AC9" i="22"/>
  <c r="AG9" i="22"/>
  <c r="AK9" i="22"/>
  <c r="AO9" i="22"/>
  <c r="E11" i="22"/>
  <c r="I11" i="22"/>
  <c r="M11" i="22"/>
  <c r="Q11" i="22"/>
  <c r="U11" i="22"/>
  <c r="Y11" i="22"/>
  <c r="AC11" i="22"/>
  <c r="AG11" i="22"/>
  <c r="AK11" i="22"/>
  <c r="AO11" i="22"/>
  <c r="E13" i="22"/>
  <c r="I13" i="22"/>
  <c r="M13" i="22"/>
  <c r="Q13" i="22"/>
  <c r="U13" i="22"/>
  <c r="Y13" i="22"/>
  <c r="AC13" i="22"/>
  <c r="AG13" i="22"/>
  <c r="AK13" i="22"/>
  <c r="AO13" i="22"/>
  <c r="E15" i="22"/>
  <c r="I15" i="22"/>
  <c r="M15" i="22"/>
  <c r="Q15" i="22"/>
  <c r="U15" i="22"/>
  <c r="Y15" i="22"/>
  <c r="AC15" i="22"/>
  <c r="AG15" i="22"/>
  <c r="AK15" i="22"/>
  <c r="AO15" i="22"/>
  <c r="E17" i="22"/>
  <c r="I17" i="22"/>
  <c r="M17" i="22"/>
  <c r="Q17" i="22"/>
  <c r="U17" i="22"/>
  <c r="Y17" i="22"/>
  <c r="AC17" i="22"/>
  <c r="AG17" i="22"/>
  <c r="AK17" i="22"/>
  <c r="AO17" i="22"/>
  <c r="E19" i="22"/>
  <c r="I19" i="22"/>
  <c r="M19" i="22"/>
  <c r="Q19" i="22"/>
  <c r="U19" i="22"/>
  <c r="Y19" i="22"/>
  <c r="AC19" i="22"/>
  <c r="AG19" i="22"/>
  <c r="AK19" i="22"/>
  <c r="AO19" i="22"/>
  <c r="E21" i="22"/>
  <c r="I21" i="22"/>
  <c r="M21" i="22"/>
  <c r="Q21" i="22"/>
  <c r="U21" i="22"/>
  <c r="Y21" i="22"/>
  <c r="AC21" i="22"/>
  <c r="AG21" i="22"/>
  <c r="AK21" i="22"/>
  <c r="AO21" i="22"/>
  <c r="E4" i="18"/>
  <c r="I4" i="18"/>
  <c r="E6" i="18"/>
  <c r="I6" i="18"/>
  <c r="E8" i="18"/>
  <c r="I8" i="18"/>
  <c r="E10" i="18"/>
  <c r="I10" i="18"/>
  <c r="E12" i="18"/>
  <c r="I12" i="18"/>
  <c r="E14" i="18"/>
  <c r="I14" i="18"/>
  <c r="E16" i="18"/>
  <c r="I16" i="18"/>
  <c r="E18" i="18"/>
  <c r="I18" i="18"/>
  <c r="E20" i="18"/>
  <c r="I20" i="18"/>
  <c r="E22" i="18"/>
  <c r="I22" i="18"/>
  <c r="E24" i="18"/>
  <c r="I24" i="18"/>
  <c r="E26" i="18"/>
  <c r="I26" i="18"/>
  <c r="E28" i="18"/>
  <c r="I28" i="18"/>
  <c r="E30" i="18"/>
  <c r="I30" i="18"/>
  <c r="E31" i="18"/>
  <c r="E32" i="18"/>
  <c r="I32" i="18"/>
  <c r="E33" i="18"/>
  <c r="I35" i="18"/>
  <c r="C31" i="18"/>
  <c r="G31" i="18"/>
  <c r="C33" i="18"/>
  <c r="G33" i="18"/>
  <c r="K33" i="18"/>
  <c r="C35" i="18"/>
  <c r="G35" i="18"/>
  <c r="K35" i="18"/>
  <c r="E5" i="20"/>
  <c r="I5" i="20"/>
  <c r="E7" i="20"/>
  <c r="I7" i="20"/>
  <c r="E9" i="20"/>
  <c r="I9" i="20"/>
  <c r="E11" i="20"/>
  <c r="I11" i="20"/>
  <c r="E13" i="20"/>
  <c r="I13" i="20"/>
  <c r="E15" i="20"/>
  <c r="I15" i="20"/>
  <c r="E17" i="20"/>
  <c r="I17" i="20"/>
  <c r="E19" i="20"/>
  <c r="I19" i="20"/>
  <c r="E21" i="20"/>
  <c r="I21" i="20"/>
  <c r="E23" i="20"/>
  <c r="I23" i="20"/>
  <c r="E25" i="20"/>
  <c r="I25" i="20"/>
  <c r="E27" i="20"/>
  <c r="I27" i="20"/>
  <c r="E29" i="20"/>
  <c r="I29" i="20"/>
  <c r="E31" i="20"/>
  <c r="I31" i="20"/>
  <c r="E33" i="20"/>
  <c r="I33" i="20"/>
  <c r="E35" i="20"/>
  <c r="I35" i="20"/>
  <c r="E37" i="20"/>
  <c r="I37" i="20"/>
  <c r="E39" i="20"/>
  <c r="I39" i="20"/>
  <c r="E41" i="20"/>
  <c r="I41" i="20"/>
  <c r="E43" i="20"/>
  <c r="I43" i="20"/>
  <c r="E45" i="20"/>
  <c r="I45" i="20"/>
  <c r="E47" i="20"/>
  <c r="I47" i="20"/>
  <c r="E49" i="20"/>
  <c r="I49" i="20"/>
  <c r="E51" i="20"/>
  <c r="I51" i="20"/>
  <c r="G45" i="19"/>
  <c r="G47" i="19"/>
  <c r="G49" i="19"/>
  <c r="G51" i="19"/>
  <c r="C13" i="19"/>
  <c r="C11" i="19"/>
  <c r="C9" i="19"/>
  <c r="C7" i="19"/>
  <c r="BB2" i="29" l="1"/>
  <c r="B2" i="24"/>
  <c r="B2" i="28"/>
  <c r="L2" i="28"/>
  <c r="V2" i="27"/>
  <c r="B2" i="27"/>
  <c r="L2" i="27"/>
  <c r="V2" i="26"/>
  <c r="AF2" i="26"/>
  <c r="B2" i="26"/>
  <c r="L2" i="26"/>
  <c r="B2" i="25"/>
  <c r="V2" i="23"/>
  <c r="AF2" i="23"/>
  <c r="B2" i="23"/>
  <c r="L2" i="23"/>
  <c r="V2" i="22"/>
  <c r="AF2" i="22"/>
  <c r="B2" i="22"/>
  <c r="L2" i="22"/>
  <c r="B2" i="18"/>
  <c r="BV2" i="20"/>
  <c r="CF2" i="20"/>
  <c r="BB2" i="20"/>
  <c r="BL2" i="20"/>
  <c r="V2" i="20"/>
  <c r="AF2" i="20"/>
  <c r="B2" i="20"/>
  <c r="L2" i="20"/>
  <c r="B2" i="19"/>
  <c r="L2" i="19"/>
  <c r="L2" i="17"/>
  <c r="F2" i="17"/>
  <c r="H2" i="17"/>
  <c r="B2" i="17"/>
  <c r="D2" i="17"/>
  <c r="D10" i="4" a="1"/>
  <c r="D10" i="4" s="1"/>
  <c r="D11" i="4" a="1"/>
  <c r="D11" i="4" s="1"/>
  <c r="F35" i="1"/>
  <c r="G35" i="1" s="1"/>
  <c r="H35" i="1" s="1"/>
  <c r="F34" i="1"/>
  <c r="G34" i="1" s="1"/>
  <c r="H34" i="1" s="1"/>
  <c r="F33" i="1"/>
  <c r="G33" i="1" s="1"/>
  <c r="H33" i="1" s="1"/>
  <c r="F32" i="1"/>
  <c r="G32" i="1" s="1"/>
  <c r="H32" i="1" s="1"/>
  <c r="F31" i="1"/>
  <c r="G31" i="1" s="1"/>
  <c r="H31" i="1" s="1"/>
  <c r="F30" i="1"/>
  <c r="G30" i="1" s="1"/>
  <c r="H30" i="1" s="1"/>
  <c r="F29" i="1"/>
  <c r="G29" i="1" s="1"/>
  <c r="H29" i="1" s="1"/>
  <c r="F28" i="1"/>
  <c r="G28" i="1" s="1"/>
  <c r="H28" i="1" s="1"/>
  <c r="F27" i="1"/>
  <c r="G27" i="1" s="1"/>
  <c r="H27" i="1" s="1"/>
  <c r="F26" i="1"/>
  <c r="G26" i="1" s="1"/>
  <c r="H26" i="1" s="1"/>
  <c r="F25" i="1"/>
  <c r="G25" i="1" s="1"/>
  <c r="H25" i="1" s="1"/>
  <c r="F24" i="1"/>
  <c r="G24" i="1" s="1"/>
  <c r="H24" i="1" s="1"/>
  <c r="F23" i="1"/>
  <c r="G23" i="1" s="1"/>
  <c r="H23" i="1" s="1"/>
  <c r="I23" i="1" s="1"/>
  <c r="F22" i="1"/>
  <c r="G22" i="1" s="1"/>
  <c r="H22" i="1" s="1"/>
  <c r="I22" i="1" s="1"/>
  <c r="F21" i="1"/>
  <c r="G21" i="1" s="1"/>
  <c r="H21" i="1" s="1"/>
  <c r="I21" i="1" s="1"/>
  <c r="F20" i="1"/>
  <c r="G20" i="1" s="1"/>
  <c r="H20" i="1" s="1"/>
  <c r="I20" i="1" s="1"/>
  <c r="F19" i="1"/>
  <c r="G19" i="1" s="1"/>
  <c r="H19" i="1" s="1"/>
  <c r="I19" i="1" s="1"/>
  <c r="F18" i="1"/>
  <c r="G18" i="1" s="1"/>
  <c r="H18" i="1" s="1"/>
  <c r="I18" i="1" s="1"/>
  <c r="F17" i="1"/>
  <c r="G17" i="1" s="1"/>
  <c r="H17" i="1" s="1"/>
  <c r="I17" i="1" s="1"/>
  <c r="H16" i="1"/>
  <c r="I16" i="1" s="1"/>
  <c r="F16" i="1"/>
  <c r="G16" i="1" s="1"/>
  <c r="F15" i="1"/>
  <c r="G15" i="1" s="1"/>
  <c r="H15" i="1" s="1"/>
  <c r="I15" i="1" s="1"/>
  <c r="F14" i="1"/>
  <c r="G14" i="1" s="1"/>
  <c r="H14" i="1" s="1"/>
  <c r="I14" i="1" s="1"/>
  <c r="F13" i="1"/>
  <c r="G13" i="1" s="1"/>
  <c r="H13" i="1" s="1"/>
  <c r="I13" i="1" s="1"/>
  <c r="F12" i="1"/>
  <c r="G12" i="1" s="1"/>
  <c r="H12" i="1" s="1"/>
  <c r="I12" i="1" s="1"/>
  <c r="F11" i="1"/>
  <c r="G11" i="1" s="1"/>
  <c r="H11" i="1" s="1"/>
  <c r="I11" i="1" s="1"/>
  <c r="F10" i="1"/>
  <c r="G10" i="1" s="1"/>
  <c r="H10" i="1" s="1"/>
  <c r="I10" i="1" s="1"/>
  <c r="F9" i="1"/>
  <c r="G9" i="1" s="1"/>
  <c r="H9" i="1" s="1"/>
  <c r="I9" i="1" s="1"/>
  <c r="F8" i="1"/>
  <c r="G8" i="1" s="1"/>
  <c r="H8" i="1" s="1"/>
  <c r="I8" i="1" s="1"/>
  <c r="F7" i="1"/>
  <c r="G7" i="1" s="1"/>
  <c r="H7" i="1" s="1"/>
  <c r="I7" i="1" s="1"/>
  <c r="F6" i="1"/>
  <c r="G6" i="1" s="1"/>
  <c r="H6" i="1" s="1"/>
  <c r="I6" i="1" s="1"/>
  <c r="F5" i="1"/>
  <c r="G5" i="1" s="1"/>
  <c r="H5" i="1" s="1"/>
  <c r="I5" i="1" s="1"/>
  <c r="F4" i="1"/>
  <c r="G4" i="1" s="1"/>
  <c r="H4" i="1" s="1"/>
  <c r="I4" i="1" s="1"/>
  <c r="F3" i="1"/>
  <c r="G3" i="1" s="1"/>
  <c r="H3" i="1" s="1"/>
  <c r="I3" i="1" s="1"/>
  <c r="D12" i="4" l="1" a="1"/>
  <c r="D12" i="4" s="1"/>
  <c r="I35" i="1"/>
  <c r="J35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D13" i="4" l="1" a="1"/>
  <c r="D13" i="4" s="1"/>
  <c r="H2" i="29"/>
  <c r="BD2" i="29" l="1"/>
  <c r="D2" i="24"/>
  <c r="D2" i="28"/>
  <c r="N2" i="28"/>
  <c r="X2" i="27"/>
  <c r="D2" i="27"/>
  <c r="N2" i="27"/>
  <c r="X2" i="26"/>
  <c r="AH2" i="26"/>
  <c r="D2" i="26"/>
  <c r="N2" i="26"/>
  <c r="D2" i="25"/>
  <c r="X2" i="23"/>
  <c r="AH2" i="23"/>
  <c r="D2" i="23"/>
  <c r="N2" i="23"/>
  <c r="X2" i="22"/>
  <c r="AH2" i="22"/>
  <c r="D2" i="22"/>
  <c r="N2" i="22"/>
  <c r="D2" i="18"/>
  <c r="BX2" i="20"/>
  <c r="CH2" i="20"/>
  <c r="BD2" i="20"/>
  <c r="BN2" i="20"/>
  <c r="X2" i="20"/>
  <c r="AH2" i="20"/>
  <c r="D2" i="20"/>
  <c r="N2" i="20"/>
  <c r="D2" i="19"/>
  <c r="N2" i="19"/>
  <c r="N2" i="17"/>
  <c r="D14" i="4" a="1"/>
  <c r="D14" i="4" s="1"/>
  <c r="D15" i="4" s="1" a="1"/>
  <c r="D15" i="4" s="1"/>
  <c r="D16" i="4" s="1" a="1"/>
  <c r="D16" i="4" s="1"/>
  <c r="D17" i="4" s="1" a="1"/>
  <c r="D17" i="4" s="1"/>
  <c r="D18" i="4" s="1" a="1"/>
  <c r="D18" i="4" s="1"/>
  <c r="D19" i="4" s="1" a="1"/>
  <c r="D19" i="4" s="1"/>
  <c r="D20" i="4" s="1" a="1"/>
  <c r="D20" i="4" s="1"/>
  <c r="D21" i="4" s="1" a="1"/>
  <c r="D21" i="4" s="1"/>
  <c r="D22" i="4" s="1" a="1"/>
  <c r="D22" i="4" s="1"/>
  <c r="D23" i="4" s="1" a="1"/>
  <c r="D23" i="4" s="1"/>
  <c r="D24" i="4" s="1" a="1"/>
  <c r="D24" i="4" s="1"/>
  <c r="D25" i="4" s="1" a="1"/>
  <c r="D25" i="4" s="1"/>
  <c r="D26" i="4" s="1" a="1"/>
  <c r="D26" i="4" s="1"/>
  <c r="D27" i="4" s="1" a="1"/>
  <c r="D27" i="4" s="1"/>
  <c r="D28" i="4" s="1" a="1"/>
  <c r="D28" i="4" s="1"/>
  <c r="D29" i="4" s="1" a="1"/>
  <c r="D29" i="4" s="1"/>
  <c r="D30" i="4" s="1" a="1"/>
  <c r="D30" i="4" s="1"/>
  <c r="D31" i="4" s="1" a="1"/>
  <c r="D31" i="4" s="1"/>
  <c r="D32" i="4" s="1" a="1"/>
  <c r="D32" i="4" s="1"/>
  <c r="D33" i="4" s="1" a="1"/>
  <c r="D33" i="4" s="1"/>
  <c r="D34" i="4" s="1" a="1"/>
  <c r="D34" i="4" s="1"/>
  <c r="D35" i="4" s="1" a="1"/>
  <c r="D35" i="4" s="1"/>
  <c r="H3" i="29"/>
  <c r="BF2" i="29" l="1"/>
  <c r="F2" i="24"/>
  <c r="F2" i="28"/>
  <c r="P2" i="28"/>
  <c r="Z2" i="27"/>
  <c r="F2" i="27"/>
  <c r="P2" i="27"/>
  <c r="Z2" i="26"/>
  <c r="AJ2" i="26"/>
  <c r="F2" i="26"/>
  <c r="P2" i="26"/>
  <c r="F2" i="25"/>
  <c r="Z2" i="23"/>
  <c r="AJ2" i="23"/>
  <c r="F2" i="23"/>
  <c r="P2" i="23"/>
  <c r="Z2" i="22"/>
  <c r="AJ2" i="22"/>
  <c r="F2" i="22"/>
  <c r="P2" i="22"/>
  <c r="F2" i="18"/>
  <c r="BZ2" i="20"/>
  <c r="CJ2" i="20"/>
  <c r="BF2" i="20"/>
  <c r="BP2" i="20"/>
  <c r="Z2" i="20"/>
  <c r="AJ2" i="20"/>
  <c r="F2" i="20"/>
  <c r="P2" i="20"/>
  <c r="F2" i="19"/>
  <c r="P2" i="19"/>
  <c r="P2" i="17"/>
  <c r="H4" i="29"/>
  <c r="BH2" i="29" l="1"/>
  <c r="H2" i="24"/>
  <c r="H2" i="28"/>
  <c r="R2" i="28"/>
  <c r="AB2" i="27"/>
  <c r="H2" i="27"/>
  <c r="R2" i="27"/>
  <c r="AB2" i="26"/>
  <c r="AL2" i="26"/>
  <c r="H2" i="26"/>
  <c r="R2" i="26"/>
  <c r="H2" i="25"/>
  <c r="AB2" i="23"/>
  <c r="AL2" i="23"/>
  <c r="H2" i="23"/>
  <c r="R2" i="23"/>
  <c r="AB2" i="22"/>
  <c r="AL2" i="22"/>
  <c r="H2" i="22"/>
  <c r="R2" i="22"/>
  <c r="H2" i="18"/>
  <c r="CB2" i="20"/>
  <c r="CL2" i="20"/>
  <c r="BH2" i="20"/>
  <c r="BR2" i="20"/>
  <c r="AB2" i="20"/>
  <c r="AL2" i="20"/>
  <c r="H2" i="20"/>
  <c r="R2" i="20"/>
  <c r="H2" i="19"/>
  <c r="R2" i="19"/>
  <c r="R2" i="17"/>
  <c r="H5" i="29"/>
  <c r="BJ2" i="29" l="1"/>
  <c r="J2" i="24"/>
  <c r="J2" i="28"/>
  <c r="T2" i="28"/>
  <c r="AD2" i="27"/>
  <c r="J2" i="27"/>
  <c r="T2" i="27"/>
  <c r="AD2" i="26"/>
  <c r="AN2" i="26"/>
  <c r="J2" i="26"/>
  <c r="T2" i="26"/>
  <c r="J2" i="25"/>
  <c r="AD2" i="23"/>
  <c r="AN2" i="23"/>
  <c r="J2" i="23"/>
  <c r="T2" i="23"/>
  <c r="AD2" i="22"/>
  <c r="AN2" i="22"/>
  <c r="J2" i="22"/>
  <c r="T2" i="22"/>
  <c r="J2" i="18"/>
  <c r="CD2" i="20"/>
  <c r="CN2" i="20"/>
  <c r="BJ2" i="20"/>
  <c r="BT2" i="20"/>
  <c r="AD2" i="20"/>
  <c r="AN2" i="20"/>
  <c r="J2" i="20"/>
  <c r="T2" i="20"/>
  <c r="J2" i="19"/>
  <c r="T2" i="19"/>
  <c r="J2" i="17"/>
  <c r="T2" i="17"/>
</calcChain>
</file>

<file path=xl/sharedStrings.xml><?xml version="1.0" encoding="utf-8"?>
<sst xmlns="http://schemas.openxmlformats.org/spreadsheetml/2006/main" count="1146" uniqueCount="216">
  <si>
    <t>First and Last Name</t>
  </si>
  <si>
    <t>Month</t>
  </si>
  <si>
    <t>Year</t>
  </si>
  <si>
    <t>CA/TX</t>
  </si>
  <si>
    <t>d</t>
  </si>
  <si>
    <t>da</t>
  </si>
  <si>
    <t>dda</t>
  </si>
  <si>
    <t>weekday</t>
  </si>
  <si>
    <t>maxday</t>
  </si>
  <si>
    <t>Folder Location</t>
  </si>
  <si>
    <t>FileName</t>
  </si>
  <si>
    <t>TaxiService</t>
  </si>
  <si>
    <t>FinalFolder</t>
  </si>
  <si>
    <t>AddFileName</t>
  </si>
  <si>
    <t xml:space="preserve">Alexander Druzenko </t>
  </si>
  <si>
    <t>CA</t>
  </si>
  <si>
    <t>E:\Dropbox (BEST)\002 data base\0300 Data base - Bureaucracy\Odessa Branch\310\310_Alexander Druzenko</t>
  </si>
  <si>
    <t>Andriy Novokhatkin</t>
  </si>
  <si>
    <t>E:\Dropbox (BEST)\002 data base\0300 Data base - Bureaucracy\Odessa Branch\310\310_Andrew Novokhatkin</t>
  </si>
  <si>
    <t>Anna Fedorova</t>
  </si>
  <si>
    <t>E:\Dropbox (BEST)\002 data base\0300 Data base - Bureaucracy\Odessa Branch\310\310_Anna Fedorova</t>
  </si>
  <si>
    <t>Demi Valantsevich</t>
  </si>
  <si>
    <t xml:space="preserve">Dmitri Murtazin </t>
  </si>
  <si>
    <t>Galyna Greniukh</t>
  </si>
  <si>
    <t>E:\Dropbox (BEST)\002 data base\0300 Data base - Bureaucracy\Odessa Branch\310\310_Galyna_Greniukh</t>
  </si>
  <si>
    <t>Jessie Andriushenko</t>
  </si>
  <si>
    <t>E:\Dropbox (BEST)\002 data base\0300 Data base - Bureaucracy\Odessa Branch\310\310_Jessie_Andriushenko</t>
  </si>
  <si>
    <t>Natali Lebid</t>
  </si>
  <si>
    <t>E:\Dropbox (BEST)\002 data base\0300 Data base - Bureaucracy\Odessa Branch\310\310_Nataliia Lebid</t>
  </si>
  <si>
    <t>Oleksandra Klymenko</t>
  </si>
  <si>
    <t>E:\Dropbox (BEST)\002 data base\0300 Data base - Bureaucracy\Odessa Branch\310\310_Oleksandra_Klymenko</t>
  </si>
  <si>
    <t>Olga Panayotova</t>
  </si>
  <si>
    <t>E:\Dropbox (BEST)\002 data base\0300 Data base - Bureaucracy\Odessa Branch\310\310_Olga Panayotova</t>
  </si>
  <si>
    <t>Andrii Kulbaba</t>
  </si>
  <si>
    <t>TX</t>
  </si>
  <si>
    <t>E:\Dropbox (BEST)\002 data base\0300 Data base - Bureaucracy\Odessa Branch\310\310_Andrey Kulbaba</t>
  </si>
  <si>
    <t>Julia Melikhova</t>
  </si>
  <si>
    <t>Nadiia Rubantseva</t>
  </si>
  <si>
    <t>Angela Gorcea</t>
  </si>
  <si>
    <t>E:\Dropbox (BEST)\002 data base\0300 Data base - Bureaucracy\Moldova Branch\002 md database\0300 md_data base_bureacracy\310\310_angela gorcea</t>
  </si>
  <si>
    <t>Ecaterina Gurenco</t>
  </si>
  <si>
    <t>E:\Dropbox (BEST)\002 data base\0300 Data base - Bureaucracy\Moldova Branch\002 md database\0300 md_data base_bureacracy\310\310_ecaterina gurenco</t>
  </si>
  <si>
    <t>Irina Caldare</t>
  </si>
  <si>
    <t>E:\Dropbox (BEST)\002 data base\0300 Data base - Bureaucracy\Moldova Branch\002 md database\0300 md_data base_bureacracy\310\310_irina caldare</t>
  </si>
  <si>
    <t>Natalia Protiuc</t>
  </si>
  <si>
    <t>E:\Dropbox (BEST)\002 data base\0300 Data base - Bureaucracy\Moldova Branch\002 md database\0300 md_data base_bureacracy\310\310_natalia protiuc</t>
  </si>
  <si>
    <t>Natalia Slobozeanu</t>
  </si>
  <si>
    <t>E:\Dropbox (BEST)\002 data base\0300 Data base - Bureaucracy\Moldova Branch\002 md database\0300 md_data base_bureacracy\310\310_natalia slobozeanu</t>
  </si>
  <si>
    <t>Oxana Radzievici</t>
  </si>
  <si>
    <t>E:\Dropbox (BEST)\002 data base\0300 Data base - Bureaucracy\Moldova Branch\002 md database\0300 md_data base_bureacracy\310\310_Oxana Radzievici</t>
  </si>
  <si>
    <t>Petru Zatic</t>
  </si>
  <si>
    <t>E:\Dropbox (BEST)\002 data base\0300 Data base - Bureaucracy\Moldova Branch\002 md database\0300 md_data base_bureacracy\310\310_Petru Zatic</t>
  </si>
  <si>
    <t>Artiom Gheneralov</t>
  </si>
  <si>
    <t>Elena Romandas</t>
  </si>
  <si>
    <t>Olga Tiju</t>
  </si>
  <si>
    <t>Sergiu Racu</t>
  </si>
  <si>
    <t>Walter Aldana</t>
  </si>
  <si>
    <t>E:\Dropbox (BEST)\002 data base\0300 Data base - Bureaucracy\310\310-Walter Aldana</t>
  </si>
  <si>
    <t>Ron Maldonado</t>
  </si>
  <si>
    <t>Sonia Arias</t>
  </si>
  <si>
    <t>E:\Dropbox (BEST)\002 data base\0300 Data base - Bureaucracy\310\310-Sonia Arias</t>
  </si>
  <si>
    <t>Jaleen Dunston</t>
  </si>
  <si>
    <t>Rita Zelaya</t>
  </si>
  <si>
    <t>E:\Dropbox (BEST)\002 data base\0300 Data base - Bureaucracy\310\310-Rita Zelaya</t>
  </si>
  <si>
    <t>Victor Boleac</t>
  </si>
  <si>
    <t>E:\Dropbox (BEST)\002 data base\0300 Data base - Bureaucracy\Moldova Branch\002 md database\0300 md_data base_bureacracy\310\310_Victor Boleac</t>
  </si>
  <si>
    <t>Nancy Loziienko</t>
  </si>
  <si>
    <t>E:\Dropbox (BEST)\002 data base\0300 Data base - Bureaucracy\Odessa Branch\310\310_Nancy Loziienko</t>
  </si>
  <si>
    <t>1. 3000 System</t>
  </si>
  <si>
    <t>2. 310</t>
  </si>
  <si>
    <t>3. Billing</t>
  </si>
  <si>
    <t>4. Clinical Data Entry</t>
  </si>
  <si>
    <t>5. Clinical Projects</t>
  </si>
  <si>
    <t>6. Clinical Reports</t>
  </si>
  <si>
    <t>7. Clock In (319 open office)</t>
  </si>
  <si>
    <t>8. Collection HI</t>
  </si>
  <si>
    <t>Added</t>
  </si>
  <si>
    <t>17 - 319/Task</t>
  </si>
  <si>
    <t>22. Reports</t>
  </si>
  <si>
    <t>23. Research</t>
  </si>
  <si>
    <t>24. Scanning</t>
  </si>
  <si>
    <t>24.1. Filing</t>
  </si>
  <si>
    <t>25. Scheduling</t>
  </si>
  <si>
    <t>26. Software</t>
  </si>
  <si>
    <t>27. Technical maintenance</t>
  </si>
  <si>
    <t>28. Technical support</t>
  </si>
  <si>
    <t>29. Training</t>
  </si>
  <si>
    <t>1 - Clock in</t>
  </si>
  <si>
    <t>2 - Mails/Emails</t>
  </si>
  <si>
    <t xml:space="preserve">3 - Work Orders </t>
  </si>
  <si>
    <t xml:space="preserve">4 - Paylease/Rentroll </t>
  </si>
  <si>
    <t xml:space="preserve">5 - Phone calls/voicemails </t>
  </si>
  <si>
    <t>6 - MLS</t>
  </si>
  <si>
    <t>7 - Meetings</t>
  </si>
  <si>
    <t>8 - Training</t>
  </si>
  <si>
    <t>9 - Applications</t>
  </si>
  <si>
    <t>10 - Accounting</t>
  </si>
  <si>
    <t>10.1 - Bookkeeping</t>
  </si>
  <si>
    <t>10.2 - Billing/Invoicing</t>
  </si>
  <si>
    <t>10.3 - Paying bills</t>
  </si>
  <si>
    <t>10.4 - Bank Reconciliation</t>
  </si>
  <si>
    <t>10.5 - Account Reconciliation</t>
  </si>
  <si>
    <t>10.6 - Financial Statement preparation</t>
  </si>
  <si>
    <t>10.7 - Month-end closing</t>
  </si>
  <si>
    <t>10.8 - Auditing of books</t>
  </si>
  <si>
    <t>10.9 - Depreciation Schedule</t>
  </si>
  <si>
    <t xml:space="preserve">11 - Lease extensions/ New Lease </t>
  </si>
  <si>
    <t xml:space="preserve">12 - Showing Properties </t>
  </si>
  <si>
    <t xml:space="preserve">13 - Walk through/ Inspections </t>
  </si>
  <si>
    <t>14 - HOA, Taxes, Insurances</t>
  </si>
  <si>
    <t>15 - Reports</t>
  </si>
  <si>
    <t>16 - Auction - Excel list</t>
  </si>
  <si>
    <t>16.1 - Auction - Realist Report</t>
  </si>
  <si>
    <t>16.2 - Auction - Tax Report</t>
  </si>
  <si>
    <t>16.3 - Auction - Sales CMA</t>
  </si>
  <si>
    <t>16.4 - Auction - Rental CMA</t>
  </si>
  <si>
    <t>16.5 - Auction - Deed</t>
  </si>
  <si>
    <t>16.6 - Auction - checking www.har.com</t>
  </si>
  <si>
    <t>16.7 - Auction - google property</t>
  </si>
  <si>
    <t>NoData</t>
  </si>
  <si>
    <t>AltFileName by Date</t>
  </si>
  <si>
    <t>E:\Dropbox (BEST)\016 MD_TX_CA</t>
  </si>
  <si>
    <t>Bookkeepers</t>
  </si>
  <si>
    <t>Dispatchers</t>
  </si>
  <si>
    <t>Researchers</t>
  </si>
  <si>
    <t>Schedulers</t>
  </si>
  <si>
    <t>Billing</t>
  </si>
  <si>
    <t>Operational</t>
  </si>
  <si>
    <t>Insurance</t>
  </si>
  <si>
    <t>HR-Marketing</t>
  </si>
  <si>
    <t>Frontdesk</t>
  </si>
  <si>
    <t>Max Tanskiy</t>
  </si>
  <si>
    <t>December</t>
  </si>
  <si>
    <t>E:\Dropbox (BEST)\002 data base\0300 Data base - Bureaucracy\Odessa Branch\310\310_Max Tanskyi</t>
  </si>
  <si>
    <t>Helen Greniukh</t>
  </si>
  <si>
    <t>Alexa Klymenko</t>
  </si>
  <si>
    <t>Mike Gheneralov</t>
  </si>
  <si>
    <t>Gerson Barrera</t>
  </si>
  <si>
    <t>310 - Anna Fedorova - Dec_2017.xlsx</t>
  </si>
  <si>
    <t>310 - Helen Greniukh - Dec_2017.xlsx</t>
  </si>
  <si>
    <t>310 - Alexa Klymenko - Dec_2017.xlsx</t>
  </si>
  <si>
    <t>310 - Andrii Kulbaba - Dec_2017.xlsx</t>
  </si>
  <si>
    <t>310 - Julia Melikhova - Dec_2017.xlsx</t>
  </si>
  <si>
    <t>310 - Angela Gorcea - Dec_2017.xlsx</t>
  </si>
  <si>
    <t>310 - Irina Caldare - Dec_2017.xlsx</t>
  </si>
  <si>
    <t>310 - Natalia Protiuc - Dec_2017.xlsx</t>
  </si>
  <si>
    <t>310 - Natalia Slobozeanu - Dec_2017.xlsx</t>
  </si>
  <si>
    <t>310 - Mike Gheneralov - Dec_2017.xlsx</t>
  </si>
  <si>
    <t>310 - Elena Romandas - Dec_2017.xlsx</t>
  </si>
  <si>
    <t>310 - Olga Tiju - Dec_2017.xlsx</t>
  </si>
  <si>
    <t>310 - Sergiu Racu - Dec_2017.xlsx</t>
  </si>
  <si>
    <t>310 - Ron Maldonado - Dec_2017.xlsx</t>
  </si>
  <si>
    <t>310 - Sonia Arias - Dec_2017.xlsx</t>
  </si>
  <si>
    <t>310 - Rita Zelaya - Dec_2017.xlsx</t>
  </si>
  <si>
    <t>310 - Victor Boleac - Dec_2017.xlsx</t>
  </si>
  <si>
    <t>310 - Gerson Barrera - Dec_2017.xlsx</t>
  </si>
  <si>
    <t>310 - Max Tanskiy - Dec_2017.xlsx</t>
  </si>
  <si>
    <t>9.1. Mails/Emails</t>
  </si>
  <si>
    <t>9.2. Phone Calls/Viber</t>
  </si>
  <si>
    <t>10. Contact Regional Center</t>
  </si>
  <si>
    <t>11. HR Frontdesk</t>
  </si>
  <si>
    <t>12. HR ODS &amp; MD</t>
  </si>
  <si>
    <t>13. HR California</t>
  </si>
  <si>
    <t>14. Insurance</t>
  </si>
  <si>
    <t>15. Inventory maintenance</t>
  </si>
  <si>
    <t>16. Management</t>
  </si>
  <si>
    <t>17. Marketing</t>
  </si>
  <si>
    <t>18. Meeting</t>
  </si>
  <si>
    <t>19. Odessa office</t>
  </si>
  <si>
    <t>20. Payroll</t>
  </si>
  <si>
    <t>21. Purchase technology</t>
  </si>
  <si>
    <t>22. Recruitment</t>
  </si>
  <si>
    <t>22.1. Recruitment MD/ODS</t>
  </si>
  <si>
    <t>Subject</t>
  </si>
  <si>
    <t>10.7.1 Month-end closing - July</t>
  </si>
  <si>
    <t>10.7.2 Month-end closing - August</t>
  </si>
  <si>
    <t>10.7.3 Month-end closing - September</t>
  </si>
  <si>
    <t>10.7.4 Month-end closing - October</t>
  </si>
  <si>
    <t>10.7.5 Month-end closing - November</t>
  </si>
  <si>
    <t>10.7.6 Month-end closing - December</t>
  </si>
  <si>
    <t>10.10 Accounting Documentation</t>
  </si>
  <si>
    <t>10.11 Payroll</t>
  </si>
  <si>
    <t>10.12 Audit binder preparation</t>
  </si>
  <si>
    <t>10.13 Firm administration</t>
  </si>
  <si>
    <t>10.14 Clerical work</t>
  </si>
  <si>
    <t>18 - Research</t>
  </si>
  <si>
    <t>19. Technical maintenance</t>
  </si>
  <si>
    <t>20. Technical support</t>
  </si>
  <si>
    <t>21. HR</t>
  </si>
  <si>
    <t>22. - Break</t>
  </si>
  <si>
    <t>23. - Clock-out</t>
  </si>
  <si>
    <t>1-5</t>
  </si>
  <si>
    <t>6-12</t>
  </si>
  <si>
    <t>13-19</t>
  </si>
  <si>
    <t>20-26</t>
  </si>
  <si>
    <t>absolut</t>
  </si>
  <si>
    <t>%</t>
  </si>
  <si>
    <t>27-30-31</t>
  </si>
  <si>
    <t>IT</t>
  </si>
  <si>
    <t>TX_Management</t>
  </si>
  <si>
    <t>Alexander Druzenko</t>
  </si>
  <si>
    <t>Dmitri Murtazin</t>
  </si>
  <si>
    <t>310 - Alexander Druzenko  - Dec_2017 (Andrea BEST's conflicted copy 2017-12-27).xlsx</t>
  </si>
  <si>
    <t>E:\Dropbox (BEST)\002 data base\0300 Data base - Bureaucracy\Odessa Branch\310\310_Dmitriy _Demi_ Valantsevich\Jan_2018</t>
  </si>
  <si>
    <t>E:\Dropbox (BEST)\002 data base\0300 Data base - Bureaucracy\Odessa Branch\310\310_Dmitri I_Murtazin\2018</t>
  </si>
  <si>
    <t>E:\Dropbox (BEST)\002 data base\0300 Data base - Bureaucracy\Odessa Branch\310\310_Juliya Melikhova</t>
  </si>
  <si>
    <t>E:\Dropbox (BEST)\002 data base\0300 Data base - Bureaucracy\310\310- jaleen dunston\2018</t>
  </si>
  <si>
    <t>310 - Andriy Novokhatkin - Jan_2018.xlsx</t>
  </si>
  <si>
    <t>310 - Demi Valantsevich - Jan_2018.xlsx</t>
  </si>
  <si>
    <t>310 - Dmitri Murtazin  - Jan_2018.xlsx</t>
  </si>
  <si>
    <t>310 - Jessie Andriushenko - Dec_2017 correct 1 (Andrea BEST's conflicted copy 2018-01-09).xlsx</t>
  </si>
  <si>
    <t>310 - Natali Lebid - Jan_2018.xlsx</t>
  </si>
  <si>
    <t>C:\</t>
  </si>
  <si>
    <t>310 - Ecaterina Gurenco - Jan_2018.xlsx</t>
  </si>
  <si>
    <t>01_18 Petru Zatic.xlsx</t>
  </si>
  <si>
    <t>310 - Jaleen Dunston - Jan_2018.xlsx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</si>
</sst>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h]:mm:ss;@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0"/>
      <name val="Arial Narrow"/>
      <family val="2"/>
      <charset val="204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73">
    <xf numFmtId="0" fontId="0" fillId="0" borderId="0" xfId="0"/>
    <xf numFmtId="0" fontId="0" fillId="0" borderId="1" xfId="0" applyFont="1" applyBorder="1" applyAlignment="1">
      <alignment horizontal="left" vertical="top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3" xfId="0" applyBorder="1" applyAlignment="1">
      <alignment horizontal="left" vertical="top"/>
    </xf>
    <xf numFmtId="0" fontId="1" fillId="0" borderId="5" xfId="0" applyFont="1" applyBorder="1"/>
    <xf numFmtId="0" fontId="0" fillId="0" borderId="3" xfId="0" applyFont="1" applyBorder="1" applyAlignment="1">
      <alignment horizontal="left" vertical="top"/>
    </xf>
    <xf numFmtId="0" fontId="1" fillId="0" borderId="5" xfId="0" applyNumberFormat="1" applyFont="1" applyBorder="1"/>
    <xf numFmtId="0" fontId="1" fillId="0" borderId="2" xfId="0" applyNumberFormat="1" applyFont="1" applyBorder="1"/>
    <xf numFmtId="0" fontId="0" fillId="0" borderId="5" xfId="0" applyFont="1" applyBorder="1" applyAlignment="1">
      <alignment horizontal="left" vertical="center" wrapText="1"/>
    </xf>
    <xf numFmtId="0" fontId="0" fillId="0" borderId="3" xfId="0" applyFont="1" applyFill="1" applyBorder="1" applyAlignment="1">
      <alignment horizontal="left" vertical="top"/>
    </xf>
    <xf numFmtId="0" fontId="0" fillId="0" borderId="1" xfId="0" applyFont="1" applyBorder="1" applyAlignment="1">
      <alignment horizontal="left" vertical="center" wrapText="1"/>
    </xf>
    <xf numFmtId="0" fontId="0" fillId="0" borderId="6" xfId="0" applyBorder="1" applyAlignment="1">
      <alignment horizontal="left" vertical="top"/>
    </xf>
    <xf numFmtId="0" fontId="2" fillId="0" borderId="3" xfId="0" applyFont="1" applyFill="1" applyBorder="1" applyAlignment="1"/>
    <xf numFmtId="0" fontId="0" fillId="0" borderId="0" xfId="0" applyBorder="1"/>
    <xf numFmtId="164" fontId="0" fillId="0" borderId="0" xfId="0" applyNumberFormat="1"/>
    <xf numFmtId="0" fontId="0" fillId="2" borderId="1" xfId="0" applyFont="1" applyFill="1" applyBorder="1" applyAlignment="1">
      <alignment horizontal="left" vertical="top"/>
    </xf>
    <xf numFmtId="0" fontId="0" fillId="0" borderId="8" xfId="0" applyFont="1" applyBorder="1" applyAlignment="1">
      <alignment horizontal="left" vertical="top"/>
    </xf>
    <xf numFmtId="0" fontId="0" fillId="2" borderId="8" xfId="0" applyFont="1" applyFill="1" applyBorder="1" applyAlignment="1">
      <alignment horizontal="left" vertical="top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top"/>
    </xf>
    <xf numFmtId="0" fontId="0" fillId="2" borderId="10" xfId="0" applyFont="1" applyFill="1" applyBorder="1" applyAlignment="1">
      <alignment horizontal="left" vertical="top"/>
    </xf>
    <xf numFmtId="0" fontId="2" fillId="2" borderId="8" xfId="0" applyFont="1" applyFill="1" applyBorder="1" applyAlignment="1"/>
    <xf numFmtId="0" fontId="0" fillId="2" borderId="7" xfId="0" applyFont="1" applyFill="1" applyBorder="1"/>
    <xf numFmtId="0" fontId="0" fillId="0" borderId="7" xfId="0" applyFont="1" applyBorder="1"/>
    <xf numFmtId="0" fontId="0" fillId="0" borderId="0" xfId="0"/>
    <xf numFmtId="0" fontId="6" fillId="0" borderId="11" xfId="0" applyFont="1" applyBorder="1" applyAlignment="1">
      <alignment horizontal="left" vertical="center" wrapText="1" indent="1"/>
    </xf>
    <xf numFmtId="0" fontId="6" fillId="0" borderId="12" xfId="0" applyFont="1" applyBorder="1" applyAlignment="1">
      <alignment horizontal="left" vertical="center" wrapText="1" indent="1"/>
    </xf>
    <xf numFmtId="0" fontId="6" fillId="0" borderId="12" xfId="0" applyFont="1" applyFill="1" applyBorder="1" applyAlignment="1">
      <alignment horizontal="left" vertical="center" wrapText="1" indent="1"/>
    </xf>
    <xf numFmtId="0" fontId="6" fillId="0" borderId="13" xfId="0" applyFont="1" applyFill="1" applyBorder="1" applyAlignment="1">
      <alignment horizontal="left" vertical="center" wrapText="1" indent="1"/>
    </xf>
    <xf numFmtId="0" fontId="7" fillId="0" borderId="1" xfId="0" applyFont="1" applyBorder="1"/>
    <xf numFmtId="0" fontId="8" fillId="3" borderId="1" xfId="0" applyFont="1" applyFill="1" applyBorder="1" applyAlignment="1">
      <alignment horizontal="left" vertical="center" wrapText="1"/>
    </xf>
    <xf numFmtId="0" fontId="8" fillId="0" borderId="1" xfId="0" applyFont="1" applyBorder="1"/>
    <xf numFmtId="0" fontId="7" fillId="0" borderId="1" xfId="0" applyFont="1" applyFill="1" applyBorder="1"/>
    <xf numFmtId="0" fontId="7" fillId="0" borderId="14" xfId="0" applyFont="1" applyBorder="1"/>
    <xf numFmtId="0" fontId="6" fillId="0" borderId="12" xfId="0" applyFont="1" applyBorder="1" applyAlignment="1">
      <alignment horizontal="left" vertical="center" wrapText="1"/>
    </xf>
    <xf numFmtId="0" fontId="6" fillId="0" borderId="15" xfId="0" applyFont="1" applyBorder="1" applyAlignment="1">
      <alignment horizontal="left" vertical="center" wrapText="1"/>
    </xf>
    <xf numFmtId="0" fontId="0" fillId="0" borderId="1" xfId="0" applyBorder="1"/>
    <xf numFmtId="0" fontId="0" fillId="0" borderId="0" xfId="0"/>
    <xf numFmtId="0" fontId="0" fillId="0" borderId="0" xfId="0"/>
    <xf numFmtId="0" fontId="0" fillId="2" borderId="1" xfId="0" applyFont="1" applyFill="1" applyBorder="1" applyAlignment="1">
      <alignment horizontal="left" vertical="center"/>
    </xf>
    <xf numFmtId="16" fontId="5" fillId="4" borderId="19" xfId="0" applyNumberFormat="1" applyFont="1" applyFill="1" applyBorder="1" applyAlignment="1">
      <alignment horizontal="center"/>
    </xf>
    <xf numFmtId="16" fontId="5" fillId="4" borderId="20" xfId="0" applyNumberFormat="1" applyFont="1" applyFill="1" applyBorder="1" applyAlignment="1">
      <alignment horizontal="center"/>
    </xf>
    <xf numFmtId="16" fontId="5" fillId="4" borderId="21" xfId="0" applyNumberFormat="1" applyFont="1" applyFill="1" applyBorder="1" applyAlignment="1">
      <alignment horizontal="center"/>
    </xf>
    <xf numFmtId="164" fontId="0" fillId="5" borderId="0" xfId="0" applyNumberFormat="1" applyFill="1"/>
    <xf numFmtId="0" fontId="6" fillId="0" borderId="1" xfId="0" applyFont="1" applyBorder="1" applyAlignment="1">
      <alignment horizontal="left" vertical="center" wrapText="1"/>
    </xf>
    <xf numFmtId="9" fontId="0" fillId="5" borderId="0" xfId="1" applyFont="1" applyFill="1"/>
    <xf numFmtId="164" fontId="0" fillId="0" borderId="27" xfId="0" applyNumberFormat="1" applyBorder="1"/>
    <xf numFmtId="9" fontId="0" fillId="5" borderId="28" xfId="1" applyFont="1" applyFill="1" applyBorder="1"/>
    <xf numFmtId="164" fontId="0" fillId="0" borderId="28" xfId="0" applyNumberFormat="1" applyBorder="1"/>
    <xf numFmtId="9" fontId="0" fillId="5" borderId="29" xfId="1" applyFont="1" applyFill="1" applyBorder="1"/>
    <xf numFmtId="164" fontId="0" fillId="0" borderId="30" xfId="0" applyNumberFormat="1" applyBorder="1"/>
    <xf numFmtId="9" fontId="0" fillId="5" borderId="0" xfId="1" applyFont="1" applyFill="1" applyBorder="1"/>
    <xf numFmtId="164" fontId="0" fillId="0" borderId="0" xfId="0" applyNumberFormat="1" applyBorder="1"/>
    <xf numFmtId="9" fontId="0" fillId="5" borderId="31" xfId="1" applyFont="1" applyFill="1" applyBorder="1"/>
    <xf numFmtId="164" fontId="0" fillId="0" borderId="32" xfId="0" applyNumberFormat="1" applyBorder="1"/>
    <xf numFmtId="9" fontId="0" fillId="5" borderId="33" xfId="1" applyFont="1" applyFill="1" applyBorder="1"/>
    <xf numFmtId="164" fontId="0" fillId="0" borderId="33" xfId="0" applyNumberFormat="1" applyBorder="1"/>
    <xf numFmtId="9" fontId="0" fillId="5" borderId="34" xfId="1" applyFont="1" applyFill="1" applyBorder="1"/>
    <xf numFmtId="1" fontId="0" fillId="0" borderId="0" xfId="0" applyNumberFormat="1"/>
    <xf numFmtId="14" fontId="0" fillId="0" borderId="16" xfId="0" applyNumberFormat="1" applyBorder="1"/>
    <xf numFmtId="14" fontId="0" fillId="0" borderId="17" xfId="0" applyNumberFormat="1" applyBorder="1"/>
    <xf numFmtId="16" fontId="5" fillId="4" borderId="35" xfId="0" applyNumberFormat="1" applyFont="1" applyFill="1" applyBorder="1" applyAlignment="1">
      <alignment horizontal="center"/>
    </xf>
    <xf numFmtId="14" fontId="5" fillId="4" borderId="22" xfId="0" quotePrefix="1" applyNumberFormat="1" applyFont="1" applyFill="1" applyBorder="1" applyAlignment="1">
      <alignment horizontal="center"/>
    </xf>
    <xf numFmtId="0" fontId="5" fillId="4" borderId="18" xfId="0" applyNumberFormat="1" applyFont="1" applyFill="1" applyBorder="1" applyAlignment="1">
      <alignment horizontal="center"/>
    </xf>
    <xf numFmtId="0" fontId="5" fillId="4" borderId="24" xfId="0" applyFont="1" applyFill="1" applyBorder="1" applyAlignment="1">
      <alignment horizontal="center"/>
    </xf>
    <xf numFmtId="0" fontId="5" fillId="4" borderId="25" xfId="0" applyFont="1" applyFill="1" applyBorder="1" applyAlignment="1">
      <alignment horizontal="center"/>
    </xf>
    <xf numFmtId="0" fontId="5" fillId="4" borderId="26" xfId="0" applyFont="1" applyFill="1" applyBorder="1" applyAlignment="1">
      <alignment horizontal="center"/>
    </xf>
    <xf numFmtId="49" fontId="5" fillId="4" borderId="22" xfId="0" applyNumberFormat="1" applyFont="1" applyFill="1" applyBorder="1" applyAlignment="1">
      <alignment horizontal="center"/>
    </xf>
    <xf numFmtId="49" fontId="5" fillId="4" borderId="18" xfId="0" applyNumberFormat="1" applyFont="1" applyFill="1" applyBorder="1" applyAlignment="1">
      <alignment horizontal="center"/>
    </xf>
    <xf numFmtId="49" fontId="5" fillId="4" borderId="23" xfId="0" applyNumberFormat="1" applyFont="1" applyFill="1" applyBorder="1" applyAlignment="1">
      <alignment horizontal="center"/>
    </xf>
    <xf numFmtId="0" fontId="5" fillId="4" borderId="24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TX_Management!$B$2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TX_Management!$C$4:$C$53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E6-4C08-8FA3-EB3C67E83F42}"/>
            </c:ext>
          </c:extLst>
        </c:ser>
        <c:ser>
          <c:idx val="1"/>
          <c:order val="1"/>
          <c:tx>
            <c:strRef>
              <c:f>TX_Management!$D$2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TX_Management!$E$4:$E$53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E6-4C08-8FA3-EB3C67E83F42}"/>
            </c:ext>
          </c:extLst>
        </c:ser>
        <c:ser>
          <c:idx val="2"/>
          <c:order val="2"/>
          <c:tx>
            <c:strRef>
              <c:f>TX_Management!$F$2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TX_Management!$G$4:$G$53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E6-4C08-8FA3-EB3C67E83F42}"/>
            </c:ext>
          </c:extLst>
        </c:ser>
        <c:ser>
          <c:idx val="3"/>
          <c:order val="3"/>
          <c:tx>
            <c:strRef>
              <c:f>TX_Management!$H$2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TX_Management!$I$4:$I$53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E6-4C08-8FA3-EB3C67E83F42}"/>
            </c:ext>
          </c:extLst>
        </c:ser>
        <c:ser>
          <c:idx val="4"/>
          <c:order val="4"/>
          <c:tx>
            <c:strRef>
              <c:f>TX_Management!$J$2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TX_Management!$A$4:$A$53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TX_Management!$K$4:$K$53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E6-4C08-8FA3-EB3C67E83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5425896"/>
        <c:axId val="585417040"/>
      </c:barChart>
      <c:catAx>
        <c:axId val="585425896"/>
        <c:scaling>
          <c:orientation val="minMax"/>
        </c:scaling>
        <c:delete val="0"/>
        <c:axPos val="b"/>
        <c:majorTickMark val="out"/>
        <c:minorTickMark val="none"/>
        <c:tickLblPos val="nextTo"/>
        <c:crossAx val="585417040"/>
        <c:crosses val="autoZero"/>
        <c:auto val="1"/>
        <c:lblAlgn val="ctr"/>
        <c:lblOffset val="100"/>
        <c:tickLblSkip val="1"/>
        <c:noMultiLvlLbl val="0"/>
      </c:catAx>
      <c:valAx>
        <c:axId val="5854170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85425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Bookkeepers!$B$2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Bookkeepers!$C$4:$C$53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9B-4EF0-95DA-20E282EB0148}"/>
            </c:ext>
          </c:extLst>
        </c:ser>
        <c:ser>
          <c:idx val="1"/>
          <c:order val="1"/>
          <c:tx>
            <c:strRef>
              <c:f>Bookkeepers!$D$2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Bookkeepers!$E$4:$E$53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9B-4EF0-95DA-20E282EB0148}"/>
            </c:ext>
          </c:extLst>
        </c:ser>
        <c:ser>
          <c:idx val="2"/>
          <c:order val="2"/>
          <c:tx>
            <c:strRef>
              <c:f>Bookkeepers!$F$2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Bookkeepers!$G$4:$G$53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9B-4EF0-95DA-20E282EB0148}"/>
            </c:ext>
          </c:extLst>
        </c:ser>
        <c:ser>
          <c:idx val="3"/>
          <c:order val="3"/>
          <c:tx>
            <c:strRef>
              <c:f>Bookkeepers!$H$2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Bookkeepers!$I$4:$I$53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9B-4EF0-95DA-20E282EB0148}"/>
            </c:ext>
          </c:extLst>
        </c:ser>
        <c:ser>
          <c:idx val="4"/>
          <c:order val="4"/>
          <c:tx>
            <c:strRef>
              <c:f>Bookkeepers!$J$2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Bookkeepers!$A$4:$A$53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Bookkeepers!$K$4:$K$53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9B-4EF0-95DA-20E282EB0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053944"/>
        <c:axId val="529065424"/>
      </c:barChart>
      <c:catAx>
        <c:axId val="529053944"/>
        <c:scaling>
          <c:orientation val="minMax"/>
        </c:scaling>
        <c:delete val="0"/>
        <c:axPos val="b"/>
        <c:majorTickMark val="out"/>
        <c:minorTickMark val="none"/>
        <c:tickLblPos val="nextTo"/>
        <c:crossAx val="529065424"/>
        <c:crosses val="autoZero"/>
        <c:auto val="1"/>
        <c:lblAlgn val="ctr"/>
        <c:lblOffset val="100"/>
        <c:tickLblSkip val="1"/>
        <c:noMultiLvlLbl val="0"/>
      </c:catAx>
      <c:valAx>
        <c:axId val="5290654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29053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Bookkeepers!$L$2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Bookkeepers!$M$4:$M$53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C5-43DF-97BA-98E287FB7F91}"/>
            </c:ext>
          </c:extLst>
        </c:ser>
        <c:ser>
          <c:idx val="1"/>
          <c:order val="1"/>
          <c:tx>
            <c:strRef>
              <c:f>Bookkeepers!$N$2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Bookkeepers!$O$4:$O$53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C5-43DF-97BA-98E287FB7F91}"/>
            </c:ext>
          </c:extLst>
        </c:ser>
        <c:ser>
          <c:idx val="2"/>
          <c:order val="2"/>
          <c:tx>
            <c:strRef>
              <c:f>Bookkeepers!$P$2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Bookkeepers!$Q$4:$Q$53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C5-43DF-97BA-98E287FB7F91}"/>
            </c:ext>
          </c:extLst>
        </c:ser>
        <c:ser>
          <c:idx val="3"/>
          <c:order val="3"/>
          <c:tx>
            <c:strRef>
              <c:f>Bookkeepers!$R$2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Bookkeepers!$S$4:$S$53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C5-43DF-97BA-98E287FB7F91}"/>
            </c:ext>
          </c:extLst>
        </c:ser>
        <c:ser>
          <c:idx val="4"/>
          <c:order val="4"/>
          <c:tx>
            <c:strRef>
              <c:f>Bookkeepers!$T$2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Bookkeepers!$A$4:$A$53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Bookkeepers!$U$4:$U$53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C5-43DF-97BA-98E287FB7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460392"/>
        <c:axId val="536455144"/>
      </c:barChart>
      <c:catAx>
        <c:axId val="536460392"/>
        <c:scaling>
          <c:orientation val="minMax"/>
        </c:scaling>
        <c:delete val="0"/>
        <c:axPos val="b"/>
        <c:majorTickMark val="out"/>
        <c:minorTickMark val="none"/>
        <c:tickLblPos val="nextTo"/>
        <c:crossAx val="536455144"/>
        <c:crosses val="autoZero"/>
        <c:auto val="1"/>
        <c:lblAlgn val="ctr"/>
        <c:lblOffset val="100"/>
        <c:tickLblSkip val="1"/>
        <c:noMultiLvlLbl val="0"/>
      </c:catAx>
      <c:valAx>
        <c:axId val="5364551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6460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Dispatchers!$B$2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Dispatchers!$C$4:$C$53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4-4714-9F73-48AC9B70D59E}"/>
            </c:ext>
          </c:extLst>
        </c:ser>
        <c:ser>
          <c:idx val="1"/>
          <c:order val="1"/>
          <c:tx>
            <c:strRef>
              <c:f>Dispatchers!$D$2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Dispatchers!$E$4:$E$53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C4-4714-9F73-48AC9B70D59E}"/>
            </c:ext>
          </c:extLst>
        </c:ser>
        <c:ser>
          <c:idx val="2"/>
          <c:order val="2"/>
          <c:tx>
            <c:strRef>
              <c:f>Dispatchers!$F$2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Dispatchers!$G$4:$G$53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C4-4714-9F73-48AC9B70D59E}"/>
            </c:ext>
          </c:extLst>
        </c:ser>
        <c:ser>
          <c:idx val="3"/>
          <c:order val="3"/>
          <c:tx>
            <c:strRef>
              <c:f>Dispatchers!$H$2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Dispatchers!$I$4:$I$53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C4-4714-9F73-48AC9B70D59E}"/>
            </c:ext>
          </c:extLst>
        </c:ser>
        <c:ser>
          <c:idx val="4"/>
          <c:order val="4"/>
          <c:tx>
            <c:strRef>
              <c:f>Dispatchers!$J$2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Dispatchers!$A$4:$A$53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Dispatchers!$K$4:$K$53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C4-4714-9F73-48AC9B70D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1435272"/>
        <c:axId val="531431008"/>
      </c:barChart>
      <c:catAx>
        <c:axId val="531435272"/>
        <c:scaling>
          <c:orientation val="minMax"/>
        </c:scaling>
        <c:delete val="0"/>
        <c:axPos val="b"/>
        <c:majorTickMark val="out"/>
        <c:minorTickMark val="none"/>
        <c:tickLblPos val="nextTo"/>
        <c:crossAx val="531431008"/>
        <c:crosses val="autoZero"/>
        <c:auto val="1"/>
        <c:lblAlgn val="ctr"/>
        <c:lblOffset val="100"/>
        <c:tickLblSkip val="1"/>
        <c:noMultiLvlLbl val="0"/>
      </c:catAx>
      <c:valAx>
        <c:axId val="5314310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1435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Dispatchers!$L$2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Dispatchers!$M$4:$M$53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A0-4B33-A6E2-B9427A885A45}"/>
            </c:ext>
          </c:extLst>
        </c:ser>
        <c:ser>
          <c:idx val="1"/>
          <c:order val="1"/>
          <c:tx>
            <c:strRef>
              <c:f>Dispatchers!$N$2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Dispatchers!$O$4:$O$53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A0-4B33-A6E2-B9427A885A45}"/>
            </c:ext>
          </c:extLst>
        </c:ser>
        <c:ser>
          <c:idx val="2"/>
          <c:order val="2"/>
          <c:tx>
            <c:strRef>
              <c:f>Dispatchers!$P$2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Dispatchers!$Q$4:$Q$53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A0-4B33-A6E2-B9427A885A45}"/>
            </c:ext>
          </c:extLst>
        </c:ser>
        <c:ser>
          <c:idx val="3"/>
          <c:order val="3"/>
          <c:tx>
            <c:strRef>
              <c:f>Dispatchers!$R$2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Dispatchers!$S$4:$S$53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A0-4B33-A6E2-B9427A885A45}"/>
            </c:ext>
          </c:extLst>
        </c:ser>
        <c:ser>
          <c:idx val="4"/>
          <c:order val="4"/>
          <c:tx>
            <c:strRef>
              <c:f>Dispatchers!$T$2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Dispatchers!$A$4:$A$53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Dispatchers!$U$4:$U$53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A0-4B33-A6E2-B9427A885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1471680"/>
        <c:axId val="531472008"/>
      </c:barChart>
      <c:catAx>
        <c:axId val="531471680"/>
        <c:scaling>
          <c:orientation val="minMax"/>
        </c:scaling>
        <c:delete val="0"/>
        <c:axPos val="b"/>
        <c:majorTickMark val="out"/>
        <c:minorTickMark val="none"/>
        <c:tickLblPos val="nextTo"/>
        <c:crossAx val="531472008"/>
        <c:crosses val="autoZero"/>
        <c:auto val="1"/>
        <c:lblAlgn val="ctr"/>
        <c:lblOffset val="100"/>
        <c:tickLblSkip val="1"/>
        <c:noMultiLvlLbl val="0"/>
      </c:catAx>
      <c:valAx>
        <c:axId val="5314720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1471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Researchers!$B$2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Researchers!$C$4:$C$53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20-42EA-A22D-6AB60E893D90}"/>
            </c:ext>
          </c:extLst>
        </c:ser>
        <c:ser>
          <c:idx val="1"/>
          <c:order val="1"/>
          <c:tx>
            <c:strRef>
              <c:f>Researchers!$D$2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Researchers!$E$4:$E$53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20-42EA-A22D-6AB60E893D90}"/>
            </c:ext>
          </c:extLst>
        </c:ser>
        <c:ser>
          <c:idx val="2"/>
          <c:order val="2"/>
          <c:tx>
            <c:strRef>
              <c:f>Researchers!$F$2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Researchers!$G$4:$G$53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20-42EA-A22D-6AB60E893D90}"/>
            </c:ext>
          </c:extLst>
        </c:ser>
        <c:ser>
          <c:idx val="3"/>
          <c:order val="3"/>
          <c:tx>
            <c:strRef>
              <c:f>Researchers!$H$2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Researchers!$I$4:$I$53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20-42EA-A22D-6AB60E893D90}"/>
            </c:ext>
          </c:extLst>
        </c:ser>
        <c:ser>
          <c:idx val="4"/>
          <c:order val="4"/>
          <c:tx>
            <c:strRef>
              <c:f>Researchers!$J$2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Researchers!$A$4:$A$53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Researchers!$K$4:$K$53</c:f>
              <c:numCache>
                <c:formatCode>0%</c:formatCode>
                <c:ptCount val="50"/>
                <c:pt idx="0">
                  <c:v>1.3927066153564326E-2</c:v>
                </c:pt>
                <c:pt idx="1">
                  <c:v>6.0747663551401841E-2</c:v>
                </c:pt>
                <c:pt idx="2">
                  <c:v>0</c:v>
                </c:pt>
                <c:pt idx="3">
                  <c:v>0</c:v>
                </c:pt>
                <c:pt idx="4">
                  <c:v>7.4674729704966081E-2</c:v>
                </c:pt>
                <c:pt idx="5">
                  <c:v>1.7866959868059383E-2</c:v>
                </c:pt>
                <c:pt idx="6">
                  <c:v>0.17143118929814924</c:v>
                </c:pt>
                <c:pt idx="7">
                  <c:v>5.7265897013010783E-2</c:v>
                </c:pt>
                <c:pt idx="8">
                  <c:v>9.8039215686274456E-3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7.3300348176653582E-4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2.8953637529778253E-2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0.23868425875022908</c:v>
                </c:pt>
                <c:pt idx="34">
                  <c:v>5.9648158328752053E-2</c:v>
                </c:pt>
                <c:pt idx="35">
                  <c:v>2.8862012094557434E-2</c:v>
                </c:pt>
                <c:pt idx="36">
                  <c:v>0</c:v>
                </c:pt>
                <c:pt idx="37">
                  <c:v>0</c:v>
                </c:pt>
                <c:pt idx="38">
                  <c:v>1.3285688107018476E-2</c:v>
                </c:pt>
                <c:pt idx="39">
                  <c:v>0</c:v>
                </c:pt>
                <c:pt idx="40">
                  <c:v>1.3743815283122692E-3</c:v>
                </c:pt>
                <c:pt idx="41">
                  <c:v>2.7487630566245241E-3</c:v>
                </c:pt>
                <c:pt idx="42">
                  <c:v>4.5812717610408636E-3</c:v>
                </c:pt>
                <c:pt idx="43">
                  <c:v>8.2188015393073174E-2</c:v>
                </c:pt>
                <c:pt idx="44">
                  <c:v>0.12112882536192041</c:v>
                </c:pt>
                <c:pt idx="45">
                  <c:v>1.0995052226498037E-3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1.0995052226498081E-2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20-42EA-A22D-6AB60E893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983544"/>
        <c:axId val="558986496"/>
      </c:barChart>
      <c:catAx>
        <c:axId val="558983544"/>
        <c:scaling>
          <c:orientation val="minMax"/>
        </c:scaling>
        <c:delete val="0"/>
        <c:axPos val="b"/>
        <c:majorTickMark val="out"/>
        <c:minorTickMark val="none"/>
        <c:tickLblPos val="nextTo"/>
        <c:crossAx val="558986496"/>
        <c:crosses val="autoZero"/>
        <c:auto val="1"/>
        <c:lblAlgn val="ctr"/>
        <c:lblOffset val="100"/>
        <c:tickLblSkip val="1"/>
        <c:noMultiLvlLbl val="0"/>
      </c:catAx>
      <c:valAx>
        <c:axId val="55898649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589835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Researchers!$L$2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Researchers!$M$4:$M$53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54-4AA7-BA0C-449DB6BE4482}"/>
            </c:ext>
          </c:extLst>
        </c:ser>
        <c:ser>
          <c:idx val="1"/>
          <c:order val="1"/>
          <c:tx>
            <c:strRef>
              <c:f>Researchers!$N$2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Researchers!$O$4:$O$53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54-4AA7-BA0C-449DB6BE4482}"/>
            </c:ext>
          </c:extLst>
        </c:ser>
        <c:ser>
          <c:idx val="2"/>
          <c:order val="2"/>
          <c:tx>
            <c:strRef>
              <c:f>Researchers!$P$2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Researchers!$Q$4:$Q$53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54-4AA7-BA0C-449DB6BE4482}"/>
            </c:ext>
          </c:extLst>
        </c:ser>
        <c:ser>
          <c:idx val="3"/>
          <c:order val="3"/>
          <c:tx>
            <c:strRef>
              <c:f>Researchers!$R$2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Researchers!$S$4:$S$53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54-4AA7-BA0C-449DB6BE4482}"/>
            </c:ext>
          </c:extLst>
        </c:ser>
        <c:ser>
          <c:idx val="4"/>
          <c:order val="4"/>
          <c:tx>
            <c:strRef>
              <c:f>Researchers!$T$2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Researchers!$A$4:$A$53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Researchers!$U$4:$U$53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54-4AA7-BA0C-449DB6BE4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572784"/>
        <c:axId val="560575080"/>
      </c:barChart>
      <c:catAx>
        <c:axId val="560572784"/>
        <c:scaling>
          <c:orientation val="minMax"/>
        </c:scaling>
        <c:delete val="0"/>
        <c:axPos val="b"/>
        <c:majorTickMark val="out"/>
        <c:minorTickMark val="none"/>
        <c:tickLblPos val="nextTo"/>
        <c:crossAx val="560575080"/>
        <c:crosses val="autoZero"/>
        <c:auto val="1"/>
        <c:lblAlgn val="ctr"/>
        <c:lblOffset val="100"/>
        <c:tickLblSkip val="1"/>
        <c:noMultiLvlLbl val="0"/>
      </c:catAx>
      <c:valAx>
        <c:axId val="5605750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605727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Researchers!$V$2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Researchers!$W$4:$W$53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DA-4B7F-89C4-C2152348CA01}"/>
            </c:ext>
          </c:extLst>
        </c:ser>
        <c:ser>
          <c:idx val="1"/>
          <c:order val="1"/>
          <c:tx>
            <c:strRef>
              <c:f>Researchers!$X$2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Researchers!$Y$4:$Y$53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DA-4B7F-89C4-C2152348CA01}"/>
            </c:ext>
          </c:extLst>
        </c:ser>
        <c:ser>
          <c:idx val="2"/>
          <c:order val="2"/>
          <c:tx>
            <c:strRef>
              <c:f>Researchers!$Z$2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Researchers!$AA$4:$AA$53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DA-4B7F-89C4-C2152348CA01}"/>
            </c:ext>
          </c:extLst>
        </c:ser>
        <c:ser>
          <c:idx val="3"/>
          <c:order val="3"/>
          <c:tx>
            <c:strRef>
              <c:f>Researchers!$AB$2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Researchers!$AC$4:$AC$53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DA-4B7F-89C4-C2152348CA01}"/>
            </c:ext>
          </c:extLst>
        </c:ser>
        <c:ser>
          <c:idx val="4"/>
          <c:order val="4"/>
          <c:tx>
            <c:strRef>
              <c:f>Researchers!$AD$2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Researchers!$A$4:$A$53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Researchers!$AE$4:$AE$53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DA-4B7F-89C4-C2152348C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965552"/>
        <c:axId val="561969160"/>
      </c:barChart>
      <c:catAx>
        <c:axId val="561965552"/>
        <c:scaling>
          <c:orientation val="minMax"/>
        </c:scaling>
        <c:delete val="0"/>
        <c:axPos val="b"/>
        <c:majorTickMark val="out"/>
        <c:minorTickMark val="none"/>
        <c:tickLblPos val="nextTo"/>
        <c:crossAx val="561969160"/>
        <c:crosses val="autoZero"/>
        <c:auto val="1"/>
        <c:lblAlgn val="ctr"/>
        <c:lblOffset val="100"/>
        <c:tickLblSkip val="1"/>
        <c:noMultiLvlLbl val="0"/>
      </c:catAx>
      <c:valAx>
        <c:axId val="5619691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61965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Researchers!$AF$2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Researchers!$AG$4:$AG$53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6-430C-8516-45980C490828}"/>
            </c:ext>
          </c:extLst>
        </c:ser>
        <c:ser>
          <c:idx val="1"/>
          <c:order val="1"/>
          <c:tx>
            <c:strRef>
              <c:f>Researchers!$AH$2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Researchers!$AI$4:$AI$53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36-430C-8516-45980C490828}"/>
            </c:ext>
          </c:extLst>
        </c:ser>
        <c:ser>
          <c:idx val="2"/>
          <c:order val="2"/>
          <c:tx>
            <c:strRef>
              <c:f>Researchers!$AJ$2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Researchers!$AK$4:$AK$53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36-430C-8516-45980C490828}"/>
            </c:ext>
          </c:extLst>
        </c:ser>
        <c:ser>
          <c:idx val="3"/>
          <c:order val="3"/>
          <c:tx>
            <c:strRef>
              <c:f>Researchers!$AL$2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Researchers!$AM$4:$AM$53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36-430C-8516-45980C490828}"/>
            </c:ext>
          </c:extLst>
        </c:ser>
        <c:ser>
          <c:idx val="4"/>
          <c:order val="4"/>
          <c:tx>
            <c:strRef>
              <c:f>Researchers!$AN$2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Researchers!$A$4:$A$53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Researchers!$AO$4:$AO$53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36-430C-8516-45980C490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960960"/>
        <c:axId val="561953088"/>
      </c:barChart>
      <c:catAx>
        <c:axId val="561960960"/>
        <c:scaling>
          <c:orientation val="minMax"/>
        </c:scaling>
        <c:delete val="0"/>
        <c:axPos val="b"/>
        <c:majorTickMark val="out"/>
        <c:minorTickMark val="none"/>
        <c:tickLblPos val="nextTo"/>
        <c:crossAx val="561953088"/>
        <c:crosses val="autoZero"/>
        <c:auto val="1"/>
        <c:lblAlgn val="ctr"/>
        <c:lblOffset val="100"/>
        <c:tickLblSkip val="1"/>
        <c:noMultiLvlLbl val="0"/>
      </c:catAx>
      <c:valAx>
        <c:axId val="5619530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61960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Schedulers!$B$2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Schedulers!$C$4:$C$36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D5-4644-A0F5-D8902BA48E6B}"/>
            </c:ext>
          </c:extLst>
        </c:ser>
        <c:ser>
          <c:idx val="1"/>
          <c:order val="1"/>
          <c:tx>
            <c:strRef>
              <c:f>Schedulers!$D$2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Schedulers!$E$4:$E$36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5.3322395406072975E-3</c:v>
                </c:pt>
                <c:pt idx="7">
                  <c:v>0</c:v>
                </c:pt>
                <c:pt idx="8">
                  <c:v>0.14109926168990958</c:v>
                </c:pt>
                <c:pt idx="9">
                  <c:v>0.4704675963904838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4.9220672682526645E-3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0.37817883511074668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D5-4644-A0F5-D8902BA48E6B}"/>
            </c:ext>
          </c:extLst>
        </c:ser>
        <c:ser>
          <c:idx val="2"/>
          <c:order val="2"/>
          <c:tx>
            <c:strRef>
              <c:f>Schedulers!$F$2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Schedulers!$G$4:$G$36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D5-4644-A0F5-D8902BA48E6B}"/>
            </c:ext>
          </c:extLst>
        </c:ser>
        <c:ser>
          <c:idx val="3"/>
          <c:order val="3"/>
          <c:tx>
            <c:strRef>
              <c:f>Schedulers!$H$2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Schedulers!$I$4:$I$36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4.4395116537181345E-3</c:v>
                </c:pt>
                <c:pt idx="7">
                  <c:v>0</c:v>
                </c:pt>
                <c:pt idx="8">
                  <c:v>8.0651128375878567E-2</c:v>
                </c:pt>
                <c:pt idx="9">
                  <c:v>0.49852016278209393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2.2197558268590451E-3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0.39752127266000747</c:v>
                </c:pt>
                <c:pt idx="29">
                  <c:v>0</c:v>
                </c:pt>
                <c:pt idx="30">
                  <c:v>3.5146133925268394E-3</c:v>
                </c:pt>
                <c:pt idx="31">
                  <c:v>0</c:v>
                </c:pt>
                <c:pt idx="32">
                  <c:v>1.3133555308916018E-2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D5-4644-A0F5-D8902BA48E6B}"/>
            </c:ext>
          </c:extLst>
        </c:ser>
        <c:ser>
          <c:idx val="4"/>
          <c:order val="4"/>
          <c:tx>
            <c:strRef>
              <c:f>Schedulers!$J$2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Schedulers!$A$4:$A$36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Schedulers!$K$4:$K$36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4.2908762420957756E-3</c:v>
                </c:pt>
                <c:pt idx="7">
                  <c:v>0</c:v>
                </c:pt>
                <c:pt idx="8">
                  <c:v>5.8717253839205001E-2</c:v>
                </c:pt>
                <c:pt idx="9">
                  <c:v>0.45584914182475161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1.5921409214092155E-2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0.45144534778681117</c:v>
                </c:pt>
                <c:pt idx="29">
                  <c:v>0</c:v>
                </c:pt>
                <c:pt idx="30">
                  <c:v>2.1454381210478878E-3</c:v>
                </c:pt>
                <c:pt idx="31">
                  <c:v>0</c:v>
                </c:pt>
                <c:pt idx="32">
                  <c:v>1.1630532971996387E-2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D5-4644-A0F5-D8902BA48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5077304"/>
        <c:axId val="565072384"/>
      </c:barChart>
      <c:catAx>
        <c:axId val="565077304"/>
        <c:scaling>
          <c:orientation val="minMax"/>
        </c:scaling>
        <c:delete val="0"/>
        <c:axPos val="b"/>
        <c:majorTickMark val="out"/>
        <c:minorTickMark val="none"/>
        <c:tickLblPos val="nextTo"/>
        <c:crossAx val="565072384"/>
        <c:crosses val="autoZero"/>
        <c:auto val="1"/>
        <c:lblAlgn val="ctr"/>
        <c:lblOffset val="100"/>
        <c:tickLblSkip val="1"/>
        <c:noMultiLvlLbl val="0"/>
      </c:catAx>
      <c:valAx>
        <c:axId val="56507238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65077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Schedulers!$L$2</c:f>
              <c:strCache>
                <c:ptCount val="1"/>
                <c:pt idx="0">
                  <c:v>12/2/2017</c:v>
                </c:pt>
              </c:strCache>
            </c:strRef>
          </c:tx>
          <c:invertIfNegative val="0"/>
          <c:val>
            <c:numRef>
              <c:f>Schedulers!$M$4:$M$36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8-4A78-893F-122D273FCCE4}"/>
            </c:ext>
          </c:extLst>
        </c:ser>
        <c:ser>
          <c:idx val="1"/>
          <c:order val="1"/>
          <c:tx>
            <c:strRef>
              <c:f>Schedulers!$N$2</c:f>
              <c:strCache>
                <c:ptCount val="1"/>
                <c:pt idx="0">
                  <c:v>12/9/2017</c:v>
                </c:pt>
              </c:strCache>
            </c:strRef>
          </c:tx>
          <c:invertIfNegative val="0"/>
          <c:val>
            <c:numRef>
              <c:f>Schedulers!$O$4:$O$36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1.2123745819397886E-2</c:v>
                </c:pt>
                <c:pt idx="7">
                  <c:v>0</c:v>
                </c:pt>
                <c:pt idx="8">
                  <c:v>4.2642140468227514E-2</c:v>
                </c:pt>
                <c:pt idx="9">
                  <c:v>7.9849498327759186E-2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6.0618729096989975E-2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0.80476588628762546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D8-4A78-893F-122D273FCCE4}"/>
            </c:ext>
          </c:extLst>
        </c:ser>
        <c:ser>
          <c:idx val="2"/>
          <c:order val="2"/>
          <c:tx>
            <c:strRef>
              <c:f>Schedulers!$P$2</c:f>
              <c:strCache>
                <c:ptCount val="1"/>
                <c:pt idx="0">
                  <c:v>12/16/2017</c:v>
                </c:pt>
              </c:strCache>
            </c:strRef>
          </c:tx>
          <c:invertIfNegative val="0"/>
          <c:val>
            <c:numRef>
              <c:f>Schedulers!$Q$4:$Q$36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D8-4A78-893F-122D273FCCE4}"/>
            </c:ext>
          </c:extLst>
        </c:ser>
        <c:ser>
          <c:idx val="3"/>
          <c:order val="3"/>
          <c:tx>
            <c:strRef>
              <c:f>Schedulers!$R$2</c:f>
              <c:strCache>
                <c:ptCount val="1"/>
                <c:pt idx="0">
                  <c:v>12/23/2017</c:v>
                </c:pt>
              </c:strCache>
            </c:strRef>
          </c:tx>
          <c:invertIfNegative val="0"/>
          <c:val>
            <c:numRef>
              <c:f>Schedulers!$S$4:$S$36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8.0333234156500771E-3</c:v>
                </c:pt>
                <c:pt idx="7">
                  <c:v>0</c:v>
                </c:pt>
                <c:pt idx="8">
                  <c:v>1.5917881582862274E-2</c:v>
                </c:pt>
                <c:pt idx="9">
                  <c:v>7.3936328473668586E-2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5.1472775959535838E-2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0.85063969056828315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D8-4A78-893F-122D273FCCE4}"/>
            </c:ext>
          </c:extLst>
        </c:ser>
        <c:ser>
          <c:idx val="4"/>
          <c:order val="4"/>
          <c:tx>
            <c:strRef>
              <c:f>Schedulers!$T$2</c:f>
              <c:strCache>
                <c:ptCount val="1"/>
                <c:pt idx="0">
                  <c:v>12/30/2017</c:v>
                </c:pt>
              </c:strCache>
            </c:strRef>
          </c:tx>
          <c:invertIfNegative val="0"/>
          <c:cat>
            <c:strRef>
              <c:f>Schedulers!$A$4:$A$36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Schedulers!$U$4:$U$36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8.8098670510971724E-3</c:v>
                </c:pt>
                <c:pt idx="7">
                  <c:v>0</c:v>
                </c:pt>
                <c:pt idx="8">
                  <c:v>1.4496235784078184E-2</c:v>
                </c:pt>
                <c:pt idx="9">
                  <c:v>0.21015537401890122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6.3350953067435545E-2</c:v>
                </c:pt>
                <c:pt idx="25">
                  <c:v>0</c:v>
                </c:pt>
                <c:pt idx="26">
                  <c:v>0</c:v>
                </c:pt>
                <c:pt idx="27">
                  <c:v>2.1624219125420396E-3</c:v>
                </c:pt>
                <c:pt idx="28">
                  <c:v>0.70102514816594586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D8-4A78-893F-122D273FC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5428496"/>
        <c:axId val="405429480"/>
      </c:barChart>
      <c:catAx>
        <c:axId val="405428496"/>
        <c:scaling>
          <c:orientation val="minMax"/>
        </c:scaling>
        <c:delete val="0"/>
        <c:axPos val="b"/>
        <c:majorTickMark val="out"/>
        <c:minorTickMark val="none"/>
        <c:tickLblPos val="nextTo"/>
        <c:crossAx val="405429480"/>
        <c:crosses val="autoZero"/>
        <c:auto val="1"/>
        <c:lblAlgn val="ctr"/>
        <c:lblOffset val="100"/>
        <c:tickLblSkip val="1"/>
        <c:noMultiLvlLbl val="0"/>
      </c:catAx>
      <c:valAx>
        <c:axId val="4054294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054284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Schedulers!$V$2</c:f>
              <c:strCache>
                <c:ptCount val="1"/>
                <c:pt idx="0">
                  <c:v>12/2/2017</c:v>
                </c:pt>
              </c:strCache>
            </c:strRef>
          </c:tx>
          <c:invertIfNegative val="0"/>
          <c:val>
            <c:numRef>
              <c:f>Schedulers!$W$4:$W$36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80-47CF-B5B3-41F0E0ED0F0B}"/>
            </c:ext>
          </c:extLst>
        </c:ser>
        <c:ser>
          <c:idx val="1"/>
          <c:order val="1"/>
          <c:tx>
            <c:strRef>
              <c:f>Schedulers!$X$2</c:f>
              <c:strCache>
                <c:ptCount val="1"/>
                <c:pt idx="0">
                  <c:v>12/9/2017</c:v>
                </c:pt>
              </c:strCache>
            </c:strRef>
          </c:tx>
          <c:invertIfNegative val="0"/>
          <c:val>
            <c:numRef>
              <c:f>Schedulers!$Y$4:$Y$36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1.291666666666649E-2</c:v>
                </c:pt>
                <c:pt idx="7">
                  <c:v>0</c:v>
                </c:pt>
                <c:pt idx="8">
                  <c:v>1.7500000000000009E-2</c:v>
                </c:pt>
                <c:pt idx="9">
                  <c:v>1.4999999999999883E-2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1.2083333333333311E-2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0.94250000000000034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80-47CF-B5B3-41F0E0ED0F0B}"/>
            </c:ext>
          </c:extLst>
        </c:ser>
        <c:ser>
          <c:idx val="2"/>
          <c:order val="2"/>
          <c:tx>
            <c:strRef>
              <c:f>Schedulers!$Z$2</c:f>
              <c:strCache>
                <c:ptCount val="1"/>
                <c:pt idx="0">
                  <c:v>12/16/2017</c:v>
                </c:pt>
              </c:strCache>
            </c:strRef>
          </c:tx>
          <c:invertIfNegative val="0"/>
          <c:val>
            <c:numRef>
              <c:f>Schedulers!$AA$4:$AA$36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5.8581153708348266E-2</c:v>
                </c:pt>
                <c:pt idx="7">
                  <c:v>0</c:v>
                </c:pt>
                <c:pt idx="8">
                  <c:v>1.7018989609458975E-2</c:v>
                </c:pt>
                <c:pt idx="9">
                  <c:v>7.1658903618774103E-3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5.1952705123611501E-3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0.91203869580795427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80-47CF-B5B3-41F0E0ED0F0B}"/>
            </c:ext>
          </c:extLst>
        </c:ser>
        <c:ser>
          <c:idx val="3"/>
          <c:order val="3"/>
          <c:tx>
            <c:strRef>
              <c:f>Schedulers!$AB$2</c:f>
              <c:strCache>
                <c:ptCount val="1"/>
                <c:pt idx="0">
                  <c:v>12/23/2017</c:v>
                </c:pt>
              </c:strCache>
            </c:strRef>
          </c:tx>
          <c:invertIfNegative val="0"/>
          <c:val>
            <c:numRef>
              <c:f>Schedulers!$AC$4:$AC$36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1.4256237103732864E-2</c:v>
                </c:pt>
                <c:pt idx="7">
                  <c:v>0</c:v>
                </c:pt>
                <c:pt idx="8">
                  <c:v>1.7820296379666103E-2</c:v>
                </c:pt>
                <c:pt idx="9">
                  <c:v>7.5032826861751454E-3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5.4398799474770099E-3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0.95498030388294886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80-47CF-B5B3-41F0E0ED0F0B}"/>
            </c:ext>
          </c:extLst>
        </c:ser>
        <c:ser>
          <c:idx val="4"/>
          <c:order val="4"/>
          <c:tx>
            <c:strRef>
              <c:f>Schedulers!$AD$2</c:f>
              <c:strCache>
                <c:ptCount val="1"/>
                <c:pt idx="0">
                  <c:v>12/30/2017</c:v>
                </c:pt>
              </c:strCache>
            </c:strRef>
          </c:tx>
          <c:invertIfNegative val="0"/>
          <c:cat>
            <c:strRef>
              <c:f>Schedulers!$A$4:$A$36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Schedulers!$AE$4:$AE$36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1.355965271680807E-2</c:v>
                </c:pt>
                <c:pt idx="7">
                  <c:v>0</c:v>
                </c:pt>
                <c:pt idx="8">
                  <c:v>1.9607843137254943E-2</c:v>
                </c:pt>
                <c:pt idx="9">
                  <c:v>1.0535557506584704E-2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3.902058335772114E-3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0.95239488830358021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80-47CF-B5B3-41F0E0ED0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4609648"/>
        <c:axId val="524610304"/>
      </c:barChart>
      <c:catAx>
        <c:axId val="524609648"/>
        <c:scaling>
          <c:orientation val="minMax"/>
        </c:scaling>
        <c:delete val="0"/>
        <c:axPos val="b"/>
        <c:majorTickMark val="out"/>
        <c:minorTickMark val="none"/>
        <c:tickLblPos val="nextTo"/>
        <c:crossAx val="524610304"/>
        <c:crosses val="autoZero"/>
        <c:auto val="1"/>
        <c:lblAlgn val="ctr"/>
        <c:lblOffset val="100"/>
        <c:tickLblSkip val="1"/>
        <c:noMultiLvlLbl val="0"/>
      </c:catAx>
      <c:valAx>
        <c:axId val="5246103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2460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Schedulers!$AF$2</c:f>
              <c:strCache>
                <c:ptCount val="1"/>
                <c:pt idx="0">
                  <c:v>12/2/2017</c:v>
                </c:pt>
              </c:strCache>
            </c:strRef>
          </c:tx>
          <c:invertIfNegative val="0"/>
          <c:val>
            <c:numRef>
              <c:f>Schedulers!$AG$4:$AG$36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99-431F-9D03-A276C68E1200}"/>
            </c:ext>
          </c:extLst>
        </c:ser>
        <c:ser>
          <c:idx val="1"/>
          <c:order val="1"/>
          <c:tx>
            <c:strRef>
              <c:f>Schedulers!$AH$2</c:f>
              <c:strCache>
                <c:ptCount val="1"/>
                <c:pt idx="0">
                  <c:v>12/9/2017</c:v>
                </c:pt>
              </c:strCache>
            </c:strRef>
          </c:tx>
          <c:invertIfNegative val="0"/>
          <c:val>
            <c:numRef>
              <c:f>Schedulers!$AI$4:$AI$36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3.1204111600587399E-2</c:v>
                </c:pt>
                <c:pt idx="5">
                  <c:v>0</c:v>
                </c:pt>
                <c:pt idx="6">
                  <c:v>2.2026431718059837E-3</c:v>
                </c:pt>
                <c:pt idx="7">
                  <c:v>0</c:v>
                </c:pt>
                <c:pt idx="8">
                  <c:v>2.6064610866373069E-2</c:v>
                </c:pt>
                <c:pt idx="9">
                  <c:v>0.12261380323054316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1.1013215859030829E-2</c:v>
                </c:pt>
                <c:pt idx="14">
                  <c:v>7.3421439060205327E-3</c:v>
                </c:pt>
                <c:pt idx="15">
                  <c:v>0</c:v>
                </c:pt>
                <c:pt idx="16">
                  <c:v>0.32305433186490451</c:v>
                </c:pt>
                <c:pt idx="17">
                  <c:v>0</c:v>
                </c:pt>
                <c:pt idx="18">
                  <c:v>1.1013215859030858E-2</c:v>
                </c:pt>
                <c:pt idx="19">
                  <c:v>0</c:v>
                </c:pt>
                <c:pt idx="20">
                  <c:v>1.945668135095447E-2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8.8472834067547759E-2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0.30543318649045537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5.2129221732745964E-2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99-431F-9D03-A276C68E1200}"/>
            </c:ext>
          </c:extLst>
        </c:ser>
        <c:ser>
          <c:idx val="2"/>
          <c:order val="2"/>
          <c:tx>
            <c:strRef>
              <c:f>Schedulers!$AJ$2</c:f>
              <c:strCache>
                <c:ptCount val="1"/>
                <c:pt idx="0">
                  <c:v>12/16/2017</c:v>
                </c:pt>
              </c:strCache>
            </c:strRef>
          </c:tx>
          <c:invertIfNegative val="0"/>
          <c:val>
            <c:numRef>
              <c:f>Schedulers!$AK$4:$AK$36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3.1944444444444484E-2</c:v>
                </c:pt>
                <c:pt idx="5">
                  <c:v>9.5486111111111344E-3</c:v>
                </c:pt>
                <c:pt idx="6">
                  <c:v>2.0833333333332153E-3</c:v>
                </c:pt>
                <c:pt idx="7">
                  <c:v>0</c:v>
                </c:pt>
                <c:pt idx="8">
                  <c:v>2.222222222222223E-2</c:v>
                </c:pt>
                <c:pt idx="9">
                  <c:v>0.13055555555555556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7.6388888888888496E-3</c:v>
                </c:pt>
                <c:pt idx="14">
                  <c:v>3.4722222222222108E-3</c:v>
                </c:pt>
                <c:pt idx="15">
                  <c:v>0</c:v>
                </c:pt>
                <c:pt idx="16">
                  <c:v>0.27673611111111113</c:v>
                </c:pt>
                <c:pt idx="17">
                  <c:v>0</c:v>
                </c:pt>
                <c:pt idx="18">
                  <c:v>2.447916666666667E-2</c:v>
                </c:pt>
                <c:pt idx="19">
                  <c:v>0</c:v>
                </c:pt>
                <c:pt idx="20">
                  <c:v>1.4409722222222202E-2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8.6979166666666677E-2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0.35260416666666683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3.7326388888888902E-2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99-431F-9D03-A276C68E1200}"/>
            </c:ext>
          </c:extLst>
        </c:ser>
        <c:ser>
          <c:idx val="3"/>
          <c:order val="3"/>
          <c:tx>
            <c:strRef>
              <c:f>Schedulers!$AL$2</c:f>
              <c:strCache>
                <c:ptCount val="1"/>
                <c:pt idx="0">
                  <c:v>12/23/2017</c:v>
                </c:pt>
              </c:strCache>
            </c:strRef>
          </c:tx>
          <c:invertIfNegative val="0"/>
          <c:val>
            <c:numRef>
              <c:f>Schedulers!$AM$4:$AM$36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3.3515482695810596E-2</c:v>
                </c:pt>
                <c:pt idx="5">
                  <c:v>2.7322404371584895E-3</c:v>
                </c:pt>
                <c:pt idx="6">
                  <c:v>2.003642987249421E-3</c:v>
                </c:pt>
                <c:pt idx="7">
                  <c:v>0</c:v>
                </c:pt>
                <c:pt idx="8">
                  <c:v>2.1311475409836078E-2</c:v>
                </c:pt>
                <c:pt idx="9">
                  <c:v>0.1306010928961748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8.0145719489981351E-3</c:v>
                </c:pt>
                <c:pt idx="14">
                  <c:v>3.6429872495446136E-3</c:v>
                </c:pt>
                <c:pt idx="15">
                  <c:v>0</c:v>
                </c:pt>
                <c:pt idx="16">
                  <c:v>0.27030965391621126</c:v>
                </c:pt>
                <c:pt idx="17">
                  <c:v>0</c:v>
                </c:pt>
                <c:pt idx="18">
                  <c:v>2.0218579234972694E-2</c:v>
                </c:pt>
                <c:pt idx="19">
                  <c:v>0</c:v>
                </c:pt>
                <c:pt idx="20">
                  <c:v>1.5118397085610176E-2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9.1256830601092895E-2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0.36211293260473598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3.9162112932604742E-2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99-431F-9D03-A276C68E1200}"/>
            </c:ext>
          </c:extLst>
        </c:ser>
        <c:ser>
          <c:idx val="4"/>
          <c:order val="4"/>
          <c:tx>
            <c:strRef>
              <c:f>Schedulers!$AN$2</c:f>
              <c:strCache>
                <c:ptCount val="1"/>
                <c:pt idx="0">
                  <c:v>12/30/2017</c:v>
                </c:pt>
              </c:strCache>
            </c:strRef>
          </c:tx>
          <c:invertIfNegative val="0"/>
          <c:cat>
            <c:strRef>
              <c:f>Schedulers!$A$4:$A$36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Schedulers!$AO$4:$AO$36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3.3515482695810596E-2</c:v>
                </c:pt>
                <c:pt idx="5">
                  <c:v>2.7322404371584895E-3</c:v>
                </c:pt>
                <c:pt idx="6">
                  <c:v>2.003642987249421E-3</c:v>
                </c:pt>
                <c:pt idx="7">
                  <c:v>0</c:v>
                </c:pt>
                <c:pt idx="8">
                  <c:v>2.1311475409836078E-2</c:v>
                </c:pt>
                <c:pt idx="9">
                  <c:v>0.1306010928961748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8.0145719489981351E-3</c:v>
                </c:pt>
                <c:pt idx="14">
                  <c:v>3.6429872495446136E-3</c:v>
                </c:pt>
                <c:pt idx="15">
                  <c:v>0</c:v>
                </c:pt>
                <c:pt idx="16">
                  <c:v>0.27030965391621126</c:v>
                </c:pt>
                <c:pt idx="17">
                  <c:v>0</c:v>
                </c:pt>
                <c:pt idx="18">
                  <c:v>2.0218579234972694E-2</c:v>
                </c:pt>
                <c:pt idx="19">
                  <c:v>0</c:v>
                </c:pt>
                <c:pt idx="20">
                  <c:v>1.5118397085610176E-2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9.1256830601092895E-2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0.36211293260473598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3.9162112932604742E-2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99-431F-9D03-A276C68E1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5472920"/>
        <c:axId val="525473248"/>
      </c:barChart>
      <c:catAx>
        <c:axId val="525472920"/>
        <c:scaling>
          <c:orientation val="minMax"/>
        </c:scaling>
        <c:delete val="0"/>
        <c:axPos val="b"/>
        <c:majorTickMark val="out"/>
        <c:minorTickMark val="none"/>
        <c:tickLblPos val="nextTo"/>
        <c:crossAx val="525473248"/>
        <c:crosses val="autoZero"/>
        <c:auto val="1"/>
        <c:lblAlgn val="ctr"/>
        <c:lblOffset val="100"/>
        <c:tickLblSkip val="1"/>
        <c:noMultiLvlLbl val="0"/>
      </c:catAx>
      <c:valAx>
        <c:axId val="5254732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254729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Schedulers!$AP$2</c:f>
              <c:strCache>
                <c:ptCount val="1"/>
                <c:pt idx="0">
                  <c:v>12/2/2017</c:v>
                </c:pt>
              </c:strCache>
            </c:strRef>
          </c:tx>
          <c:invertIfNegative val="0"/>
          <c:val>
            <c:numRef>
              <c:f>Schedulers!$AQ$4:$AQ$36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2A-4C63-A221-5C7D17DEEFB3}"/>
            </c:ext>
          </c:extLst>
        </c:ser>
        <c:ser>
          <c:idx val="1"/>
          <c:order val="1"/>
          <c:tx>
            <c:strRef>
              <c:f>Schedulers!$AR$2</c:f>
              <c:strCache>
                <c:ptCount val="1"/>
                <c:pt idx="0">
                  <c:v>12/9/2017</c:v>
                </c:pt>
              </c:strCache>
            </c:strRef>
          </c:tx>
          <c:invertIfNegative val="0"/>
          <c:val>
            <c:numRef>
              <c:f>Schedulers!$AS$4:$AS$36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6.844380403458303E-3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0.99315561959654175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2A-4C63-A221-5C7D17DEEFB3}"/>
            </c:ext>
          </c:extLst>
        </c:ser>
        <c:ser>
          <c:idx val="2"/>
          <c:order val="2"/>
          <c:tx>
            <c:strRef>
              <c:f>Schedulers!$AT$2</c:f>
              <c:strCache>
                <c:ptCount val="1"/>
                <c:pt idx="0">
                  <c:v>12/16/2017</c:v>
                </c:pt>
              </c:strCache>
            </c:strRef>
          </c:tx>
          <c:invertIfNegative val="0"/>
          <c:val>
            <c:numRef>
              <c:f>Schedulers!$AU$4:$AU$36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1.7551655187736142E-2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0.98244834481226384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2A-4C63-A221-5C7D17DEEFB3}"/>
            </c:ext>
          </c:extLst>
        </c:ser>
        <c:ser>
          <c:idx val="3"/>
          <c:order val="3"/>
          <c:tx>
            <c:strRef>
              <c:f>Schedulers!$AV$2</c:f>
              <c:strCache>
                <c:ptCount val="1"/>
                <c:pt idx="0">
                  <c:v>12/23/2017</c:v>
                </c:pt>
              </c:strCache>
            </c:strRef>
          </c:tx>
          <c:invertIfNegative val="0"/>
          <c:val>
            <c:numRef>
              <c:f>Schedulers!$AW$4:$AW$36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7.6045627376426662E-3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0.99239543726235735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2A-4C63-A221-5C7D17DEEFB3}"/>
            </c:ext>
          </c:extLst>
        </c:ser>
        <c:ser>
          <c:idx val="4"/>
          <c:order val="4"/>
          <c:tx>
            <c:strRef>
              <c:f>Schedulers!$AX$2</c:f>
              <c:strCache>
                <c:ptCount val="1"/>
                <c:pt idx="0">
                  <c:v>12/30/2017</c:v>
                </c:pt>
              </c:strCache>
            </c:strRef>
          </c:tx>
          <c:invertIfNegative val="0"/>
          <c:cat>
            <c:strRef>
              <c:f>Schedulers!$A$4:$A$36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Schedulers!$AY$4:$AY$36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7.6045627376426662E-3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0.99239543726235735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2A-4C63-A221-5C7D17DE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02712"/>
        <c:axId val="400403040"/>
      </c:barChart>
      <c:catAx>
        <c:axId val="400402712"/>
        <c:scaling>
          <c:orientation val="minMax"/>
        </c:scaling>
        <c:delete val="0"/>
        <c:axPos val="b"/>
        <c:majorTickMark val="out"/>
        <c:minorTickMark val="none"/>
        <c:tickLblPos val="nextTo"/>
        <c:crossAx val="400403040"/>
        <c:crosses val="autoZero"/>
        <c:auto val="1"/>
        <c:lblAlgn val="ctr"/>
        <c:lblOffset val="100"/>
        <c:tickLblSkip val="1"/>
        <c:noMultiLvlLbl val="0"/>
      </c:catAx>
      <c:valAx>
        <c:axId val="4004030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004027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Schedulers!$B$2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Schedulers!$C$4:$C$36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2-4348-A23C-74F102DDEB40}"/>
            </c:ext>
          </c:extLst>
        </c:ser>
        <c:ser>
          <c:idx val="1"/>
          <c:order val="1"/>
          <c:tx>
            <c:strRef>
              <c:f>Schedulers!$D$2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Schedulers!$E$4:$E$36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5.3322395406072975E-3</c:v>
                </c:pt>
                <c:pt idx="7">
                  <c:v>0</c:v>
                </c:pt>
                <c:pt idx="8">
                  <c:v>0.14109926168990958</c:v>
                </c:pt>
                <c:pt idx="9">
                  <c:v>0.4704675963904838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4.9220672682526645E-3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0.37817883511074668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2-4348-A23C-74F102DDEB40}"/>
            </c:ext>
          </c:extLst>
        </c:ser>
        <c:ser>
          <c:idx val="2"/>
          <c:order val="2"/>
          <c:tx>
            <c:strRef>
              <c:f>Schedulers!$F$2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Schedulers!$G$4:$G$36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2-4348-A23C-74F102DDEB40}"/>
            </c:ext>
          </c:extLst>
        </c:ser>
        <c:ser>
          <c:idx val="3"/>
          <c:order val="3"/>
          <c:tx>
            <c:strRef>
              <c:f>Schedulers!$H$2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Schedulers!$I$4:$I$36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4.4395116537181345E-3</c:v>
                </c:pt>
                <c:pt idx="7">
                  <c:v>0</c:v>
                </c:pt>
                <c:pt idx="8">
                  <c:v>8.0651128375878567E-2</c:v>
                </c:pt>
                <c:pt idx="9">
                  <c:v>0.49852016278209393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2.2197558268590451E-3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0.39752127266000747</c:v>
                </c:pt>
                <c:pt idx="29">
                  <c:v>0</c:v>
                </c:pt>
                <c:pt idx="30">
                  <c:v>3.5146133925268394E-3</c:v>
                </c:pt>
                <c:pt idx="31">
                  <c:v>0</c:v>
                </c:pt>
                <c:pt idx="32">
                  <c:v>1.3133555308916018E-2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2-4348-A23C-74F102DDEB40}"/>
            </c:ext>
          </c:extLst>
        </c:ser>
        <c:ser>
          <c:idx val="4"/>
          <c:order val="4"/>
          <c:tx>
            <c:strRef>
              <c:f>Schedulers!$J$2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Schedulers!$A$4:$A$36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Schedulers!$K$4:$K$36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4.2908762420957756E-3</c:v>
                </c:pt>
                <c:pt idx="7">
                  <c:v>0</c:v>
                </c:pt>
                <c:pt idx="8">
                  <c:v>5.8717253839205001E-2</c:v>
                </c:pt>
                <c:pt idx="9">
                  <c:v>0.45584914182475161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1.5921409214092155E-2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0.45144534778681117</c:v>
                </c:pt>
                <c:pt idx="29">
                  <c:v>0</c:v>
                </c:pt>
                <c:pt idx="30">
                  <c:v>2.1454381210478878E-3</c:v>
                </c:pt>
                <c:pt idx="31">
                  <c:v>0</c:v>
                </c:pt>
                <c:pt idx="32">
                  <c:v>1.1630532971996387E-2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2-4348-A23C-74F102DDE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5471816"/>
        <c:axId val="585472800"/>
      </c:barChart>
      <c:catAx>
        <c:axId val="585471816"/>
        <c:scaling>
          <c:orientation val="minMax"/>
        </c:scaling>
        <c:delete val="0"/>
        <c:axPos val="b"/>
        <c:majorTickMark val="out"/>
        <c:minorTickMark val="none"/>
        <c:tickLblPos val="nextTo"/>
        <c:crossAx val="585472800"/>
        <c:crosses val="autoZero"/>
        <c:auto val="1"/>
        <c:lblAlgn val="ctr"/>
        <c:lblOffset val="100"/>
        <c:tickLblSkip val="1"/>
        <c:noMultiLvlLbl val="0"/>
      </c:catAx>
      <c:valAx>
        <c:axId val="5854728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854718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Billing!$B$2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Billing!$C$4:$C$36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AC-40C3-8E2C-2E4C30B3B5C0}"/>
            </c:ext>
          </c:extLst>
        </c:ser>
        <c:ser>
          <c:idx val="1"/>
          <c:order val="1"/>
          <c:tx>
            <c:strRef>
              <c:f>Billing!$D$2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Billing!$E$4:$E$36</c:f>
              <c:numCache>
                <c:formatCode>0%</c:formatCode>
                <c:ptCount val="33"/>
                <c:pt idx="0">
                  <c:v>0</c:v>
                </c:pt>
                <c:pt idx="1">
                  <c:v>4.6554934823091386E-2</c:v>
                </c:pt>
                <c:pt idx="2">
                  <c:v>0.36126629422718803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5.5865921787709452E-2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1.6759776536312793E-2</c:v>
                </c:pt>
                <c:pt idx="19">
                  <c:v>0</c:v>
                </c:pt>
                <c:pt idx="20">
                  <c:v>7.2625698324022395E-2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0.18808193668528858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0.25884543761638734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AC-40C3-8E2C-2E4C30B3B5C0}"/>
            </c:ext>
          </c:extLst>
        </c:ser>
        <c:ser>
          <c:idx val="2"/>
          <c:order val="2"/>
          <c:tx>
            <c:strRef>
              <c:f>Billing!$F$2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Billing!$G$4:$G$36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AC-40C3-8E2C-2E4C30B3B5C0}"/>
            </c:ext>
          </c:extLst>
        </c:ser>
        <c:ser>
          <c:idx val="3"/>
          <c:order val="3"/>
          <c:tx>
            <c:strRef>
              <c:f>Billing!$H$2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Billing!$I$4:$I$36</c:f>
              <c:numCache>
                <c:formatCode>0%</c:formatCode>
                <c:ptCount val="33"/>
                <c:pt idx="0">
                  <c:v>0</c:v>
                </c:pt>
                <c:pt idx="1">
                  <c:v>2.2354340071343747E-2</c:v>
                </c:pt>
                <c:pt idx="2">
                  <c:v>0.29940546967895354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2.4494649227110549E-2</c:v>
                </c:pt>
                <c:pt idx="9">
                  <c:v>3.6623067776456596E-2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3.4007134363852547E-2</c:v>
                </c:pt>
                <c:pt idx="19">
                  <c:v>0</c:v>
                </c:pt>
                <c:pt idx="20">
                  <c:v>8.0856123662306711E-2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0.41736028537455405</c:v>
                </c:pt>
                <c:pt idx="25">
                  <c:v>6.658739595719357E-3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7.8240190249702746E-2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AC-40C3-8E2C-2E4C30B3B5C0}"/>
            </c:ext>
          </c:extLst>
        </c:ser>
        <c:ser>
          <c:idx val="4"/>
          <c:order val="4"/>
          <c:tx>
            <c:strRef>
              <c:f>Billing!$J$2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Billing!$A$4:$A$36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Billing!$K$4:$K$36</c:f>
              <c:numCache>
                <c:formatCode>0%</c:formatCode>
                <c:ptCount val="33"/>
                <c:pt idx="0">
                  <c:v>0</c:v>
                </c:pt>
                <c:pt idx="1">
                  <c:v>2.2354340071343747E-2</c:v>
                </c:pt>
                <c:pt idx="2">
                  <c:v>0.29940546967895354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2.4494649227110549E-2</c:v>
                </c:pt>
                <c:pt idx="9">
                  <c:v>3.6623067776456596E-2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3.4007134363852547E-2</c:v>
                </c:pt>
                <c:pt idx="19">
                  <c:v>0</c:v>
                </c:pt>
                <c:pt idx="20">
                  <c:v>8.0856123662306711E-2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0.41736028537455405</c:v>
                </c:pt>
                <c:pt idx="25">
                  <c:v>6.658739595719357E-3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7.8240190249702746E-2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AC-40C3-8E2C-2E4C30B3B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307840"/>
        <c:axId val="401311776"/>
      </c:barChart>
      <c:catAx>
        <c:axId val="401307840"/>
        <c:scaling>
          <c:orientation val="minMax"/>
        </c:scaling>
        <c:delete val="0"/>
        <c:axPos val="b"/>
        <c:majorTickMark val="out"/>
        <c:minorTickMark val="none"/>
        <c:tickLblPos val="nextTo"/>
        <c:crossAx val="401311776"/>
        <c:crosses val="autoZero"/>
        <c:auto val="1"/>
        <c:lblAlgn val="ctr"/>
        <c:lblOffset val="100"/>
        <c:tickLblSkip val="1"/>
        <c:noMultiLvlLbl val="0"/>
      </c:catAx>
      <c:valAx>
        <c:axId val="4013117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013078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Billing!$L$2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Billing!$M$4:$M$36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8-47CB-88D8-C456F279EEC8}"/>
            </c:ext>
          </c:extLst>
        </c:ser>
        <c:ser>
          <c:idx val="1"/>
          <c:order val="1"/>
          <c:tx>
            <c:strRef>
              <c:f>Billing!$N$2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Billing!$O$4:$O$36</c:f>
              <c:numCache>
                <c:formatCode>0%</c:formatCode>
                <c:ptCount val="33"/>
                <c:pt idx="0">
                  <c:v>0</c:v>
                </c:pt>
                <c:pt idx="1">
                  <c:v>7.8094494338149523E-3</c:v>
                </c:pt>
                <c:pt idx="2">
                  <c:v>0.33307301835220626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5.8570870753612298E-3</c:v>
                </c:pt>
                <c:pt idx="7">
                  <c:v>0</c:v>
                </c:pt>
                <c:pt idx="8">
                  <c:v>5.193283873486905E-2</c:v>
                </c:pt>
                <c:pt idx="9">
                  <c:v>4.0999609527528333E-2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0.52323311206559941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1.9523623584537287E-2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1.7571261226083566E-2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A8-47CB-88D8-C456F279EEC8}"/>
            </c:ext>
          </c:extLst>
        </c:ser>
        <c:ser>
          <c:idx val="2"/>
          <c:order val="2"/>
          <c:tx>
            <c:strRef>
              <c:f>Billing!$P$2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Billing!$Q$4:$Q$36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A8-47CB-88D8-C456F279EEC8}"/>
            </c:ext>
          </c:extLst>
        </c:ser>
        <c:ser>
          <c:idx val="3"/>
          <c:order val="3"/>
          <c:tx>
            <c:strRef>
              <c:f>Billing!$R$2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Billing!$S$4:$S$36</c:f>
              <c:numCache>
                <c:formatCode>0%</c:formatCode>
                <c:ptCount val="33"/>
                <c:pt idx="0">
                  <c:v>0</c:v>
                </c:pt>
                <c:pt idx="1">
                  <c:v>6.1349693251533718E-3</c:v>
                </c:pt>
                <c:pt idx="2">
                  <c:v>0.42527607361963182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6.3803680981595161E-3</c:v>
                </c:pt>
                <c:pt idx="7">
                  <c:v>0</c:v>
                </c:pt>
                <c:pt idx="8">
                  <c:v>4.5153374233128818E-2</c:v>
                </c:pt>
                <c:pt idx="9">
                  <c:v>1.288343558282209E-2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1.0429447852760719E-2</c:v>
                </c:pt>
                <c:pt idx="19">
                  <c:v>0</c:v>
                </c:pt>
                <c:pt idx="20">
                  <c:v>0.32969325153374229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0.13582822085889576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2.8220858895705518E-2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A8-47CB-88D8-C456F279EEC8}"/>
            </c:ext>
          </c:extLst>
        </c:ser>
        <c:ser>
          <c:idx val="4"/>
          <c:order val="4"/>
          <c:tx>
            <c:strRef>
              <c:f>Billing!$T$2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Billing!$A$4:$A$36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Billing!$U$4:$U$36</c:f>
              <c:numCache>
                <c:formatCode>0%</c:formatCode>
                <c:ptCount val="33"/>
                <c:pt idx="0">
                  <c:v>0</c:v>
                </c:pt>
                <c:pt idx="1">
                  <c:v>7.9365079365078927E-3</c:v>
                </c:pt>
                <c:pt idx="2">
                  <c:v>0.45014005602240892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6.5359477124183373E-3</c:v>
                </c:pt>
                <c:pt idx="7">
                  <c:v>0</c:v>
                </c:pt>
                <c:pt idx="8">
                  <c:v>4.1923436041083104E-2</c:v>
                </c:pt>
                <c:pt idx="9">
                  <c:v>9.8039215686274543E-3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7.9365079365079239E-3</c:v>
                </c:pt>
                <c:pt idx="19">
                  <c:v>0</c:v>
                </c:pt>
                <c:pt idx="20">
                  <c:v>0.25088702147525677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0.18636788048552755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3.8468720821662028E-2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A8-47CB-88D8-C456F279E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7590256"/>
        <c:axId val="567593536"/>
      </c:barChart>
      <c:catAx>
        <c:axId val="567590256"/>
        <c:scaling>
          <c:orientation val="minMax"/>
        </c:scaling>
        <c:delete val="0"/>
        <c:axPos val="b"/>
        <c:majorTickMark val="out"/>
        <c:minorTickMark val="none"/>
        <c:tickLblPos val="nextTo"/>
        <c:crossAx val="567593536"/>
        <c:crosses val="autoZero"/>
        <c:auto val="1"/>
        <c:lblAlgn val="ctr"/>
        <c:lblOffset val="100"/>
        <c:tickLblSkip val="1"/>
        <c:noMultiLvlLbl val="0"/>
      </c:catAx>
      <c:valAx>
        <c:axId val="5675935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67590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Billing!$V$2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Billing!$W$4:$W$36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36-48C1-B1C3-9736E19FC39E}"/>
            </c:ext>
          </c:extLst>
        </c:ser>
        <c:ser>
          <c:idx val="1"/>
          <c:order val="1"/>
          <c:tx>
            <c:strRef>
              <c:f>Billing!$X$2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Billing!$Y$4:$Y$36</c:f>
              <c:numCache>
                <c:formatCode>0%</c:formatCode>
                <c:ptCount val="33"/>
                <c:pt idx="0">
                  <c:v>0</c:v>
                </c:pt>
                <c:pt idx="1">
                  <c:v>2.7648508075554284E-2</c:v>
                </c:pt>
                <c:pt idx="2">
                  <c:v>0.23980290172460986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1.8888584724883611E-2</c:v>
                </c:pt>
                <c:pt idx="7">
                  <c:v>0</c:v>
                </c:pt>
                <c:pt idx="8">
                  <c:v>5.6665754174650987E-2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0.55926635641938149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9.7727894880919791E-2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36-48C1-B1C3-9736E19FC39E}"/>
            </c:ext>
          </c:extLst>
        </c:ser>
        <c:ser>
          <c:idx val="2"/>
          <c:order val="2"/>
          <c:tx>
            <c:strRef>
              <c:f>Billing!$Z$2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Billing!$AA$4:$AA$36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36-48C1-B1C3-9736E19FC39E}"/>
            </c:ext>
          </c:extLst>
        </c:ser>
        <c:ser>
          <c:idx val="3"/>
          <c:order val="3"/>
          <c:tx>
            <c:strRef>
              <c:f>Billing!$AB$2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Billing!$AC$4:$AC$36</c:f>
              <c:numCache>
                <c:formatCode>0%</c:formatCode>
                <c:ptCount val="33"/>
                <c:pt idx="0">
                  <c:v>0</c:v>
                </c:pt>
                <c:pt idx="1">
                  <c:v>2.3672293124742737E-2</c:v>
                </c:pt>
                <c:pt idx="2">
                  <c:v>0.29713874022231362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1.904075751337999E-2</c:v>
                </c:pt>
                <c:pt idx="7">
                  <c:v>0</c:v>
                </c:pt>
                <c:pt idx="8">
                  <c:v>5.9077809798270875E-2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6.1753808151502618E-3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1.3379991766158931E-2</c:v>
                </c:pt>
                <c:pt idx="19">
                  <c:v>0</c:v>
                </c:pt>
                <c:pt idx="20">
                  <c:v>0.41426512968299717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0.15994236311239191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7.30753396459449E-3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36-48C1-B1C3-9736E19FC39E}"/>
            </c:ext>
          </c:extLst>
        </c:ser>
        <c:ser>
          <c:idx val="4"/>
          <c:order val="4"/>
          <c:tx>
            <c:strRef>
              <c:f>Billing!$AD$2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Billing!$A$4:$A$36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Billing!$AE$4:$AE$36</c:f>
              <c:numCache>
                <c:formatCode>0%</c:formatCode>
                <c:ptCount val="33"/>
                <c:pt idx="0">
                  <c:v>0</c:v>
                </c:pt>
                <c:pt idx="1">
                  <c:v>2.3356262997920374E-2</c:v>
                </c:pt>
                <c:pt idx="2">
                  <c:v>0.33026715725483918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2.05567109262518E-2</c:v>
                </c:pt>
                <c:pt idx="7">
                  <c:v>0</c:v>
                </c:pt>
                <c:pt idx="8">
                  <c:v>6.1350183970564687E-2</c:v>
                </c:pt>
                <c:pt idx="9">
                  <c:v>9.5984642457206757E-3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1.2877939529675256E-2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1.0398336266197421E-2</c:v>
                </c:pt>
                <c:pt idx="19">
                  <c:v>0</c:v>
                </c:pt>
                <c:pt idx="20">
                  <c:v>0.32194848824188133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0.2039673652215645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5.6790913453847432E-3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36-48C1-B1C3-9736E19FC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7630600"/>
        <c:axId val="567636176"/>
      </c:barChart>
      <c:catAx>
        <c:axId val="567630600"/>
        <c:scaling>
          <c:orientation val="minMax"/>
        </c:scaling>
        <c:delete val="0"/>
        <c:axPos val="b"/>
        <c:majorTickMark val="out"/>
        <c:minorTickMark val="none"/>
        <c:tickLblPos val="nextTo"/>
        <c:crossAx val="567636176"/>
        <c:crosses val="autoZero"/>
        <c:auto val="1"/>
        <c:lblAlgn val="ctr"/>
        <c:lblOffset val="100"/>
        <c:tickLblSkip val="1"/>
        <c:noMultiLvlLbl val="0"/>
      </c:catAx>
      <c:valAx>
        <c:axId val="5676361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676306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Billing!$AF$2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Billing!$AG$4:$AG$36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C-4C0C-B7E1-B92FDBF0ABE5}"/>
            </c:ext>
          </c:extLst>
        </c:ser>
        <c:ser>
          <c:idx val="1"/>
          <c:order val="1"/>
          <c:tx>
            <c:strRef>
              <c:f>Billing!$AH$2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Billing!$AI$4:$AI$36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1.4040561622464847E-2</c:v>
                </c:pt>
                <c:pt idx="7">
                  <c:v>0</c:v>
                </c:pt>
                <c:pt idx="8">
                  <c:v>9.3603744149765907E-3</c:v>
                </c:pt>
                <c:pt idx="9">
                  <c:v>5.3042121684867348E-2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0.17784711388455537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0.74570982839313571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DC-4C0C-B7E1-B92FDBF0ABE5}"/>
            </c:ext>
          </c:extLst>
        </c:ser>
        <c:ser>
          <c:idx val="2"/>
          <c:order val="2"/>
          <c:tx>
            <c:strRef>
              <c:f>Billing!$AJ$2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Billing!$AK$4:$AK$36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1.2315270935960547E-2</c:v>
                </c:pt>
                <c:pt idx="7">
                  <c:v>0</c:v>
                </c:pt>
                <c:pt idx="8">
                  <c:v>9.8522167487684765E-3</c:v>
                </c:pt>
                <c:pt idx="9">
                  <c:v>3.366174055829229E-2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1.3136288998357943E-2</c:v>
                </c:pt>
                <c:pt idx="19">
                  <c:v>0</c:v>
                </c:pt>
                <c:pt idx="20">
                  <c:v>9.3596059113300489E-2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7.389162561576354E-2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1.6420361247947449E-2</c:v>
                </c:pt>
                <c:pt idx="31">
                  <c:v>0</c:v>
                </c:pt>
                <c:pt idx="32">
                  <c:v>0.74712643678160928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DC-4C0C-B7E1-B92FDBF0ABE5}"/>
            </c:ext>
          </c:extLst>
        </c:ser>
        <c:ser>
          <c:idx val="3"/>
          <c:order val="3"/>
          <c:tx>
            <c:strRef>
              <c:f>Billing!$AL$2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Billing!$AM$4:$AM$36</c:f>
              <c:numCache>
                <c:formatCode>0%</c:formatCode>
                <c:ptCount val="33"/>
                <c:pt idx="0">
                  <c:v>0</c:v>
                </c:pt>
                <c:pt idx="1">
                  <c:v>8.6902545003103345E-3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1.1297330850403445E-2</c:v>
                </c:pt>
                <c:pt idx="7">
                  <c:v>0</c:v>
                </c:pt>
                <c:pt idx="8">
                  <c:v>1.2538795779019278E-2</c:v>
                </c:pt>
                <c:pt idx="9">
                  <c:v>3.4140285536933601E-2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9.9317194289261172E-3</c:v>
                </c:pt>
                <c:pt idx="19">
                  <c:v>0</c:v>
                </c:pt>
                <c:pt idx="20">
                  <c:v>7.0763500931098705E-2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0.21700806952203602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1.3035381750465553E-2</c:v>
                </c:pt>
                <c:pt idx="31">
                  <c:v>0</c:v>
                </c:pt>
                <c:pt idx="32">
                  <c:v>0.62259466170080702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DC-4C0C-B7E1-B92FDBF0ABE5}"/>
            </c:ext>
          </c:extLst>
        </c:ser>
        <c:ser>
          <c:idx val="4"/>
          <c:order val="4"/>
          <c:tx>
            <c:strRef>
              <c:f>Billing!$AN$2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Billing!$A$4:$A$36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Billing!$AO$4:$AO$36</c:f>
              <c:numCache>
                <c:formatCode>0%</c:formatCode>
                <c:ptCount val="33"/>
                <c:pt idx="0">
                  <c:v>0</c:v>
                </c:pt>
                <c:pt idx="1">
                  <c:v>7.3645449763282212E-3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1.1152025249868448E-2</c:v>
                </c:pt>
                <c:pt idx="7">
                  <c:v>0</c:v>
                </c:pt>
                <c:pt idx="8">
                  <c:v>1.2730142030510294E-2</c:v>
                </c:pt>
                <c:pt idx="9">
                  <c:v>3.1036296685954763E-2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8.4166228300894125E-3</c:v>
                </c:pt>
                <c:pt idx="19">
                  <c:v>0</c:v>
                </c:pt>
                <c:pt idx="20">
                  <c:v>5.9968437664387163E-2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0.18390320883745395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1.2624934245134152E-2</c:v>
                </c:pt>
                <c:pt idx="31">
                  <c:v>0</c:v>
                </c:pt>
                <c:pt idx="32">
                  <c:v>0.67280378748027359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DC-4C0C-B7E1-B92FDBF0A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7540072"/>
        <c:axId val="567543680"/>
      </c:barChart>
      <c:catAx>
        <c:axId val="567540072"/>
        <c:scaling>
          <c:orientation val="minMax"/>
        </c:scaling>
        <c:delete val="0"/>
        <c:axPos val="b"/>
        <c:majorTickMark val="out"/>
        <c:minorTickMark val="none"/>
        <c:tickLblPos val="nextTo"/>
        <c:crossAx val="567543680"/>
        <c:crosses val="autoZero"/>
        <c:auto val="1"/>
        <c:lblAlgn val="ctr"/>
        <c:lblOffset val="100"/>
        <c:tickLblSkip val="1"/>
        <c:noMultiLvlLbl val="0"/>
      </c:catAx>
      <c:valAx>
        <c:axId val="5675436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67540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Operational!$B$2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Operational!$C$4:$C$36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6D-4E76-9053-F71B4738BEF8}"/>
            </c:ext>
          </c:extLst>
        </c:ser>
        <c:ser>
          <c:idx val="1"/>
          <c:order val="1"/>
          <c:tx>
            <c:strRef>
              <c:f>Operational!$D$2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Operational!$E$4:$E$36</c:f>
              <c:numCache>
                <c:formatCode>0%</c:formatCode>
                <c:ptCount val="33"/>
                <c:pt idx="0">
                  <c:v>0.17833109017496634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7.4024226110362048E-3</c:v>
                </c:pt>
                <c:pt idx="7">
                  <c:v>0</c:v>
                </c:pt>
                <c:pt idx="8">
                  <c:v>1.5141318977119945E-2</c:v>
                </c:pt>
                <c:pt idx="9">
                  <c:v>3.3647375504710669E-2</c:v>
                </c:pt>
                <c:pt idx="10">
                  <c:v>3.3647375504710669E-2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0.53162853297442803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5.0471063257065763E-3</c:v>
                </c:pt>
                <c:pt idx="30">
                  <c:v>1.6823687752354716E-3</c:v>
                </c:pt>
                <c:pt idx="31">
                  <c:v>0</c:v>
                </c:pt>
                <c:pt idx="32">
                  <c:v>0.19347240915208608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6D-4E76-9053-F71B4738BEF8}"/>
            </c:ext>
          </c:extLst>
        </c:ser>
        <c:ser>
          <c:idx val="2"/>
          <c:order val="2"/>
          <c:tx>
            <c:strRef>
              <c:f>Operational!$F$2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Operational!$G$4:$G$36</c:f>
              <c:numCache>
                <c:formatCode>0%</c:formatCode>
                <c:ptCount val="33"/>
                <c:pt idx="0">
                  <c:v>0.35700997801454426</c:v>
                </c:pt>
                <c:pt idx="1">
                  <c:v>1.6911889058007748E-3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7.2721122949432901E-3</c:v>
                </c:pt>
                <c:pt idx="7">
                  <c:v>0</c:v>
                </c:pt>
                <c:pt idx="8">
                  <c:v>1.3529511246406308E-2</c:v>
                </c:pt>
                <c:pt idx="9">
                  <c:v>2.0294266869609338E-2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0.49957720277354967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3.3823778116015158E-3</c:v>
                </c:pt>
                <c:pt idx="31">
                  <c:v>0</c:v>
                </c:pt>
                <c:pt idx="32">
                  <c:v>9.7243362083544685E-2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6D-4E76-9053-F71B4738BEF8}"/>
            </c:ext>
          </c:extLst>
        </c:ser>
        <c:ser>
          <c:idx val="3"/>
          <c:order val="3"/>
          <c:tx>
            <c:strRef>
              <c:f>Operational!$H$2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Operational!$I$4:$I$36</c:f>
              <c:numCache>
                <c:formatCode>0%</c:formatCode>
                <c:ptCount val="33"/>
                <c:pt idx="0">
                  <c:v>0.35808404558404566</c:v>
                </c:pt>
                <c:pt idx="1">
                  <c:v>2.6709401709401688E-3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7.3005698005697752E-3</c:v>
                </c:pt>
                <c:pt idx="7">
                  <c:v>0</c:v>
                </c:pt>
                <c:pt idx="8">
                  <c:v>1.3354700854700922E-2</c:v>
                </c:pt>
                <c:pt idx="9">
                  <c:v>1.9586894586894603E-2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0.49305555555555552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3.5612535612535201E-3</c:v>
                </c:pt>
                <c:pt idx="31">
                  <c:v>0</c:v>
                </c:pt>
                <c:pt idx="32">
                  <c:v>0.10238603988603986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6D-4E76-9053-F71B4738BEF8}"/>
            </c:ext>
          </c:extLst>
        </c:ser>
        <c:ser>
          <c:idx val="4"/>
          <c:order val="4"/>
          <c:tx>
            <c:strRef>
              <c:f>Operational!$J$2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Operational!$A$4:$A$36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Operational!$K$4:$K$36</c:f>
              <c:numCache>
                <c:formatCode>0%</c:formatCode>
                <c:ptCount val="33"/>
                <c:pt idx="0">
                  <c:v>0.35808404558404566</c:v>
                </c:pt>
                <c:pt idx="1">
                  <c:v>2.6709401709401688E-3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7.3005698005697752E-3</c:v>
                </c:pt>
                <c:pt idx="7">
                  <c:v>0</c:v>
                </c:pt>
                <c:pt idx="8">
                  <c:v>1.3354700854700922E-2</c:v>
                </c:pt>
                <c:pt idx="9">
                  <c:v>1.9586894586894603E-2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0.49305555555555552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3.5612535612535201E-3</c:v>
                </c:pt>
                <c:pt idx="31">
                  <c:v>0</c:v>
                </c:pt>
                <c:pt idx="32">
                  <c:v>0.10238603988603986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6D-4E76-9053-F71B4738B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181536"/>
        <c:axId val="570182848"/>
      </c:barChart>
      <c:catAx>
        <c:axId val="570181536"/>
        <c:scaling>
          <c:orientation val="minMax"/>
        </c:scaling>
        <c:delete val="0"/>
        <c:axPos val="b"/>
        <c:majorTickMark val="out"/>
        <c:minorTickMark val="none"/>
        <c:tickLblPos val="nextTo"/>
        <c:crossAx val="570182848"/>
        <c:crosses val="autoZero"/>
        <c:auto val="1"/>
        <c:lblAlgn val="ctr"/>
        <c:lblOffset val="100"/>
        <c:tickLblSkip val="1"/>
        <c:noMultiLvlLbl val="0"/>
      </c:catAx>
      <c:valAx>
        <c:axId val="5701828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70181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Operational!$L$2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Operational!$M$4:$M$36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F4-4B4F-AE05-031F975A58A6}"/>
            </c:ext>
          </c:extLst>
        </c:ser>
        <c:ser>
          <c:idx val="1"/>
          <c:order val="1"/>
          <c:tx>
            <c:strRef>
              <c:f>Operational!$N$2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Operational!$O$4:$O$36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0.23091603053435117</c:v>
                </c:pt>
                <c:pt idx="5">
                  <c:v>0.3101145038167939</c:v>
                </c:pt>
                <c:pt idx="6">
                  <c:v>4.293893129770977E-3</c:v>
                </c:pt>
                <c:pt idx="7">
                  <c:v>0</c:v>
                </c:pt>
                <c:pt idx="8">
                  <c:v>4.2938931297709926E-2</c:v>
                </c:pt>
                <c:pt idx="9">
                  <c:v>0</c:v>
                </c:pt>
                <c:pt idx="10">
                  <c:v>0</c:v>
                </c:pt>
                <c:pt idx="11">
                  <c:v>1.9083969465648856E-2</c:v>
                </c:pt>
                <c:pt idx="12">
                  <c:v>2.8625954198473257E-2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2.8625954198473282E-2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0.15028625954198466</c:v>
                </c:pt>
                <c:pt idx="30">
                  <c:v>0</c:v>
                </c:pt>
                <c:pt idx="31">
                  <c:v>2.8625954198473334E-2</c:v>
                </c:pt>
                <c:pt idx="32">
                  <c:v>0.15648854961832068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F4-4B4F-AE05-031F975A58A6}"/>
            </c:ext>
          </c:extLst>
        </c:ser>
        <c:ser>
          <c:idx val="2"/>
          <c:order val="2"/>
          <c:tx>
            <c:strRef>
              <c:f>Operational!$P$2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Operational!$Q$4:$Q$36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F4-4B4F-AE05-031F975A58A6}"/>
            </c:ext>
          </c:extLst>
        </c:ser>
        <c:ser>
          <c:idx val="3"/>
          <c:order val="3"/>
          <c:tx>
            <c:strRef>
              <c:f>Operational!$R$2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Operational!$S$4:$S$36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0.17003948667324781</c:v>
                </c:pt>
                <c:pt idx="5">
                  <c:v>0.32305034550839101</c:v>
                </c:pt>
                <c:pt idx="6">
                  <c:v>8.8845014807502152E-3</c:v>
                </c:pt>
                <c:pt idx="7">
                  <c:v>0</c:v>
                </c:pt>
                <c:pt idx="8">
                  <c:v>2.221125370187562E-2</c:v>
                </c:pt>
                <c:pt idx="9">
                  <c:v>0</c:v>
                </c:pt>
                <c:pt idx="10">
                  <c:v>0</c:v>
                </c:pt>
                <c:pt idx="11">
                  <c:v>9.8716683119447184E-3</c:v>
                </c:pt>
                <c:pt idx="12">
                  <c:v>1.4807502467917066E-2</c:v>
                </c:pt>
                <c:pt idx="13">
                  <c:v>2.5913129318854901E-2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1.23395853899309E-2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4.4422507403751241E-2</c:v>
                </c:pt>
                <c:pt idx="25">
                  <c:v>3.7018756169792694E-2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0.1986673247778874</c:v>
                </c:pt>
                <c:pt idx="30">
                  <c:v>2.221125370187562E-2</c:v>
                </c:pt>
                <c:pt idx="31">
                  <c:v>1.4807502467917106E-2</c:v>
                </c:pt>
                <c:pt idx="32">
                  <c:v>9.5755182625863813E-2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F4-4B4F-AE05-031F975A58A6}"/>
            </c:ext>
          </c:extLst>
        </c:ser>
        <c:ser>
          <c:idx val="4"/>
          <c:order val="4"/>
          <c:tx>
            <c:strRef>
              <c:f>Operational!$T$2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Operational!$A$4:$A$36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Operational!$U$4:$U$36</c:f>
              <c:numCache>
                <c:formatCode>0%</c:formatCode>
                <c:ptCount val="33"/>
                <c:pt idx="0">
                  <c:v>0</c:v>
                </c:pt>
                <c:pt idx="1">
                  <c:v>6.032732051128898E-2</c:v>
                </c:pt>
                <c:pt idx="2">
                  <c:v>0</c:v>
                </c:pt>
                <c:pt idx="3">
                  <c:v>7.1676024369848323E-3</c:v>
                </c:pt>
                <c:pt idx="4">
                  <c:v>0.18707442360530402</c:v>
                </c:pt>
                <c:pt idx="5">
                  <c:v>0.25038824513200336</c:v>
                </c:pt>
                <c:pt idx="6">
                  <c:v>1.0154103452395138E-2</c:v>
                </c:pt>
                <c:pt idx="7">
                  <c:v>0</c:v>
                </c:pt>
                <c:pt idx="8">
                  <c:v>1.0751403655477243E-2</c:v>
                </c:pt>
                <c:pt idx="9">
                  <c:v>0</c:v>
                </c:pt>
                <c:pt idx="10">
                  <c:v>0</c:v>
                </c:pt>
                <c:pt idx="11">
                  <c:v>1.0751403655477243E-2</c:v>
                </c:pt>
                <c:pt idx="12">
                  <c:v>7.1676024369848228E-3</c:v>
                </c:pt>
                <c:pt idx="13">
                  <c:v>1.2543304264723457E-2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2.3892008123282783E-2</c:v>
                </c:pt>
                <c:pt idx="19">
                  <c:v>8.9595030462310422E-3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7.6932266156970477E-2</c:v>
                </c:pt>
                <c:pt idx="25">
                  <c:v>1.791900609246207E-2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0.20642695018516302</c:v>
                </c:pt>
                <c:pt idx="30">
                  <c:v>3.2134750925815317E-2</c:v>
                </c:pt>
                <c:pt idx="31">
                  <c:v>3.1059610560267601E-2</c:v>
                </c:pt>
                <c:pt idx="32">
                  <c:v>4.6350495759168581E-2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F4-4B4F-AE05-031F975A5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0159888"/>
        <c:axId val="570159560"/>
      </c:barChart>
      <c:catAx>
        <c:axId val="570159888"/>
        <c:scaling>
          <c:orientation val="minMax"/>
        </c:scaling>
        <c:delete val="0"/>
        <c:axPos val="b"/>
        <c:majorTickMark val="out"/>
        <c:minorTickMark val="none"/>
        <c:tickLblPos val="nextTo"/>
        <c:crossAx val="570159560"/>
        <c:crosses val="autoZero"/>
        <c:auto val="1"/>
        <c:lblAlgn val="ctr"/>
        <c:lblOffset val="100"/>
        <c:tickLblSkip val="1"/>
        <c:noMultiLvlLbl val="0"/>
      </c:catAx>
      <c:valAx>
        <c:axId val="570159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70159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Operational!$V$2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Operational!$W$4:$W$36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95-48FA-B8B9-5282F9EB5717}"/>
            </c:ext>
          </c:extLst>
        </c:ser>
        <c:ser>
          <c:idx val="1"/>
          <c:order val="1"/>
          <c:tx>
            <c:strRef>
              <c:f>Operational!$X$2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Operational!$Y$4:$Y$36</c:f>
              <c:numCache>
                <c:formatCode>0%</c:formatCode>
                <c:ptCount val="33"/>
                <c:pt idx="0">
                  <c:v>0.52364633310486641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5.2547406899702068E-3</c:v>
                </c:pt>
                <c:pt idx="7">
                  <c:v>0</c:v>
                </c:pt>
                <c:pt idx="8">
                  <c:v>1.6221156042951951E-2</c:v>
                </c:pt>
                <c:pt idx="9">
                  <c:v>1.3708019191226854E-2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0.38519533927347482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5.597441169750967E-2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95-48FA-B8B9-5282F9EB5717}"/>
            </c:ext>
          </c:extLst>
        </c:ser>
        <c:ser>
          <c:idx val="2"/>
          <c:order val="2"/>
          <c:tx>
            <c:strRef>
              <c:f>Operational!$Z$2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Operational!$AA$4:$AA$36</c:f>
              <c:numCache>
                <c:formatCode>0%</c:formatCode>
                <c:ptCount val="33"/>
                <c:pt idx="0">
                  <c:v>0.3600936611473492</c:v>
                </c:pt>
                <c:pt idx="1">
                  <c:v>2.3415286837263774E-3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6.6900819535039863E-3</c:v>
                </c:pt>
                <c:pt idx="7">
                  <c:v>0</c:v>
                </c:pt>
                <c:pt idx="8">
                  <c:v>2.2579026593075844E-2</c:v>
                </c:pt>
                <c:pt idx="9">
                  <c:v>1.0871383174443874E-2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0.55644756648268923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4.0976751965211548E-2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95-48FA-B8B9-5282F9EB5717}"/>
            </c:ext>
          </c:extLst>
        </c:ser>
        <c:ser>
          <c:idx val="3"/>
          <c:order val="3"/>
          <c:tx>
            <c:strRef>
              <c:f>Operational!$AB$2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Operational!$AC$4:$AC$36</c:f>
              <c:numCache>
                <c:formatCode>0%</c:formatCode>
                <c:ptCount val="33"/>
                <c:pt idx="0">
                  <c:v>0.35221738015893372</c:v>
                </c:pt>
                <c:pt idx="1">
                  <c:v>5.5114073314534769E-3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6.5367854396309027E-3</c:v>
                </c:pt>
                <c:pt idx="7">
                  <c:v>0</c:v>
                </c:pt>
                <c:pt idx="8">
                  <c:v>3.5888233786208763E-2</c:v>
                </c:pt>
                <c:pt idx="9">
                  <c:v>8.3311971289412885E-3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0.5601127915918992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3.1402204562932565E-2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95-48FA-B8B9-5282F9EB5717}"/>
            </c:ext>
          </c:extLst>
        </c:ser>
        <c:ser>
          <c:idx val="4"/>
          <c:order val="4"/>
          <c:tx>
            <c:strRef>
              <c:f>Operational!$AD$2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Operational!$A$4:$A$36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Operational!$AE$4:$AE$36</c:f>
              <c:numCache>
                <c:formatCode>0%</c:formatCode>
                <c:ptCount val="33"/>
                <c:pt idx="0">
                  <c:v>0.34555885667452124</c:v>
                </c:pt>
                <c:pt idx="1">
                  <c:v>4.4052863436123387E-3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6.6591537752279748E-3</c:v>
                </c:pt>
                <c:pt idx="7">
                  <c:v>0</c:v>
                </c:pt>
                <c:pt idx="8">
                  <c:v>3.3910459993853177E-2</c:v>
                </c:pt>
                <c:pt idx="9">
                  <c:v>6.6591537752279419E-3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0.57770720213092908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2.5099887306628408E-2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95-48FA-B8B9-5282F9EB5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2987160"/>
        <c:axId val="572984864"/>
      </c:barChart>
      <c:catAx>
        <c:axId val="572987160"/>
        <c:scaling>
          <c:orientation val="minMax"/>
        </c:scaling>
        <c:delete val="0"/>
        <c:axPos val="b"/>
        <c:majorTickMark val="out"/>
        <c:minorTickMark val="none"/>
        <c:tickLblPos val="nextTo"/>
        <c:crossAx val="572984864"/>
        <c:crosses val="autoZero"/>
        <c:auto val="1"/>
        <c:lblAlgn val="ctr"/>
        <c:lblOffset val="100"/>
        <c:tickLblSkip val="1"/>
        <c:noMultiLvlLbl val="0"/>
      </c:catAx>
      <c:valAx>
        <c:axId val="5729848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72987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Operational!$AF$2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Operational!$AG$4:$AG$36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1-4DC8-866D-6D6586F7D906}"/>
            </c:ext>
          </c:extLst>
        </c:ser>
        <c:ser>
          <c:idx val="1"/>
          <c:order val="1"/>
          <c:tx>
            <c:strRef>
              <c:f>Operational!$AH$2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Operational!$AI$4:$AI$36</c:f>
              <c:numCache>
                <c:formatCode>0%</c:formatCode>
                <c:ptCount val="33"/>
                <c:pt idx="0">
                  <c:v>0.59547738693467345</c:v>
                </c:pt>
                <c:pt idx="1">
                  <c:v>1.356783919597993E-2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4.422110552763827E-2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3.0150753768844189E-2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0.31658291457286419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51-4DC8-866D-6D6586F7D906}"/>
            </c:ext>
          </c:extLst>
        </c:ser>
        <c:ser>
          <c:idx val="2"/>
          <c:order val="2"/>
          <c:tx>
            <c:strRef>
              <c:f>Operational!$AJ$2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Operational!$AK$4:$AK$36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51-4DC8-866D-6D6586F7D906}"/>
            </c:ext>
          </c:extLst>
        </c:ser>
        <c:ser>
          <c:idx val="3"/>
          <c:order val="3"/>
          <c:tx>
            <c:strRef>
              <c:f>Operational!$AL$2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Operational!$AM$4:$AM$36</c:f>
              <c:numCache>
                <c:formatCode>0%</c:formatCode>
                <c:ptCount val="33"/>
                <c:pt idx="0">
                  <c:v>0.69978195693649492</c:v>
                </c:pt>
                <c:pt idx="1">
                  <c:v>1.2673753066230604E-2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4.5652766421368327E-2</c:v>
                </c:pt>
                <c:pt idx="9">
                  <c:v>6.8138457345325665E-3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8.176614881439075E-3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0.22690106295993451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51-4DC8-866D-6D6586F7D906}"/>
            </c:ext>
          </c:extLst>
        </c:ser>
        <c:ser>
          <c:idx val="4"/>
          <c:order val="4"/>
          <c:tx>
            <c:strRef>
              <c:f>Operational!$AN$2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Operational!$A$4:$A$36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Operational!$AO$4:$AO$36</c:f>
              <c:numCache>
                <c:formatCode>0%</c:formatCode>
                <c:ptCount val="33"/>
                <c:pt idx="0">
                  <c:v>0.71567324404457622</c:v>
                </c:pt>
                <c:pt idx="1">
                  <c:v>1.4313464880891545E-2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4.304263367753812E-2</c:v>
                </c:pt>
                <c:pt idx="9">
                  <c:v>5.1119517431755419E-3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6.1343420918106469E-3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0.21061241181883233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5.1119517431755419E-3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51-4DC8-866D-6D6586F7D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3025208"/>
        <c:axId val="573029472"/>
      </c:barChart>
      <c:catAx>
        <c:axId val="573025208"/>
        <c:scaling>
          <c:orientation val="minMax"/>
        </c:scaling>
        <c:delete val="0"/>
        <c:axPos val="b"/>
        <c:majorTickMark val="out"/>
        <c:minorTickMark val="none"/>
        <c:tickLblPos val="nextTo"/>
        <c:crossAx val="573029472"/>
        <c:crosses val="autoZero"/>
        <c:auto val="1"/>
        <c:lblAlgn val="ctr"/>
        <c:lblOffset val="100"/>
        <c:tickLblSkip val="1"/>
        <c:noMultiLvlLbl val="0"/>
      </c:catAx>
      <c:valAx>
        <c:axId val="5730294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730252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Insurance!$B$2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Insurance!$C$4:$C$36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47-4285-983B-45FB51BCA9D9}"/>
            </c:ext>
          </c:extLst>
        </c:ser>
        <c:ser>
          <c:idx val="1"/>
          <c:order val="1"/>
          <c:tx>
            <c:strRef>
              <c:f>Insurance!$D$2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Insurance!$E$4:$E$36</c:f>
              <c:numCache>
                <c:formatCode>0%</c:formatCode>
                <c:ptCount val="33"/>
                <c:pt idx="0">
                  <c:v>4.4806517311608788E-3</c:v>
                </c:pt>
                <c:pt idx="1">
                  <c:v>2.0366598778004043E-2</c:v>
                </c:pt>
                <c:pt idx="2">
                  <c:v>2.6476578411405258E-2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2.8513238289208198E-3</c:v>
                </c:pt>
                <c:pt idx="7">
                  <c:v>0.17474541751527492</c:v>
                </c:pt>
                <c:pt idx="8">
                  <c:v>0.11812627291242331</c:v>
                </c:pt>
                <c:pt idx="9">
                  <c:v>9.450101832993911E-2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0.23136456211812642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6.1099796334012193E-3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0.2688391038696536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4.0733197556007336E-3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4.8065173116089537E-2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47-4285-983B-45FB51BCA9D9}"/>
            </c:ext>
          </c:extLst>
        </c:ser>
        <c:ser>
          <c:idx val="2"/>
          <c:order val="2"/>
          <c:tx>
            <c:strRef>
              <c:f>Insurance!$F$2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Insurance!$G$4:$G$36</c:f>
              <c:numCache>
                <c:formatCode>0%</c:formatCode>
                <c:ptCount val="33"/>
                <c:pt idx="0">
                  <c:v>1.4889705882352952E-2</c:v>
                </c:pt>
                <c:pt idx="1">
                  <c:v>2.3897058823529386E-2</c:v>
                </c:pt>
                <c:pt idx="2">
                  <c:v>4.0441176470588237E-2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3.492647058823605E-3</c:v>
                </c:pt>
                <c:pt idx="7">
                  <c:v>0.21323529411764711</c:v>
                </c:pt>
                <c:pt idx="8">
                  <c:v>8.7316176470588036E-2</c:v>
                </c:pt>
                <c:pt idx="9">
                  <c:v>6.5257352941176544E-2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0.17352941176470593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2.8860294117647071E-2</c:v>
                </c:pt>
                <c:pt idx="19">
                  <c:v>0</c:v>
                </c:pt>
                <c:pt idx="20">
                  <c:v>2.7573529411764699E-3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0.31231617647058824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1.838235294117611E-3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3.2169117647058793E-2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47-4285-983B-45FB51BCA9D9}"/>
            </c:ext>
          </c:extLst>
        </c:ser>
        <c:ser>
          <c:idx val="3"/>
          <c:order val="3"/>
          <c:tx>
            <c:strRef>
              <c:f>Insurance!$H$2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Insurance!$I$4:$I$36</c:f>
              <c:numCache>
                <c:formatCode>0%</c:formatCode>
                <c:ptCount val="33"/>
                <c:pt idx="0">
                  <c:v>1.2121985453617477E-2</c:v>
                </c:pt>
                <c:pt idx="1">
                  <c:v>2.2202373357151962E-2</c:v>
                </c:pt>
                <c:pt idx="2">
                  <c:v>3.0241163710603546E-2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3.0623963251244801E-3</c:v>
                </c:pt>
                <c:pt idx="7">
                  <c:v>0.17812938624473645</c:v>
                </c:pt>
                <c:pt idx="8">
                  <c:v>7.3880311343626257E-2</c:v>
                </c:pt>
                <c:pt idx="9">
                  <c:v>6.8521117774658691E-2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0.17174939390072735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2.0033175960188852E-2</c:v>
                </c:pt>
                <c:pt idx="19">
                  <c:v>0</c:v>
                </c:pt>
                <c:pt idx="20">
                  <c:v>1.9139977032027553E-3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0.38637233635319629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1.2759984688018122E-3</c:v>
                </c:pt>
                <c:pt idx="29">
                  <c:v>3.8279954064054981E-3</c:v>
                </c:pt>
                <c:pt idx="30">
                  <c:v>0</c:v>
                </c:pt>
                <c:pt idx="31">
                  <c:v>4.3383947939262561E-3</c:v>
                </c:pt>
                <c:pt idx="32">
                  <c:v>2.2329973204032131E-2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47-4285-983B-45FB51BCA9D9}"/>
            </c:ext>
          </c:extLst>
        </c:ser>
        <c:ser>
          <c:idx val="4"/>
          <c:order val="4"/>
          <c:tx>
            <c:strRef>
              <c:f>Insurance!$J$2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Insurance!$A$4:$A$36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Insurance!$K$4:$K$36</c:f>
              <c:numCache>
                <c:formatCode>0%</c:formatCode>
                <c:ptCount val="33"/>
                <c:pt idx="0">
                  <c:v>1.4577259475218677E-2</c:v>
                </c:pt>
                <c:pt idx="1">
                  <c:v>2.351797862001942E-2</c:v>
                </c:pt>
                <c:pt idx="2">
                  <c:v>2.3032069970845486E-2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3.1098153547133339E-3</c:v>
                </c:pt>
                <c:pt idx="7">
                  <c:v>0.16919339164237121</c:v>
                </c:pt>
                <c:pt idx="8">
                  <c:v>6.724975704567529E-2</c:v>
                </c:pt>
                <c:pt idx="9">
                  <c:v>8.0466472303207068E-2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0.19669582118561715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1.5257531584062204E-2</c:v>
                </c:pt>
                <c:pt idx="19">
                  <c:v>0</c:v>
                </c:pt>
                <c:pt idx="20">
                  <c:v>1.4577259475218656E-3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0.38124392614188535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9.7181729834789168E-4</c:v>
                </c:pt>
                <c:pt idx="29">
                  <c:v>2.9154518950437218E-3</c:v>
                </c:pt>
                <c:pt idx="30">
                  <c:v>0</c:v>
                </c:pt>
                <c:pt idx="31">
                  <c:v>3.3041788143829036E-3</c:v>
                </c:pt>
                <c:pt idx="32">
                  <c:v>1.7006802721088423E-2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47-4285-983B-45FB51BCA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2931728"/>
        <c:axId val="572934024"/>
      </c:barChart>
      <c:catAx>
        <c:axId val="572931728"/>
        <c:scaling>
          <c:orientation val="minMax"/>
        </c:scaling>
        <c:delete val="0"/>
        <c:axPos val="b"/>
        <c:majorTickMark val="out"/>
        <c:minorTickMark val="none"/>
        <c:tickLblPos val="nextTo"/>
        <c:crossAx val="572934024"/>
        <c:crosses val="autoZero"/>
        <c:auto val="1"/>
        <c:lblAlgn val="ctr"/>
        <c:lblOffset val="100"/>
        <c:tickLblSkip val="1"/>
        <c:noMultiLvlLbl val="0"/>
      </c:catAx>
      <c:valAx>
        <c:axId val="5729340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72931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'HR-Marketing'!$B$2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'HR-Marketing'!$C$4:$C$36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70-4EAF-B012-345CAFA2D375}"/>
            </c:ext>
          </c:extLst>
        </c:ser>
        <c:ser>
          <c:idx val="1"/>
          <c:order val="1"/>
          <c:tx>
            <c:strRef>
              <c:f>'HR-Marketing'!$D$2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'HR-Marketing'!$E$4:$E$36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1.1479591836734535E-2</c:v>
                </c:pt>
                <c:pt idx="7">
                  <c:v>0</c:v>
                </c:pt>
                <c:pt idx="8">
                  <c:v>2.806122448979595E-2</c:v>
                </c:pt>
                <c:pt idx="9">
                  <c:v>3.9540816326530566E-2</c:v>
                </c:pt>
                <c:pt idx="10">
                  <c:v>0</c:v>
                </c:pt>
                <c:pt idx="11">
                  <c:v>4.7193877551020294E-2</c:v>
                </c:pt>
                <c:pt idx="12">
                  <c:v>0.1352040816326531</c:v>
                </c:pt>
                <c:pt idx="13">
                  <c:v>8.6734693877550936E-2</c:v>
                </c:pt>
                <c:pt idx="14">
                  <c:v>0</c:v>
                </c:pt>
                <c:pt idx="15">
                  <c:v>0</c:v>
                </c:pt>
                <c:pt idx="16">
                  <c:v>0.21045918367346969</c:v>
                </c:pt>
                <c:pt idx="17">
                  <c:v>3.8265306122449015E-2</c:v>
                </c:pt>
                <c:pt idx="18">
                  <c:v>0</c:v>
                </c:pt>
                <c:pt idx="19">
                  <c:v>0.11224489795918381</c:v>
                </c:pt>
                <c:pt idx="20">
                  <c:v>0</c:v>
                </c:pt>
                <c:pt idx="21">
                  <c:v>0</c:v>
                </c:pt>
                <c:pt idx="22">
                  <c:v>0.14285714285714285</c:v>
                </c:pt>
                <c:pt idx="23">
                  <c:v>6.3775510204081703E-2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7.6530612244897706E-3</c:v>
                </c:pt>
                <c:pt idx="31">
                  <c:v>0</c:v>
                </c:pt>
                <c:pt idx="32">
                  <c:v>7.6530612244897961E-2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70-4EAF-B012-345CAFA2D375}"/>
            </c:ext>
          </c:extLst>
        </c:ser>
        <c:ser>
          <c:idx val="2"/>
          <c:order val="2"/>
          <c:tx>
            <c:strRef>
              <c:f>'HR-Marketing'!$F$2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'HR-Marketing'!$G$4:$G$36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9.0252707581226777E-3</c:v>
                </c:pt>
                <c:pt idx="7">
                  <c:v>0</c:v>
                </c:pt>
                <c:pt idx="8">
                  <c:v>2.8279181708784625E-2</c:v>
                </c:pt>
                <c:pt idx="9">
                  <c:v>5.2346570397111929E-2</c:v>
                </c:pt>
                <c:pt idx="10">
                  <c:v>0</c:v>
                </c:pt>
                <c:pt idx="11">
                  <c:v>3.1287605294825452E-2</c:v>
                </c:pt>
                <c:pt idx="12">
                  <c:v>8.8447653429602882E-2</c:v>
                </c:pt>
                <c:pt idx="13">
                  <c:v>9.1456077015643789E-2</c:v>
                </c:pt>
                <c:pt idx="14">
                  <c:v>0</c:v>
                </c:pt>
                <c:pt idx="15">
                  <c:v>0</c:v>
                </c:pt>
                <c:pt idx="16">
                  <c:v>0.20276774969915773</c:v>
                </c:pt>
                <c:pt idx="17">
                  <c:v>9.1456077015643886E-2</c:v>
                </c:pt>
                <c:pt idx="18">
                  <c:v>8.1829121540312896E-2</c:v>
                </c:pt>
                <c:pt idx="19">
                  <c:v>8.664259927797846E-2</c:v>
                </c:pt>
                <c:pt idx="20">
                  <c:v>0</c:v>
                </c:pt>
                <c:pt idx="21">
                  <c:v>0</c:v>
                </c:pt>
                <c:pt idx="22">
                  <c:v>9.9879663056558196E-2</c:v>
                </c:pt>
                <c:pt idx="23">
                  <c:v>5.655836341756925E-2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3.6101083032490863E-3</c:v>
                </c:pt>
                <c:pt idx="31">
                  <c:v>0</c:v>
                </c:pt>
                <c:pt idx="32">
                  <c:v>7.6413959085439215E-2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70-4EAF-B012-345CAFA2D375}"/>
            </c:ext>
          </c:extLst>
        </c:ser>
        <c:ser>
          <c:idx val="3"/>
          <c:order val="3"/>
          <c:tx>
            <c:strRef>
              <c:f>'HR-Marketing'!$H$2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'HR-Marketing'!$I$4:$I$36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9.2715231788078542E-3</c:v>
                </c:pt>
                <c:pt idx="7">
                  <c:v>0</c:v>
                </c:pt>
                <c:pt idx="8">
                  <c:v>2.8476821192053015E-2</c:v>
                </c:pt>
                <c:pt idx="9">
                  <c:v>5.1655629139072852E-2</c:v>
                </c:pt>
                <c:pt idx="10">
                  <c:v>0</c:v>
                </c:pt>
                <c:pt idx="11">
                  <c:v>3.178807947019862E-2</c:v>
                </c:pt>
                <c:pt idx="12">
                  <c:v>9.735099337748343E-2</c:v>
                </c:pt>
                <c:pt idx="13">
                  <c:v>0.10066225165562911</c:v>
                </c:pt>
                <c:pt idx="14">
                  <c:v>0</c:v>
                </c:pt>
                <c:pt idx="15">
                  <c:v>0</c:v>
                </c:pt>
                <c:pt idx="16">
                  <c:v>0.21059602649006631</c:v>
                </c:pt>
                <c:pt idx="17">
                  <c:v>8.874172185430472E-2</c:v>
                </c:pt>
                <c:pt idx="18">
                  <c:v>2.9801324503311247E-2</c:v>
                </c:pt>
                <c:pt idx="19">
                  <c:v>9.5364238410596144E-2</c:v>
                </c:pt>
                <c:pt idx="20">
                  <c:v>0</c:v>
                </c:pt>
                <c:pt idx="21">
                  <c:v>0</c:v>
                </c:pt>
                <c:pt idx="22">
                  <c:v>0.10993377483443688</c:v>
                </c:pt>
                <c:pt idx="23">
                  <c:v>5.8278145695364283E-2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3.9735099337748214E-3</c:v>
                </c:pt>
                <c:pt idx="31">
                  <c:v>0</c:v>
                </c:pt>
                <c:pt idx="32">
                  <c:v>8.4105960264900623E-2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70-4EAF-B012-345CAFA2D375}"/>
            </c:ext>
          </c:extLst>
        </c:ser>
        <c:ser>
          <c:idx val="4"/>
          <c:order val="4"/>
          <c:tx>
            <c:strRef>
              <c:f>'HR-Marketing'!$J$2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'HR-Marketing'!$A$4:$A$36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'HR-Marketing'!$K$4:$K$36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9.3013642000826166E-3</c:v>
                </c:pt>
                <c:pt idx="7">
                  <c:v>0</c:v>
                </c:pt>
                <c:pt idx="8">
                  <c:v>3.1693537274355851E-2</c:v>
                </c:pt>
                <c:pt idx="9">
                  <c:v>5.5808185200496109E-2</c:v>
                </c:pt>
                <c:pt idx="10">
                  <c:v>0</c:v>
                </c:pt>
                <c:pt idx="11">
                  <c:v>3.1004547333608877E-2</c:v>
                </c:pt>
                <c:pt idx="12">
                  <c:v>5.8908639933856956E-2</c:v>
                </c:pt>
                <c:pt idx="13">
                  <c:v>0.1055532589224198</c:v>
                </c:pt>
                <c:pt idx="14">
                  <c:v>0</c:v>
                </c:pt>
                <c:pt idx="15">
                  <c:v>1.3779798814937368E-3</c:v>
                </c:pt>
                <c:pt idx="16">
                  <c:v>0.25265261127187549</c:v>
                </c:pt>
                <c:pt idx="17">
                  <c:v>9.6114096734187707E-2</c:v>
                </c:pt>
                <c:pt idx="18">
                  <c:v>7.509990354140833E-2</c:v>
                </c:pt>
                <c:pt idx="19">
                  <c:v>5.9942124844977317E-2</c:v>
                </c:pt>
                <c:pt idx="20">
                  <c:v>0</c:v>
                </c:pt>
                <c:pt idx="21">
                  <c:v>0</c:v>
                </c:pt>
                <c:pt idx="22">
                  <c:v>9.4047126911947013E-2</c:v>
                </c:pt>
                <c:pt idx="23">
                  <c:v>6.3042579578338198E-2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3.4449497037343148E-3</c:v>
                </c:pt>
                <c:pt idx="31">
                  <c:v>1.0334849111202945E-3</c:v>
                </c:pt>
                <c:pt idx="32">
                  <c:v>6.0975609756097567E-2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70-4EAF-B012-345CAFA2D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241088"/>
        <c:axId val="402235512"/>
      </c:barChart>
      <c:catAx>
        <c:axId val="402241088"/>
        <c:scaling>
          <c:orientation val="minMax"/>
        </c:scaling>
        <c:delete val="0"/>
        <c:axPos val="b"/>
        <c:majorTickMark val="out"/>
        <c:minorTickMark val="none"/>
        <c:tickLblPos val="nextTo"/>
        <c:crossAx val="402235512"/>
        <c:crosses val="autoZero"/>
        <c:auto val="1"/>
        <c:lblAlgn val="ctr"/>
        <c:lblOffset val="100"/>
        <c:tickLblSkip val="1"/>
        <c:noMultiLvlLbl val="0"/>
      </c:catAx>
      <c:valAx>
        <c:axId val="40223551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022410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'HR-Marketing'!$L$2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'HR-Marketing'!$M$4:$M$36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14-4318-A100-F96854557D02}"/>
            </c:ext>
          </c:extLst>
        </c:ser>
        <c:ser>
          <c:idx val="1"/>
          <c:order val="1"/>
          <c:tx>
            <c:strRef>
              <c:f>'HR-Marketing'!$N$2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'HR-Marketing'!$O$4:$O$36</c:f>
              <c:numCache>
                <c:formatCode>0%</c:formatCode>
                <c:ptCount val="33"/>
                <c:pt idx="0">
                  <c:v>0</c:v>
                </c:pt>
                <c:pt idx="1">
                  <c:v>4.3518518518518512E-2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6.9444444444444198E-3</c:v>
                </c:pt>
                <c:pt idx="10">
                  <c:v>0</c:v>
                </c:pt>
                <c:pt idx="11">
                  <c:v>0</c:v>
                </c:pt>
                <c:pt idx="12">
                  <c:v>6.9444444444444935E-3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0.92870370370370348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1.3888888888889062E-2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14-4318-A100-F96854557D02}"/>
            </c:ext>
          </c:extLst>
        </c:ser>
        <c:ser>
          <c:idx val="2"/>
          <c:order val="2"/>
          <c:tx>
            <c:strRef>
              <c:f>'HR-Marketing'!$P$2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'HR-Marketing'!$Q$4:$Q$36</c:f>
              <c:numCache>
                <c:formatCode>0%</c:formatCode>
                <c:ptCount val="33"/>
                <c:pt idx="0">
                  <c:v>0</c:v>
                </c:pt>
                <c:pt idx="1">
                  <c:v>4.1782086795937208E-2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1.5697137580794107E-2</c:v>
                </c:pt>
                <c:pt idx="9">
                  <c:v>1.0387811634349028E-2</c:v>
                </c:pt>
                <c:pt idx="10">
                  <c:v>0</c:v>
                </c:pt>
                <c:pt idx="11">
                  <c:v>0</c:v>
                </c:pt>
                <c:pt idx="12">
                  <c:v>3.4626038781163677E-3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0.8471837488457985</c:v>
                </c:pt>
                <c:pt idx="18">
                  <c:v>2.1929824561403466E-2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1.800554016620514E-2</c:v>
                </c:pt>
                <c:pt idx="32">
                  <c:v>4.1551246537396044E-2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14-4318-A100-F96854557D02}"/>
            </c:ext>
          </c:extLst>
        </c:ser>
        <c:ser>
          <c:idx val="3"/>
          <c:order val="3"/>
          <c:tx>
            <c:strRef>
              <c:f>'HR-Marketing'!$R$2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'HR-Marketing'!$S$4:$S$36</c:f>
              <c:numCache>
                <c:formatCode>0%</c:formatCode>
                <c:ptCount val="33"/>
                <c:pt idx="0">
                  <c:v>0</c:v>
                </c:pt>
                <c:pt idx="1">
                  <c:v>4.2044310171198356E-2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1.7119838872104751E-2</c:v>
                </c:pt>
                <c:pt idx="9">
                  <c:v>1.1329305135951659E-2</c:v>
                </c:pt>
                <c:pt idx="10">
                  <c:v>0</c:v>
                </c:pt>
                <c:pt idx="11">
                  <c:v>0</c:v>
                </c:pt>
                <c:pt idx="12">
                  <c:v>3.7764350453172468E-3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0.84541792547834826</c:v>
                </c:pt>
                <c:pt idx="18">
                  <c:v>2.3917421953675681E-2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1.4853977844914547E-2</c:v>
                </c:pt>
                <c:pt idx="32">
                  <c:v>4.1540785498489351E-2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14-4318-A100-F96854557D02}"/>
            </c:ext>
          </c:extLst>
        </c:ser>
        <c:ser>
          <c:idx val="4"/>
          <c:order val="4"/>
          <c:tx>
            <c:strRef>
              <c:f>'HR-Marketing'!$T$2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'HR-Marketing'!$A$4:$A$36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'HR-Marketing'!$U$4:$U$36</c:f>
              <c:numCache>
                <c:formatCode>0%</c:formatCode>
                <c:ptCount val="33"/>
                <c:pt idx="0">
                  <c:v>0</c:v>
                </c:pt>
                <c:pt idx="1">
                  <c:v>4.7426257952573735E-2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9.8322729901677373E-3</c:v>
                </c:pt>
                <c:pt idx="9">
                  <c:v>7.0850202429149772E-3</c:v>
                </c:pt>
                <c:pt idx="10">
                  <c:v>0</c:v>
                </c:pt>
                <c:pt idx="11">
                  <c:v>0</c:v>
                </c:pt>
                <c:pt idx="12">
                  <c:v>2.1688837478311316E-3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0.86292654713707329</c:v>
                </c:pt>
                <c:pt idx="18">
                  <c:v>1.373626373626371E-2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2.1688837478311316E-3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2.3568536726431586E-2</c:v>
                </c:pt>
                <c:pt idx="32">
                  <c:v>3.1087333718912601E-2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14-4318-A100-F96854557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8649112"/>
        <c:axId val="578653048"/>
      </c:barChart>
      <c:catAx>
        <c:axId val="578649112"/>
        <c:scaling>
          <c:orientation val="minMax"/>
        </c:scaling>
        <c:delete val="0"/>
        <c:axPos val="b"/>
        <c:majorTickMark val="out"/>
        <c:minorTickMark val="none"/>
        <c:tickLblPos val="nextTo"/>
        <c:crossAx val="578653048"/>
        <c:crosses val="autoZero"/>
        <c:auto val="1"/>
        <c:lblAlgn val="ctr"/>
        <c:lblOffset val="100"/>
        <c:tickLblSkip val="1"/>
        <c:noMultiLvlLbl val="0"/>
      </c:catAx>
      <c:valAx>
        <c:axId val="5786530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78649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'HR-Marketing'!$V$2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'HR-Marketing'!$W$4:$W$36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60-4BF0-B4C2-4CF1C2311105}"/>
            </c:ext>
          </c:extLst>
        </c:ser>
        <c:ser>
          <c:idx val="1"/>
          <c:order val="1"/>
          <c:tx>
            <c:strRef>
              <c:f>'HR-Marketing'!$X$2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'HR-Marketing'!$Y$4:$Y$36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8.7688530340231767E-3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7.716590669940346E-3</c:v>
                </c:pt>
                <c:pt idx="7">
                  <c:v>0</c:v>
                </c:pt>
                <c:pt idx="8">
                  <c:v>7.3658365485794575E-2</c:v>
                </c:pt>
                <c:pt idx="9">
                  <c:v>2.1045247281655598E-2</c:v>
                </c:pt>
                <c:pt idx="10">
                  <c:v>0</c:v>
                </c:pt>
                <c:pt idx="11">
                  <c:v>0.27884952648193628</c:v>
                </c:pt>
                <c:pt idx="12">
                  <c:v>1.753770606804627E-2</c:v>
                </c:pt>
                <c:pt idx="13">
                  <c:v>0.37776218870571721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5.9628200631357403E-2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4.1038232199228288E-2</c:v>
                </c:pt>
                <c:pt idx="25">
                  <c:v>3.5075412136092644E-2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1.0522623640827787E-2</c:v>
                </c:pt>
                <c:pt idx="31">
                  <c:v>2.630655910206945E-2</c:v>
                </c:pt>
                <c:pt idx="32">
                  <c:v>4.2090494563311105E-2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60-4BF0-B4C2-4CF1C2311105}"/>
            </c:ext>
          </c:extLst>
        </c:ser>
        <c:ser>
          <c:idx val="2"/>
          <c:order val="2"/>
          <c:tx>
            <c:strRef>
              <c:f>'HR-Marketing'!$Z$2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'HR-Marketing'!$AA$4:$AA$36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60-4BF0-B4C2-4CF1C2311105}"/>
            </c:ext>
          </c:extLst>
        </c:ser>
        <c:ser>
          <c:idx val="3"/>
          <c:order val="3"/>
          <c:tx>
            <c:strRef>
              <c:f>'HR-Marketing'!$AB$2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'HR-Marketing'!$AC$4:$AC$36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60-4BF0-B4C2-4CF1C2311105}"/>
            </c:ext>
          </c:extLst>
        </c:ser>
        <c:ser>
          <c:idx val="4"/>
          <c:order val="4"/>
          <c:tx>
            <c:strRef>
              <c:f>'HR-Marketing'!$AD$2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'HR-Marketing'!$A$4:$A$36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'HR-Marketing'!$AE$4:$AE$36</c:f>
              <c:numCache>
                <c:formatCode>0%</c:formatCode>
                <c:ptCount val="33"/>
                <c:pt idx="0">
                  <c:v>0</c:v>
                </c:pt>
                <c:pt idx="1">
                  <c:v>1.7028112449799192E-2</c:v>
                </c:pt>
                <c:pt idx="2">
                  <c:v>2.0080321285140621E-3</c:v>
                </c:pt>
                <c:pt idx="3">
                  <c:v>0</c:v>
                </c:pt>
                <c:pt idx="4">
                  <c:v>0</c:v>
                </c:pt>
                <c:pt idx="5">
                  <c:v>3.6144578313253017E-3</c:v>
                </c:pt>
                <c:pt idx="6">
                  <c:v>6.9879518072288914E-3</c:v>
                </c:pt>
                <c:pt idx="7">
                  <c:v>0</c:v>
                </c:pt>
                <c:pt idx="8">
                  <c:v>8.305220883534141E-2</c:v>
                </c:pt>
                <c:pt idx="9">
                  <c:v>3.8554216867469918E-2</c:v>
                </c:pt>
                <c:pt idx="10">
                  <c:v>0</c:v>
                </c:pt>
                <c:pt idx="11">
                  <c:v>0.25293172690763061</c:v>
                </c:pt>
                <c:pt idx="12">
                  <c:v>2.0080321285140545E-2</c:v>
                </c:pt>
                <c:pt idx="13">
                  <c:v>0.26313253012048188</c:v>
                </c:pt>
                <c:pt idx="14">
                  <c:v>3.6144578313253017E-3</c:v>
                </c:pt>
                <c:pt idx="15">
                  <c:v>0</c:v>
                </c:pt>
                <c:pt idx="16">
                  <c:v>4.0321285140562269E-2</c:v>
                </c:pt>
                <c:pt idx="17">
                  <c:v>0</c:v>
                </c:pt>
                <c:pt idx="18">
                  <c:v>0</c:v>
                </c:pt>
                <c:pt idx="19">
                  <c:v>4.5702811244979935E-2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7.3975903614457841E-2</c:v>
                </c:pt>
                <c:pt idx="25">
                  <c:v>0.10843373493975904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7.630522088353426E-3</c:v>
                </c:pt>
                <c:pt idx="30">
                  <c:v>5.6224899598393482E-3</c:v>
                </c:pt>
                <c:pt idx="31">
                  <c:v>1.2048192771084348E-2</c:v>
                </c:pt>
                <c:pt idx="32">
                  <c:v>1.5261044176706829E-2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60-4BF0-B4C2-4CF1C2311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8675680"/>
        <c:axId val="578686504"/>
      </c:barChart>
      <c:catAx>
        <c:axId val="578675680"/>
        <c:scaling>
          <c:orientation val="minMax"/>
        </c:scaling>
        <c:delete val="0"/>
        <c:axPos val="b"/>
        <c:majorTickMark val="out"/>
        <c:minorTickMark val="none"/>
        <c:tickLblPos val="nextTo"/>
        <c:crossAx val="578686504"/>
        <c:crosses val="autoZero"/>
        <c:auto val="1"/>
        <c:lblAlgn val="ctr"/>
        <c:lblOffset val="100"/>
        <c:tickLblSkip val="1"/>
        <c:noMultiLvlLbl val="0"/>
      </c:catAx>
      <c:valAx>
        <c:axId val="5786865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78675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'HR-Marketing'!$AF$2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'HR-Marketing'!$AG$4:$AG$36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E-482C-AC7B-63A9B70EAA21}"/>
            </c:ext>
          </c:extLst>
        </c:ser>
        <c:ser>
          <c:idx val="1"/>
          <c:order val="1"/>
          <c:tx>
            <c:strRef>
              <c:f>'HR-Marketing'!$AH$2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'HR-Marketing'!$AI$4:$AI$36</c:f>
              <c:numCache>
                <c:formatCode>0%</c:formatCode>
                <c:ptCount val="33"/>
                <c:pt idx="0">
                  <c:v>0</c:v>
                </c:pt>
                <c:pt idx="1">
                  <c:v>0.3125484120836563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8.9078233927187295E-3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0.14329976762199839</c:v>
                </c:pt>
                <c:pt idx="12">
                  <c:v>5.8481797056545354E-2</c:v>
                </c:pt>
                <c:pt idx="13">
                  <c:v>0.29124709527498049</c:v>
                </c:pt>
                <c:pt idx="14">
                  <c:v>0</c:v>
                </c:pt>
                <c:pt idx="15">
                  <c:v>4.6475600309837167E-3</c:v>
                </c:pt>
                <c:pt idx="16">
                  <c:v>0</c:v>
                </c:pt>
                <c:pt idx="17">
                  <c:v>9.5274980635166512E-2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8.5592563903950369E-2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1E-482C-AC7B-63A9B70EAA21}"/>
            </c:ext>
          </c:extLst>
        </c:ser>
        <c:ser>
          <c:idx val="2"/>
          <c:order val="2"/>
          <c:tx>
            <c:strRef>
              <c:f>'HR-Marketing'!$AJ$2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'HR-Marketing'!$AK$4:$AK$36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1E-482C-AC7B-63A9B70EAA21}"/>
            </c:ext>
          </c:extLst>
        </c:ser>
        <c:ser>
          <c:idx val="3"/>
          <c:order val="3"/>
          <c:tx>
            <c:strRef>
              <c:f>'HR-Marketing'!$AL$2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'HR-Marketing'!$AM$4:$AM$36</c:f>
              <c:numCache>
                <c:formatCode>0%</c:formatCode>
                <c:ptCount val="33"/>
                <c:pt idx="0">
                  <c:v>0</c:v>
                </c:pt>
                <c:pt idx="1">
                  <c:v>0.22499687851167433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7.4915719815207621E-3</c:v>
                </c:pt>
                <c:pt idx="7">
                  <c:v>0</c:v>
                </c:pt>
                <c:pt idx="8">
                  <c:v>3.0715445124235224E-2</c:v>
                </c:pt>
                <c:pt idx="9">
                  <c:v>1.6231739293295034E-3</c:v>
                </c:pt>
                <c:pt idx="10">
                  <c:v>0</c:v>
                </c:pt>
                <c:pt idx="11">
                  <c:v>0.29404420027469103</c:v>
                </c:pt>
                <c:pt idx="12">
                  <c:v>5.6436508927456566E-2</c:v>
                </c:pt>
                <c:pt idx="13">
                  <c:v>0.25970782869272069</c:v>
                </c:pt>
                <c:pt idx="14">
                  <c:v>0</c:v>
                </c:pt>
                <c:pt idx="15">
                  <c:v>1.4983143963041524E-3</c:v>
                </c:pt>
                <c:pt idx="16">
                  <c:v>0</c:v>
                </c:pt>
                <c:pt idx="17">
                  <c:v>3.0715445124235224E-2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2.1975277812461003E-2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1.3110250967661373E-2</c:v>
                </c:pt>
                <c:pt idx="29">
                  <c:v>0</c:v>
                </c:pt>
                <c:pt idx="30">
                  <c:v>4.3700836558871114E-3</c:v>
                </c:pt>
                <c:pt idx="31">
                  <c:v>0</c:v>
                </c:pt>
                <c:pt idx="32">
                  <c:v>5.3315020601822916E-2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1E-482C-AC7B-63A9B70EAA21}"/>
            </c:ext>
          </c:extLst>
        </c:ser>
        <c:ser>
          <c:idx val="4"/>
          <c:order val="4"/>
          <c:tx>
            <c:strRef>
              <c:f>'HR-Marketing'!$AN$2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'HR-Marketing'!$A$4:$A$36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'HR-Marketing'!$AO$4:$AO$36</c:f>
              <c:numCache>
                <c:formatCode>0%</c:formatCode>
                <c:ptCount val="33"/>
                <c:pt idx="0">
                  <c:v>0</c:v>
                </c:pt>
                <c:pt idx="1">
                  <c:v>0.19030973091618564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6.503536297861939E-3</c:v>
                </c:pt>
                <c:pt idx="7">
                  <c:v>0</c:v>
                </c:pt>
                <c:pt idx="8">
                  <c:v>2.5526379969108216E-2</c:v>
                </c:pt>
                <c:pt idx="9">
                  <c:v>1.0568246484025684E-3</c:v>
                </c:pt>
                <c:pt idx="10">
                  <c:v>0</c:v>
                </c:pt>
                <c:pt idx="11">
                  <c:v>0.29956914072026675</c:v>
                </c:pt>
                <c:pt idx="12">
                  <c:v>4.3167222177058748E-2</c:v>
                </c:pt>
                <c:pt idx="13">
                  <c:v>0.34875213397284782</c:v>
                </c:pt>
                <c:pt idx="14">
                  <c:v>0</c:v>
                </c:pt>
                <c:pt idx="15">
                  <c:v>9.7553044467929095E-4</c:v>
                </c:pt>
                <c:pt idx="16">
                  <c:v>0</c:v>
                </c:pt>
                <c:pt idx="17">
                  <c:v>1.9998374115925529E-2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1.4307779855296332E-2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1.0405658076579128E-2</c:v>
                </c:pt>
                <c:pt idx="29">
                  <c:v>0</c:v>
                </c:pt>
                <c:pt idx="30">
                  <c:v>4.715063815949906E-3</c:v>
                </c:pt>
                <c:pt idx="31">
                  <c:v>0</c:v>
                </c:pt>
                <c:pt idx="32">
                  <c:v>3.4712624989838202E-2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1E-482C-AC7B-63A9B70EA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8717992"/>
        <c:axId val="578718648"/>
      </c:barChart>
      <c:catAx>
        <c:axId val="578717992"/>
        <c:scaling>
          <c:orientation val="minMax"/>
        </c:scaling>
        <c:delete val="0"/>
        <c:axPos val="b"/>
        <c:majorTickMark val="out"/>
        <c:minorTickMark val="none"/>
        <c:tickLblPos val="nextTo"/>
        <c:crossAx val="578718648"/>
        <c:crosses val="autoZero"/>
        <c:auto val="1"/>
        <c:lblAlgn val="ctr"/>
        <c:lblOffset val="100"/>
        <c:tickLblSkip val="1"/>
        <c:noMultiLvlLbl val="0"/>
      </c:catAx>
      <c:valAx>
        <c:axId val="5787186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787179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'HR-Marketing'!$B$2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'HR-Marketing'!$C$4:$C$36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BD-4A0A-AAA2-DE24FFBCBDC9}"/>
            </c:ext>
          </c:extLst>
        </c:ser>
        <c:ser>
          <c:idx val="1"/>
          <c:order val="1"/>
          <c:tx>
            <c:strRef>
              <c:f>'HR-Marketing'!$D$2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'HR-Marketing'!$E$4:$E$36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1.1479591836734535E-2</c:v>
                </c:pt>
                <c:pt idx="7">
                  <c:v>0</c:v>
                </c:pt>
                <c:pt idx="8">
                  <c:v>2.806122448979595E-2</c:v>
                </c:pt>
                <c:pt idx="9">
                  <c:v>3.9540816326530566E-2</c:v>
                </c:pt>
                <c:pt idx="10">
                  <c:v>0</c:v>
                </c:pt>
                <c:pt idx="11">
                  <c:v>4.7193877551020294E-2</c:v>
                </c:pt>
                <c:pt idx="12">
                  <c:v>0.1352040816326531</c:v>
                </c:pt>
                <c:pt idx="13">
                  <c:v>8.6734693877550936E-2</c:v>
                </c:pt>
                <c:pt idx="14">
                  <c:v>0</c:v>
                </c:pt>
                <c:pt idx="15">
                  <c:v>0</c:v>
                </c:pt>
                <c:pt idx="16">
                  <c:v>0.21045918367346969</c:v>
                </c:pt>
                <c:pt idx="17">
                  <c:v>3.8265306122449015E-2</c:v>
                </c:pt>
                <c:pt idx="18">
                  <c:v>0</c:v>
                </c:pt>
                <c:pt idx="19">
                  <c:v>0.11224489795918381</c:v>
                </c:pt>
                <c:pt idx="20">
                  <c:v>0</c:v>
                </c:pt>
                <c:pt idx="21">
                  <c:v>0</c:v>
                </c:pt>
                <c:pt idx="22">
                  <c:v>0.14285714285714285</c:v>
                </c:pt>
                <c:pt idx="23">
                  <c:v>6.3775510204081703E-2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7.6530612244897706E-3</c:v>
                </c:pt>
                <c:pt idx="31">
                  <c:v>0</c:v>
                </c:pt>
                <c:pt idx="32">
                  <c:v>7.6530612244897961E-2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BD-4A0A-AAA2-DE24FFBCBDC9}"/>
            </c:ext>
          </c:extLst>
        </c:ser>
        <c:ser>
          <c:idx val="2"/>
          <c:order val="2"/>
          <c:tx>
            <c:strRef>
              <c:f>'HR-Marketing'!$F$2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'HR-Marketing'!$G$4:$G$36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9.0252707581226777E-3</c:v>
                </c:pt>
                <c:pt idx="7">
                  <c:v>0</c:v>
                </c:pt>
                <c:pt idx="8">
                  <c:v>2.8279181708784625E-2</c:v>
                </c:pt>
                <c:pt idx="9">
                  <c:v>5.2346570397111929E-2</c:v>
                </c:pt>
                <c:pt idx="10">
                  <c:v>0</c:v>
                </c:pt>
                <c:pt idx="11">
                  <c:v>3.1287605294825452E-2</c:v>
                </c:pt>
                <c:pt idx="12">
                  <c:v>8.8447653429602882E-2</c:v>
                </c:pt>
                <c:pt idx="13">
                  <c:v>9.1456077015643789E-2</c:v>
                </c:pt>
                <c:pt idx="14">
                  <c:v>0</c:v>
                </c:pt>
                <c:pt idx="15">
                  <c:v>0</c:v>
                </c:pt>
                <c:pt idx="16">
                  <c:v>0.20276774969915773</c:v>
                </c:pt>
                <c:pt idx="17">
                  <c:v>9.1456077015643886E-2</c:v>
                </c:pt>
                <c:pt idx="18">
                  <c:v>8.1829121540312896E-2</c:v>
                </c:pt>
                <c:pt idx="19">
                  <c:v>8.664259927797846E-2</c:v>
                </c:pt>
                <c:pt idx="20">
                  <c:v>0</c:v>
                </c:pt>
                <c:pt idx="21">
                  <c:v>0</c:v>
                </c:pt>
                <c:pt idx="22">
                  <c:v>9.9879663056558196E-2</c:v>
                </c:pt>
                <c:pt idx="23">
                  <c:v>5.655836341756925E-2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3.6101083032490863E-3</c:v>
                </c:pt>
                <c:pt idx="31">
                  <c:v>0</c:v>
                </c:pt>
                <c:pt idx="32">
                  <c:v>7.6413959085439215E-2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BD-4A0A-AAA2-DE24FFBCBDC9}"/>
            </c:ext>
          </c:extLst>
        </c:ser>
        <c:ser>
          <c:idx val="3"/>
          <c:order val="3"/>
          <c:tx>
            <c:strRef>
              <c:f>'HR-Marketing'!$H$2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'HR-Marketing'!$I$4:$I$36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9.2715231788078542E-3</c:v>
                </c:pt>
                <c:pt idx="7">
                  <c:v>0</c:v>
                </c:pt>
                <c:pt idx="8">
                  <c:v>2.8476821192053015E-2</c:v>
                </c:pt>
                <c:pt idx="9">
                  <c:v>5.1655629139072852E-2</c:v>
                </c:pt>
                <c:pt idx="10">
                  <c:v>0</c:v>
                </c:pt>
                <c:pt idx="11">
                  <c:v>3.178807947019862E-2</c:v>
                </c:pt>
                <c:pt idx="12">
                  <c:v>9.735099337748343E-2</c:v>
                </c:pt>
                <c:pt idx="13">
                  <c:v>0.10066225165562911</c:v>
                </c:pt>
                <c:pt idx="14">
                  <c:v>0</c:v>
                </c:pt>
                <c:pt idx="15">
                  <c:v>0</c:v>
                </c:pt>
                <c:pt idx="16">
                  <c:v>0.21059602649006631</c:v>
                </c:pt>
                <c:pt idx="17">
                  <c:v>8.874172185430472E-2</c:v>
                </c:pt>
                <c:pt idx="18">
                  <c:v>2.9801324503311247E-2</c:v>
                </c:pt>
                <c:pt idx="19">
                  <c:v>9.5364238410596144E-2</c:v>
                </c:pt>
                <c:pt idx="20">
                  <c:v>0</c:v>
                </c:pt>
                <c:pt idx="21">
                  <c:v>0</c:v>
                </c:pt>
                <c:pt idx="22">
                  <c:v>0.10993377483443688</c:v>
                </c:pt>
                <c:pt idx="23">
                  <c:v>5.8278145695364283E-2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3.9735099337748214E-3</c:v>
                </c:pt>
                <c:pt idx="31">
                  <c:v>0</c:v>
                </c:pt>
                <c:pt idx="32">
                  <c:v>8.4105960264900623E-2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BD-4A0A-AAA2-DE24FFBCBDC9}"/>
            </c:ext>
          </c:extLst>
        </c:ser>
        <c:ser>
          <c:idx val="4"/>
          <c:order val="4"/>
          <c:tx>
            <c:strRef>
              <c:f>'HR-Marketing'!$J$2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'HR-Marketing'!$A$4:$A$36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'HR-Marketing'!$K$4:$K$36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9.3013642000826166E-3</c:v>
                </c:pt>
                <c:pt idx="7">
                  <c:v>0</c:v>
                </c:pt>
                <c:pt idx="8">
                  <c:v>3.1693537274355851E-2</c:v>
                </c:pt>
                <c:pt idx="9">
                  <c:v>5.5808185200496109E-2</c:v>
                </c:pt>
                <c:pt idx="10">
                  <c:v>0</c:v>
                </c:pt>
                <c:pt idx="11">
                  <c:v>3.1004547333608877E-2</c:v>
                </c:pt>
                <c:pt idx="12">
                  <c:v>5.8908639933856956E-2</c:v>
                </c:pt>
                <c:pt idx="13">
                  <c:v>0.1055532589224198</c:v>
                </c:pt>
                <c:pt idx="14">
                  <c:v>0</c:v>
                </c:pt>
                <c:pt idx="15">
                  <c:v>1.3779798814937368E-3</c:v>
                </c:pt>
                <c:pt idx="16">
                  <c:v>0.25265261127187549</c:v>
                </c:pt>
                <c:pt idx="17">
                  <c:v>9.6114096734187707E-2</c:v>
                </c:pt>
                <c:pt idx="18">
                  <c:v>7.509990354140833E-2</c:v>
                </c:pt>
                <c:pt idx="19">
                  <c:v>5.9942124844977317E-2</c:v>
                </c:pt>
                <c:pt idx="20">
                  <c:v>0</c:v>
                </c:pt>
                <c:pt idx="21">
                  <c:v>0</c:v>
                </c:pt>
                <c:pt idx="22">
                  <c:v>9.4047126911947013E-2</c:v>
                </c:pt>
                <c:pt idx="23">
                  <c:v>6.3042579578338198E-2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3.4449497037343148E-3</c:v>
                </c:pt>
                <c:pt idx="31">
                  <c:v>1.0334849111202945E-3</c:v>
                </c:pt>
                <c:pt idx="32">
                  <c:v>6.0975609756097567E-2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BD-4A0A-AAA2-DE24FFBCB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5521016"/>
        <c:axId val="585512816"/>
      </c:barChart>
      <c:catAx>
        <c:axId val="585521016"/>
        <c:scaling>
          <c:orientation val="minMax"/>
        </c:scaling>
        <c:delete val="0"/>
        <c:axPos val="b"/>
        <c:majorTickMark val="out"/>
        <c:minorTickMark val="none"/>
        <c:tickLblPos val="nextTo"/>
        <c:crossAx val="585512816"/>
        <c:crosses val="autoZero"/>
        <c:auto val="1"/>
        <c:lblAlgn val="ctr"/>
        <c:lblOffset val="100"/>
        <c:tickLblSkip val="1"/>
        <c:noMultiLvlLbl val="0"/>
      </c:catAx>
      <c:valAx>
        <c:axId val="5855128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855210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Frontdesk!$B$2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Frontdesk!$C$4:$C$36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9-46B7-B612-8C7D62EA8A34}"/>
            </c:ext>
          </c:extLst>
        </c:ser>
        <c:ser>
          <c:idx val="1"/>
          <c:order val="1"/>
          <c:tx>
            <c:strRef>
              <c:f>Frontdesk!$D$2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Frontdesk!$E$4:$E$36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D9-46B7-B612-8C7D62EA8A34}"/>
            </c:ext>
          </c:extLst>
        </c:ser>
        <c:ser>
          <c:idx val="2"/>
          <c:order val="2"/>
          <c:tx>
            <c:strRef>
              <c:f>Frontdesk!$F$2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Frontdesk!$G$4:$G$36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D9-46B7-B612-8C7D62EA8A34}"/>
            </c:ext>
          </c:extLst>
        </c:ser>
        <c:ser>
          <c:idx val="3"/>
          <c:order val="3"/>
          <c:tx>
            <c:strRef>
              <c:f>Frontdesk!$H$2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Frontdesk!$I$4:$I$36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D9-46B7-B612-8C7D62EA8A34}"/>
            </c:ext>
          </c:extLst>
        </c:ser>
        <c:ser>
          <c:idx val="4"/>
          <c:order val="4"/>
          <c:tx>
            <c:strRef>
              <c:f>Frontdesk!$J$2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Frontdesk!$A$4:$A$36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Frontdesk!$K$4:$K$36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D9-46B7-B612-8C7D62EA8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8761616"/>
        <c:axId val="578766536"/>
      </c:barChart>
      <c:catAx>
        <c:axId val="578761616"/>
        <c:scaling>
          <c:orientation val="minMax"/>
        </c:scaling>
        <c:delete val="0"/>
        <c:axPos val="b"/>
        <c:majorTickMark val="out"/>
        <c:minorTickMark val="none"/>
        <c:tickLblPos val="nextTo"/>
        <c:crossAx val="578766536"/>
        <c:crosses val="autoZero"/>
        <c:auto val="1"/>
        <c:lblAlgn val="ctr"/>
        <c:lblOffset val="100"/>
        <c:tickLblSkip val="1"/>
        <c:noMultiLvlLbl val="0"/>
      </c:catAx>
      <c:valAx>
        <c:axId val="5787665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78761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Frontdesk!$L$2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Frontdesk!$M$4:$M$36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F-48A2-814E-7F9EA1F519A6}"/>
            </c:ext>
          </c:extLst>
        </c:ser>
        <c:ser>
          <c:idx val="1"/>
          <c:order val="1"/>
          <c:tx>
            <c:strRef>
              <c:f>Frontdesk!$N$2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Frontdesk!$O$4:$O$36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4F-48A2-814E-7F9EA1F519A6}"/>
            </c:ext>
          </c:extLst>
        </c:ser>
        <c:ser>
          <c:idx val="2"/>
          <c:order val="2"/>
          <c:tx>
            <c:strRef>
              <c:f>Frontdesk!$P$2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Frontdesk!$Q$4:$Q$36</c:f>
              <c:numCache>
                <c:formatCode>0%</c:formatCode>
                <c:ptCount val="33"/>
                <c:pt idx="0">
                  <c:v>0</c:v>
                </c:pt>
                <c:pt idx="1">
                  <c:v>1.3317665491578394E-2</c:v>
                </c:pt>
                <c:pt idx="2">
                  <c:v>5.8754406580493516E-2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3.1335683509596535E-2</c:v>
                </c:pt>
                <c:pt idx="7">
                  <c:v>0</c:v>
                </c:pt>
                <c:pt idx="8">
                  <c:v>0</c:v>
                </c:pt>
                <c:pt idx="9">
                  <c:v>5.5620838229533905E-2</c:v>
                </c:pt>
                <c:pt idx="10">
                  <c:v>0</c:v>
                </c:pt>
                <c:pt idx="11">
                  <c:v>0.71484528006267134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7.8339208773991111E-3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9.7924010967489501E-3</c:v>
                </c:pt>
                <c:pt idx="26">
                  <c:v>0</c:v>
                </c:pt>
                <c:pt idx="27">
                  <c:v>8.4606345475910741E-2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6.2671367019193512E-3</c:v>
                </c:pt>
                <c:pt idx="32">
                  <c:v>1.7626321974148061E-2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4F-48A2-814E-7F9EA1F519A6}"/>
            </c:ext>
          </c:extLst>
        </c:ser>
        <c:ser>
          <c:idx val="3"/>
          <c:order val="3"/>
          <c:tx>
            <c:strRef>
              <c:f>Frontdesk!$R$2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Frontdesk!$S$4:$S$36</c:f>
              <c:numCache>
                <c:formatCode>0%</c:formatCode>
                <c:ptCount val="33"/>
                <c:pt idx="0">
                  <c:v>0</c:v>
                </c:pt>
                <c:pt idx="1">
                  <c:v>2.5287356321838723E-2</c:v>
                </c:pt>
                <c:pt idx="2">
                  <c:v>0.17241379310344826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6.0919540229885043E-2</c:v>
                </c:pt>
                <c:pt idx="7">
                  <c:v>0</c:v>
                </c:pt>
                <c:pt idx="8">
                  <c:v>0</c:v>
                </c:pt>
                <c:pt idx="9">
                  <c:v>0.14137931034482776</c:v>
                </c:pt>
                <c:pt idx="10">
                  <c:v>0</c:v>
                </c:pt>
                <c:pt idx="11">
                  <c:v>0.24827586206896551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2.298850574712636E-2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2.8735632183908136E-2</c:v>
                </c:pt>
                <c:pt idx="26">
                  <c:v>0</c:v>
                </c:pt>
                <c:pt idx="27">
                  <c:v>0.24827586206896571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5.1724137931034496E-2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4F-48A2-814E-7F9EA1F519A6}"/>
            </c:ext>
          </c:extLst>
        </c:ser>
        <c:ser>
          <c:idx val="4"/>
          <c:order val="4"/>
          <c:tx>
            <c:strRef>
              <c:f>Frontdesk!$T$2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Frontdesk!$A$4:$A$36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Frontdesk!$U$4:$U$36</c:f>
              <c:numCache>
                <c:formatCode>0%</c:formatCode>
                <c:ptCount val="33"/>
                <c:pt idx="0">
                  <c:v>0</c:v>
                </c:pt>
                <c:pt idx="1">
                  <c:v>2.5287356321838723E-2</c:v>
                </c:pt>
                <c:pt idx="2">
                  <c:v>0.17241379310344826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6.0919540229885043E-2</c:v>
                </c:pt>
                <c:pt idx="7">
                  <c:v>0</c:v>
                </c:pt>
                <c:pt idx="8">
                  <c:v>0</c:v>
                </c:pt>
                <c:pt idx="9">
                  <c:v>0.14137931034482776</c:v>
                </c:pt>
                <c:pt idx="10">
                  <c:v>0</c:v>
                </c:pt>
                <c:pt idx="11">
                  <c:v>0.24827586206896551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2.298850574712636E-2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2.8735632183908136E-2</c:v>
                </c:pt>
                <c:pt idx="26">
                  <c:v>0</c:v>
                </c:pt>
                <c:pt idx="27">
                  <c:v>0.24827586206896571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5.1724137931034496E-2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4F-48A2-814E-7F9EA1F51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8810160"/>
        <c:axId val="578802616"/>
      </c:barChart>
      <c:catAx>
        <c:axId val="578810160"/>
        <c:scaling>
          <c:orientation val="minMax"/>
        </c:scaling>
        <c:delete val="0"/>
        <c:axPos val="b"/>
        <c:majorTickMark val="out"/>
        <c:minorTickMark val="none"/>
        <c:tickLblPos val="nextTo"/>
        <c:crossAx val="578802616"/>
        <c:crosses val="autoZero"/>
        <c:auto val="1"/>
        <c:lblAlgn val="ctr"/>
        <c:lblOffset val="100"/>
        <c:tickLblSkip val="1"/>
        <c:noMultiLvlLbl val="0"/>
      </c:catAx>
      <c:valAx>
        <c:axId val="5788026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78810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Frontdesk!$V$2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Frontdesk!$W$4:$W$36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56-4F8A-B680-FA92C1C99115}"/>
            </c:ext>
          </c:extLst>
        </c:ser>
        <c:ser>
          <c:idx val="1"/>
          <c:order val="1"/>
          <c:tx>
            <c:strRef>
              <c:f>Frontdesk!$X$2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Frontdesk!$Y$4:$Y$36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4.2016806722688918E-3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0.53781512605042014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0.45798319327731091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56-4F8A-B680-FA92C1C99115}"/>
            </c:ext>
          </c:extLst>
        </c:ser>
        <c:ser>
          <c:idx val="2"/>
          <c:order val="2"/>
          <c:tx>
            <c:strRef>
              <c:f>Frontdesk!$Z$2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Frontdesk!$AA$4:$AA$36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56-4F8A-B680-FA92C1C99115}"/>
            </c:ext>
          </c:extLst>
        </c:ser>
        <c:ser>
          <c:idx val="3"/>
          <c:order val="3"/>
          <c:tx>
            <c:strRef>
              <c:f>Frontdesk!$AB$2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Frontdesk!$AC$4:$AC$36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6.3897763578277074E-3</c:v>
                </c:pt>
                <c:pt idx="7">
                  <c:v>0</c:v>
                </c:pt>
                <c:pt idx="8">
                  <c:v>4.4728434504792164E-2</c:v>
                </c:pt>
                <c:pt idx="9">
                  <c:v>9.90415335463255E-2</c:v>
                </c:pt>
                <c:pt idx="10">
                  <c:v>0</c:v>
                </c:pt>
                <c:pt idx="11">
                  <c:v>1.5974440894568884E-2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0.40894568690095845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7.6677316293929931E-2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0.34824281150159736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56-4F8A-B680-FA92C1C99115}"/>
            </c:ext>
          </c:extLst>
        </c:ser>
        <c:ser>
          <c:idx val="4"/>
          <c:order val="4"/>
          <c:tx>
            <c:strRef>
              <c:f>Frontdesk!$AD$2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Frontdesk!$A$4:$A$36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Frontdesk!$AE$4:$AE$36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3.16925151719488E-2</c:v>
                </c:pt>
                <c:pt idx="7">
                  <c:v>0</c:v>
                </c:pt>
                <c:pt idx="8">
                  <c:v>0.10721510451786924</c:v>
                </c:pt>
                <c:pt idx="9">
                  <c:v>3.9784221173297364E-2</c:v>
                </c:pt>
                <c:pt idx="10">
                  <c:v>0</c:v>
                </c:pt>
                <c:pt idx="11">
                  <c:v>2.0229265003371525E-2</c:v>
                </c:pt>
                <c:pt idx="12">
                  <c:v>0</c:v>
                </c:pt>
                <c:pt idx="13">
                  <c:v>1.8206338503034391E-2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8.6311530681051934E-2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3.7086985839514447E-2</c:v>
                </c:pt>
                <c:pt idx="27">
                  <c:v>0.58597437626432902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7.3499662845583291E-2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56-4F8A-B680-FA92C1C9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8839352"/>
        <c:axId val="578833120"/>
      </c:barChart>
      <c:catAx>
        <c:axId val="578839352"/>
        <c:scaling>
          <c:orientation val="minMax"/>
        </c:scaling>
        <c:delete val="0"/>
        <c:axPos val="b"/>
        <c:majorTickMark val="out"/>
        <c:minorTickMark val="none"/>
        <c:tickLblPos val="nextTo"/>
        <c:crossAx val="578833120"/>
        <c:crosses val="autoZero"/>
        <c:auto val="1"/>
        <c:lblAlgn val="ctr"/>
        <c:lblOffset val="100"/>
        <c:tickLblSkip val="1"/>
        <c:noMultiLvlLbl val="0"/>
      </c:catAx>
      <c:valAx>
        <c:axId val="5788331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78839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IT!$B$2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IT!$C$4:$C$36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1D-4F4D-990E-97D1DEA7BBED}"/>
            </c:ext>
          </c:extLst>
        </c:ser>
        <c:ser>
          <c:idx val="1"/>
          <c:order val="1"/>
          <c:tx>
            <c:strRef>
              <c:f>IT!$D$2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IT!$E$4:$E$36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6.5822784810126753E-2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5.3164556962025288E-2</c:v>
                </c:pt>
                <c:pt idx="25">
                  <c:v>0.17974683544303779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0.58481012658227849</c:v>
                </c:pt>
                <c:pt idx="31">
                  <c:v>0.11645569620253171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1D-4F4D-990E-97D1DEA7BBED}"/>
            </c:ext>
          </c:extLst>
        </c:ser>
        <c:ser>
          <c:idx val="2"/>
          <c:order val="2"/>
          <c:tx>
            <c:strRef>
              <c:f>IT!$F$2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IT!$G$4:$G$36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1D-4F4D-990E-97D1DEA7BBED}"/>
            </c:ext>
          </c:extLst>
        </c:ser>
        <c:ser>
          <c:idx val="3"/>
          <c:order val="3"/>
          <c:tx>
            <c:strRef>
              <c:f>IT!$H$2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IT!$I$4:$I$36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6.1971830985915667E-2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3.7558685446009857E-3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7.0422535211267664E-2</c:v>
                </c:pt>
                <c:pt idx="25">
                  <c:v>0.13239436619718295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9.3896713615023147E-3</c:v>
                </c:pt>
                <c:pt idx="30">
                  <c:v>0.44788732394366193</c:v>
                </c:pt>
                <c:pt idx="31">
                  <c:v>0.27417840375586855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1D-4F4D-990E-97D1DEA7BBED}"/>
            </c:ext>
          </c:extLst>
        </c:ser>
        <c:ser>
          <c:idx val="4"/>
          <c:order val="4"/>
          <c:tx>
            <c:strRef>
              <c:f>IT!$J$2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IT!$A$4:$A$36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IT!$K$4:$K$36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6.3897763578274897E-2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2.5559105431309886E-2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5.9904153354632617E-2</c:v>
                </c:pt>
                <c:pt idx="25">
                  <c:v>0.13817891373801905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7.9872204472843152E-3</c:v>
                </c:pt>
                <c:pt idx="30">
                  <c:v>0.46246006389776345</c:v>
                </c:pt>
                <c:pt idx="31">
                  <c:v>0.24201277955271563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1D-4F4D-990E-97D1DEA7B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236496"/>
        <c:axId val="402241744"/>
      </c:barChart>
      <c:catAx>
        <c:axId val="402236496"/>
        <c:scaling>
          <c:orientation val="minMax"/>
        </c:scaling>
        <c:delete val="0"/>
        <c:axPos val="b"/>
        <c:majorTickMark val="out"/>
        <c:minorTickMark val="none"/>
        <c:tickLblPos val="nextTo"/>
        <c:crossAx val="402241744"/>
        <c:crosses val="autoZero"/>
        <c:auto val="1"/>
        <c:lblAlgn val="ctr"/>
        <c:lblOffset val="100"/>
        <c:tickLblSkip val="1"/>
        <c:noMultiLvlLbl val="0"/>
      </c:catAx>
      <c:valAx>
        <c:axId val="4022417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022364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IT!$L$2</c:f>
              <c:strCache>
                <c:ptCount val="1"/>
                <c:pt idx="0">
                  <c:v>12/1/2018</c:v>
                </c:pt>
              </c:strCache>
            </c:strRef>
          </c:tx>
          <c:invertIfNegative val="0"/>
          <c:val>
            <c:numRef>
              <c:f>IT!$M$4:$M$36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1-4C91-8917-D562894146B4}"/>
            </c:ext>
          </c:extLst>
        </c:ser>
        <c:ser>
          <c:idx val="1"/>
          <c:order val="1"/>
          <c:tx>
            <c:strRef>
              <c:f>IT!$N$2</c:f>
              <c:strCache>
                <c:ptCount val="1"/>
                <c:pt idx="0">
                  <c:v>12/8/2018</c:v>
                </c:pt>
              </c:strCache>
            </c:strRef>
          </c:tx>
          <c:invertIfNegative val="0"/>
          <c:val>
            <c:numRef>
              <c:f>IT!$O$4:$O$36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81-4C91-8917-D562894146B4}"/>
            </c:ext>
          </c:extLst>
        </c:ser>
        <c:ser>
          <c:idx val="2"/>
          <c:order val="2"/>
          <c:tx>
            <c:strRef>
              <c:f>IT!$P$2</c:f>
              <c:strCache>
                <c:ptCount val="1"/>
                <c:pt idx="0">
                  <c:v>12/15/2018</c:v>
                </c:pt>
              </c:strCache>
            </c:strRef>
          </c:tx>
          <c:invertIfNegative val="0"/>
          <c:val>
            <c:numRef>
              <c:f>IT!$Q$4:$Q$36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81-4C91-8917-D562894146B4}"/>
            </c:ext>
          </c:extLst>
        </c:ser>
        <c:ser>
          <c:idx val="3"/>
          <c:order val="3"/>
          <c:tx>
            <c:strRef>
              <c:f>IT!$R$2</c:f>
              <c:strCache>
                <c:ptCount val="1"/>
                <c:pt idx="0">
                  <c:v>12/22/2018</c:v>
                </c:pt>
              </c:strCache>
            </c:strRef>
          </c:tx>
          <c:invertIfNegative val="0"/>
          <c:val>
            <c:numRef>
              <c:f>IT!$S$4:$S$36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2.5477707006369775E-2</c:v>
                </c:pt>
                <c:pt idx="7">
                  <c:v>0</c:v>
                </c:pt>
                <c:pt idx="8">
                  <c:v>4.9135577797998153E-2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0.53958143767060962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3.9126478616924483E-2</c:v>
                </c:pt>
                <c:pt idx="30">
                  <c:v>0</c:v>
                </c:pt>
                <c:pt idx="31">
                  <c:v>3.730664240218378E-2</c:v>
                </c:pt>
                <c:pt idx="32">
                  <c:v>0.30937215650591426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81-4C91-8917-D562894146B4}"/>
            </c:ext>
          </c:extLst>
        </c:ser>
        <c:ser>
          <c:idx val="4"/>
          <c:order val="4"/>
          <c:tx>
            <c:strRef>
              <c:f>IT!$T$2</c:f>
              <c:strCache>
                <c:ptCount val="1"/>
                <c:pt idx="0">
                  <c:v>12/29/2018</c:v>
                </c:pt>
              </c:strCache>
            </c:strRef>
          </c:tx>
          <c:invertIfNegative val="0"/>
          <c:cat>
            <c:strRef>
              <c:f>IT!$A$4:$A$36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12. HR ODS &amp; MD</c:v>
                </c:pt>
                <c:pt idx="13">
                  <c:v>13. HR California</c:v>
                </c:pt>
                <c:pt idx="14">
                  <c:v>14. Insurance</c:v>
                </c:pt>
                <c:pt idx="15">
                  <c:v>15. Inventory maintenance</c:v>
                </c:pt>
                <c:pt idx="16">
                  <c:v>16. Management</c:v>
                </c:pt>
                <c:pt idx="17">
                  <c:v>17. Marketing</c:v>
                </c:pt>
                <c:pt idx="18">
                  <c:v>18. Meeting</c:v>
                </c:pt>
                <c:pt idx="19">
                  <c:v>19. Odessa office</c:v>
                </c:pt>
                <c:pt idx="20">
                  <c:v>20. Payroll</c:v>
                </c:pt>
                <c:pt idx="21">
                  <c:v>21. Purchase technology</c:v>
                </c:pt>
                <c:pt idx="22">
                  <c:v>22. Recruitment</c:v>
                </c:pt>
                <c:pt idx="23">
                  <c:v>22.1. Recruitment MD/ODS</c:v>
                </c:pt>
                <c:pt idx="24">
                  <c:v>22. Reports</c:v>
                </c:pt>
                <c:pt idx="25">
                  <c:v>23. Research</c:v>
                </c:pt>
                <c:pt idx="26">
                  <c:v>24. Scanning</c:v>
                </c:pt>
                <c:pt idx="27">
                  <c:v>24.1. Filing</c:v>
                </c:pt>
                <c:pt idx="28">
                  <c:v>25. Scheduling</c:v>
                </c:pt>
                <c:pt idx="29">
                  <c:v>26. Software</c:v>
                </c:pt>
                <c:pt idx="30">
                  <c:v>27. Technical maintenance</c:v>
                </c:pt>
                <c:pt idx="31">
                  <c:v>28. Technical support</c:v>
                </c:pt>
                <c:pt idx="32">
                  <c:v>29. Training</c:v>
                </c:pt>
              </c:strCache>
            </c:strRef>
          </c:cat>
          <c:val>
            <c:numRef>
              <c:f>IT!$U$4:$U$36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81-4C91-8917-D56289414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5391456"/>
        <c:axId val="585387520"/>
      </c:barChart>
      <c:catAx>
        <c:axId val="585391456"/>
        <c:scaling>
          <c:orientation val="minMax"/>
        </c:scaling>
        <c:delete val="0"/>
        <c:axPos val="b"/>
        <c:majorTickMark val="out"/>
        <c:minorTickMark val="none"/>
        <c:tickLblPos val="nextTo"/>
        <c:crossAx val="585387520"/>
        <c:crosses val="autoZero"/>
        <c:auto val="1"/>
        <c:lblAlgn val="ctr"/>
        <c:lblOffset val="100"/>
        <c:tickLblSkip val="1"/>
        <c:noMultiLvlLbl val="0"/>
      </c:catAx>
      <c:valAx>
        <c:axId val="5853875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85391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5</xdr:row>
          <xdr:rowOff>19050</xdr:rowOff>
        </xdr:from>
        <xdr:to>
          <xdr:col>21</xdr:col>
          <xdr:colOff>9525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 Directories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22</xdr:col>
          <xdr:colOff>400050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9</xdr:row>
          <xdr:rowOff>19050</xdr:rowOff>
        </xdr:from>
        <xdr:to>
          <xdr:col>23</xdr:col>
          <xdr:colOff>600075</xdr:colOff>
          <xdr:row>13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COLLECTED DATA TO TABLES BY DEPARTMENTS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14</xdr:row>
          <xdr:rowOff>28575</xdr:rowOff>
        </xdr:from>
        <xdr:to>
          <xdr:col>21</xdr:col>
          <xdr:colOff>600075</xdr:colOff>
          <xdr:row>16</xdr:row>
          <xdr:rowOff>200025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18</xdr:row>
          <xdr:rowOff>0</xdr:rowOff>
        </xdr:from>
        <xdr:to>
          <xdr:col>25</xdr:col>
          <xdr:colOff>28575</xdr:colOff>
          <xdr:row>22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SIMPLE EXPORT BY DEPARTMENTS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56</xdr:row>
      <xdr:rowOff>0</xdr:rowOff>
    </xdr:from>
    <xdr:to>
      <xdr:col>11</xdr:col>
      <xdr:colOff>0</xdr:colOff>
      <xdr:row>82</xdr:row>
      <xdr:rowOff>0</xdr:rowOff>
    </xdr:to>
    <xdr:graphicFrame macro="">
      <xdr:nvGraphicFramePr>
        <xdr:cNvPr id="2" name="abc_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56</xdr:row>
      <xdr:rowOff>0</xdr:rowOff>
    </xdr:from>
    <xdr:to>
      <xdr:col>11</xdr:col>
      <xdr:colOff>0</xdr:colOff>
      <xdr:row>82</xdr:row>
      <xdr:rowOff>0</xdr:rowOff>
    </xdr:to>
    <xdr:graphicFrame macro="">
      <xdr:nvGraphicFramePr>
        <xdr:cNvPr id="2" name="abc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21</xdr:col>
      <xdr:colOff>0</xdr:colOff>
      <xdr:row>82</xdr:row>
      <xdr:rowOff>0</xdr:rowOff>
    </xdr:to>
    <xdr:graphicFrame macro="">
      <xdr:nvGraphicFramePr>
        <xdr:cNvPr id="3" name="abc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56</xdr:row>
      <xdr:rowOff>0</xdr:rowOff>
    </xdr:from>
    <xdr:to>
      <xdr:col>11</xdr:col>
      <xdr:colOff>0</xdr:colOff>
      <xdr:row>82</xdr:row>
      <xdr:rowOff>0</xdr:rowOff>
    </xdr:to>
    <xdr:graphicFrame macro="">
      <xdr:nvGraphicFramePr>
        <xdr:cNvPr id="2" name="abc_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21</xdr:col>
      <xdr:colOff>0</xdr:colOff>
      <xdr:row>82</xdr:row>
      <xdr:rowOff>0</xdr:rowOff>
    </xdr:to>
    <xdr:graphicFrame macro="">
      <xdr:nvGraphicFramePr>
        <xdr:cNvPr id="3" name="abc_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56</xdr:row>
      <xdr:rowOff>0</xdr:rowOff>
    </xdr:from>
    <xdr:to>
      <xdr:col>11</xdr:col>
      <xdr:colOff>0</xdr:colOff>
      <xdr:row>82</xdr:row>
      <xdr:rowOff>0</xdr:rowOff>
    </xdr:to>
    <xdr:graphicFrame macro="">
      <xdr:nvGraphicFramePr>
        <xdr:cNvPr id="2" name="abc_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21</xdr:col>
      <xdr:colOff>0</xdr:colOff>
      <xdr:row>82</xdr:row>
      <xdr:rowOff>0</xdr:rowOff>
    </xdr:to>
    <xdr:graphicFrame macro="">
      <xdr:nvGraphicFramePr>
        <xdr:cNvPr id="3" name="abc_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31</xdr:col>
      <xdr:colOff>0</xdr:colOff>
      <xdr:row>82</xdr:row>
      <xdr:rowOff>0</xdr:rowOff>
    </xdr:to>
    <xdr:graphicFrame macro="">
      <xdr:nvGraphicFramePr>
        <xdr:cNvPr id="4" name="abc_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56</xdr:row>
      <xdr:rowOff>0</xdr:rowOff>
    </xdr:from>
    <xdr:to>
      <xdr:col>41</xdr:col>
      <xdr:colOff>0</xdr:colOff>
      <xdr:row>82</xdr:row>
      <xdr:rowOff>0</xdr:rowOff>
    </xdr:to>
    <xdr:graphicFrame macro="">
      <xdr:nvGraphicFramePr>
        <xdr:cNvPr id="5" name="abc_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39</xdr:row>
      <xdr:rowOff>0</xdr:rowOff>
    </xdr:from>
    <xdr:to>
      <xdr:col>11</xdr:col>
      <xdr:colOff>0</xdr:colOff>
      <xdr:row>65</xdr:row>
      <xdr:rowOff>0</xdr:rowOff>
    </xdr:to>
    <xdr:graphicFrame macro="">
      <xdr:nvGraphicFramePr>
        <xdr:cNvPr id="2" name="abc_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39</xdr:row>
      <xdr:rowOff>0</xdr:rowOff>
    </xdr:from>
    <xdr:to>
      <xdr:col>21</xdr:col>
      <xdr:colOff>0</xdr:colOff>
      <xdr:row>65</xdr:row>
      <xdr:rowOff>0</xdr:rowOff>
    </xdr:to>
    <xdr:graphicFrame macro="">
      <xdr:nvGraphicFramePr>
        <xdr:cNvPr id="3" name="abc_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39</xdr:row>
      <xdr:rowOff>0</xdr:rowOff>
    </xdr:from>
    <xdr:to>
      <xdr:col>31</xdr:col>
      <xdr:colOff>0</xdr:colOff>
      <xdr:row>65</xdr:row>
      <xdr:rowOff>0</xdr:rowOff>
    </xdr:to>
    <xdr:graphicFrame macro="">
      <xdr:nvGraphicFramePr>
        <xdr:cNvPr id="4" name="abc_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39</xdr:row>
      <xdr:rowOff>0</xdr:rowOff>
    </xdr:from>
    <xdr:to>
      <xdr:col>41</xdr:col>
      <xdr:colOff>0</xdr:colOff>
      <xdr:row>65</xdr:row>
      <xdr:rowOff>0</xdr:rowOff>
    </xdr:to>
    <xdr:graphicFrame macro="">
      <xdr:nvGraphicFramePr>
        <xdr:cNvPr id="5" name="abc_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0</xdr:colOff>
      <xdr:row>39</xdr:row>
      <xdr:rowOff>0</xdr:rowOff>
    </xdr:from>
    <xdr:to>
      <xdr:col>51</xdr:col>
      <xdr:colOff>0</xdr:colOff>
      <xdr:row>65</xdr:row>
      <xdr:rowOff>0</xdr:rowOff>
    </xdr:to>
    <xdr:graphicFrame macro="">
      <xdr:nvGraphicFramePr>
        <xdr:cNvPr id="6" name="abc_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39</xdr:row>
      <xdr:rowOff>0</xdr:rowOff>
    </xdr:from>
    <xdr:to>
      <xdr:col>11</xdr:col>
      <xdr:colOff>0</xdr:colOff>
      <xdr:row>65</xdr:row>
      <xdr:rowOff>0</xdr:rowOff>
    </xdr:to>
    <xdr:graphicFrame macro="">
      <xdr:nvGraphicFramePr>
        <xdr:cNvPr id="7" name="abc_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39</xdr:row>
      <xdr:rowOff>0</xdr:rowOff>
    </xdr:from>
    <xdr:to>
      <xdr:col>11</xdr:col>
      <xdr:colOff>0</xdr:colOff>
      <xdr:row>65</xdr:row>
      <xdr:rowOff>0</xdr:rowOff>
    </xdr:to>
    <xdr:graphicFrame macro="">
      <xdr:nvGraphicFramePr>
        <xdr:cNvPr id="2" name="abc_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39</xdr:row>
      <xdr:rowOff>0</xdr:rowOff>
    </xdr:from>
    <xdr:to>
      <xdr:col>21</xdr:col>
      <xdr:colOff>0</xdr:colOff>
      <xdr:row>65</xdr:row>
      <xdr:rowOff>0</xdr:rowOff>
    </xdr:to>
    <xdr:graphicFrame macro="">
      <xdr:nvGraphicFramePr>
        <xdr:cNvPr id="3" name="abc_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39</xdr:row>
      <xdr:rowOff>0</xdr:rowOff>
    </xdr:from>
    <xdr:to>
      <xdr:col>31</xdr:col>
      <xdr:colOff>0</xdr:colOff>
      <xdr:row>65</xdr:row>
      <xdr:rowOff>0</xdr:rowOff>
    </xdr:to>
    <xdr:graphicFrame macro="">
      <xdr:nvGraphicFramePr>
        <xdr:cNvPr id="4" name="abc_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39</xdr:row>
      <xdr:rowOff>0</xdr:rowOff>
    </xdr:from>
    <xdr:to>
      <xdr:col>41</xdr:col>
      <xdr:colOff>0</xdr:colOff>
      <xdr:row>65</xdr:row>
      <xdr:rowOff>0</xdr:rowOff>
    </xdr:to>
    <xdr:graphicFrame macro="">
      <xdr:nvGraphicFramePr>
        <xdr:cNvPr id="5" name="abc_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39</xdr:row>
      <xdr:rowOff>0</xdr:rowOff>
    </xdr:from>
    <xdr:to>
      <xdr:col>11</xdr:col>
      <xdr:colOff>0</xdr:colOff>
      <xdr:row>65</xdr:row>
      <xdr:rowOff>0</xdr:rowOff>
    </xdr:to>
    <xdr:graphicFrame macro="">
      <xdr:nvGraphicFramePr>
        <xdr:cNvPr id="2" name="abc_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39</xdr:row>
      <xdr:rowOff>0</xdr:rowOff>
    </xdr:from>
    <xdr:to>
      <xdr:col>21</xdr:col>
      <xdr:colOff>0</xdr:colOff>
      <xdr:row>65</xdr:row>
      <xdr:rowOff>0</xdr:rowOff>
    </xdr:to>
    <xdr:graphicFrame macro="">
      <xdr:nvGraphicFramePr>
        <xdr:cNvPr id="3" name="abc_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39</xdr:row>
      <xdr:rowOff>0</xdr:rowOff>
    </xdr:from>
    <xdr:to>
      <xdr:col>31</xdr:col>
      <xdr:colOff>0</xdr:colOff>
      <xdr:row>65</xdr:row>
      <xdr:rowOff>0</xdr:rowOff>
    </xdr:to>
    <xdr:graphicFrame macro="">
      <xdr:nvGraphicFramePr>
        <xdr:cNvPr id="4" name="abc_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39</xdr:row>
      <xdr:rowOff>0</xdr:rowOff>
    </xdr:from>
    <xdr:to>
      <xdr:col>41</xdr:col>
      <xdr:colOff>0</xdr:colOff>
      <xdr:row>65</xdr:row>
      <xdr:rowOff>0</xdr:rowOff>
    </xdr:to>
    <xdr:graphicFrame macro="">
      <xdr:nvGraphicFramePr>
        <xdr:cNvPr id="5" name="abc_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39</xdr:row>
      <xdr:rowOff>0</xdr:rowOff>
    </xdr:from>
    <xdr:to>
      <xdr:col>11</xdr:col>
      <xdr:colOff>0</xdr:colOff>
      <xdr:row>65</xdr:row>
      <xdr:rowOff>0</xdr:rowOff>
    </xdr:to>
    <xdr:graphicFrame macro="">
      <xdr:nvGraphicFramePr>
        <xdr:cNvPr id="2" name="abc_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39</xdr:row>
      <xdr:rowOff>0</xdr:rowOff>
    </xdr:from>
    <xdr:to>
      <xdr:col>11</xdr:col>
      <xdr:colOff>0</xdr:colOff>
      <xdr:row>65</xdr:row>
      <xdr:rowOff>0</xdr:rowOff>
    </xdr:to>
    <xdr:graphicFrame macro="">
      <xdr:nvGraphicFramePr>
        <xdr:cNvPr id="2" name="abc_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39</xdr:row>
      <xdr:rowOff>0</xdr:rowOff>
    </xdr:from>
    <xdr:to>
      <xdr:col>21</xdr:col>
      <xdr:colOff>0</xdr:colOff>
      <xdr:row>65</xdr:row>
      <xdr:rowOff>0</xdr:rowOff>
    </xdr:to>
    <xdr:graphicFrame macro="">
      <xdr:nvGraphicFramePr>
        <xdr:cNvPr id="3" name="abc_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39</xdr:row>
      <xdr:rowOff>0</xdr:rowOff>
    </xdr:from>
    <xdr:to>
      <xdr:col>31</xdr:col>
      <xdr:colOff>0</xdr:colOff>
      <xdr:row>65</xdr:row>
      <xdr:rowOff>0</xdr:rowOff>
    </xdr:to>
    <xdr:graphicFrame macro="">
      <xdr:nvGraphicFramePr>
        <xdr:cNvPr id="4" name="abc_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39</xdr:row>
      <xdr:rowOff>0</xdr:rowOff>
    </xdr:from>
    <xdr:to>
      <xdr:col>41</xdr:col>
      <xdr:colOff>0</xdr:colOff>
      <xdr:row>65</xdr:row>
      <xdr:rowOff>0</xdr:rowOff>
    </xdr:to>
    <xdr:graphicFrame macro="">
      <xdr:nvGraphicFramePr>
        <xdr:cNvPr id="5" name="abc_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39</xdr:row>
      <xdr:rowOff>0</xdr:rowOff>
    </xdr:from>
    <xdr:to>
      <xdr:col>11</xdr:col>
      <xdr:colOff>0</xdr:colOff>
      <xdr:row>65</xdr:row>
      <xdr:rowOff>0</xdr:rowOff>
    </xdr:to>
    <xdr:graphicFrame macro="">
      <xdr:nvGraphicFramePr>
        <xdr:cNvPr id="6" name="abc_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39</xdr:row>
      <xdr:rowOff>0</xdr:rowOff>
    </xdr:from>
    <xdr:to>
      <xdr:col>11</xdr:col>
      <xdr:colOff>0</xdr:colOff>
      <xdr:row>65</xdr:row>
      <xdr:rowOff>0</xdr:rowOff>
    </xdr:to>
    <xdr:graphicFrame macro="">
      <xdr:nvGraphicFramePr>
        <xdr:cNvPr id="2" name="abc_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39</xdr:row>
      <xdr:rowOff>0</xdr:rowOff>
    </xdr:from>
    <xdr:to>
      <xdr:col>21</xdr:col>
      <xdr:colOff>0</xdr:colOff>
      <xdr:row>65</xdr:row>
      <xdr:rowOff>0</xdr:rowOff>
    </xdr:to>
    <xdr:graphicFrame macro="">
      <xdr:nvGraphicFramePr>
        <xdr:cNvPr id="3" name="abc_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39</xdr:row>
      <xdr:rowOff>0</xdr:rowOff>
    </xdr:from>
    <xdr:to>
      <xdr:col>31</xdr:col>
      <xdr:colOff>0</xdr:colOff>
      <xdr:row>65</xdr:row>
      <xdr:rowOff>0</xdr:rowOff>
    </xdr:to>
    <xdr:graphicFrame macro="">
      <xdr:nvGraphicFramePr>
        <xdr:cNvPr id="4" name="abc_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39</xdr:row>
      <xdr:rowOff>0</xdr:rowOff>
    </xdr:from>
    <xdr:to>
      <xdr:col>11</xdr:col>
      <xdr:colOff>0</xdr:colOff>
      <xdr:row>65</xdr:row>
      <xdr:rowOff>0</xdr:rowOff>
    </xdr:to>
    <xdr:graphicFrame macro="">
      <xdr:nvGraphicFramePr>
        <xdr:cNvPr id="2" name="abc_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39</xdr:row>
      <xdr:rowOff>0</xdr:rowOff>
    </xdr:from>
    <xdr:to>
      <xdr:col>21</xdr:col>
      <xdr:colOff>0</xdr:colOff>
      <xdr:row>65</xdr:row>
      <xdr:rowOff>0</xdr:rowOff>
    </xdr:to>
    <xdr:graphicFrame macro="">
      <xdr:nvGraphicFramePr>
        <xdr:cNvPr id="3" name="abc_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sProgram310_v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tchCreate"/>
      <sheetName val="MAIN"/>
      <sheetName val="TOTAL"/>
      <sheetName val="MASTER"/>
      <sheetName val="MASTER TOTAL"/>
      <sheetName val="Categories"/>
      <sheetName val="macrosProgram310_v02"/>
    </sheetNames>
    <sheetDataSet>
      <sheetData sheetId="0"/>
      <sheetData sheetId="1">
        <row r="76">
          <cell r="O76" t="str">
            <v>O78:O98</v>
          </cell>
        </row>
        <row r="77">
          <cell r="O77" t="str">
            <v>Category</v>
          </cell>
          <cell r="S77" t="str">
            <v>January</v>
          </cell>
        </row>
        <row r="78">
          <cell r="S78" t="str">
            <v>February</v>
          </cell>
        </row>
        <row r="79">
          <cell r="S79" t="str">
            <v>March</v>
          </cell>
        </row>
        <row r="80">
          <cell r="S80" t="str">
            <v>April</v>
          </cell>
        </row>
        <row r="81">
          <cell r="S81" t="str">
            <v>May</v>
          </cell>
        </row>
        <row r="82">
          <cell r="S82" t="str">
            <v>June</v>
          </cell>
        </row>
        <row r="83">
          <cell r="S83" t="str">
            <v>July</v>
          </cell>
        </row>
        <row r="84">
          <cell r="S84" t="str">
            <v>August</v>
          </cell>
        </row>
        <row r="85">
          <cell r="S85" t="str">
            <v>September</v>
          </cell>
        </row>
        <row r="86">
          <cell r="S86" t="str">
            <v>October</v>
          </cell>
        </row>
        <row r="87">
          <cell r="S87" t="str">
            <v>November</v>
          </cell>
        </row>
        <row r="88">
          <cell r="S88" t="str">
            <v>December</v>
          </cell>
        </row>
      </sheetData>
      <sheetData sheetId="2"/>
      <sheetData sheetId="3"/>
      <sheetData sheetId="4"/>
      <sheetData sheetId="5"/>
      <sheetData sheetId="6" refreshError="1"/>
    </sheetDataSet>
  </externalBook>
</externalLink>
</file>

<file path=xl/tables/table1.xml><?xml version="1.0" encoding="utf-8"?>
<table xmlns="http://schemas.openxmlformats.org/spreadsheetml/2006/main" id="2" name="BatchList" displayName="BatchList" ref="B2:R35" totalsRowShown="0" dataDxfId="16">
  <autoFilter ref="B2:R35"/>
  <tableColumns count="17">
    <tableColumn id="1" name="First and Last Name"/>
    <tableColumn id="2" name="Month" dataDxfId="15"/>
    <tableColumn id="3" name="Year" dataDxfId="14"/>
    <tableColumn id="4" name="CA/TX" dataDxfId="13"/>
    <tableColumn id="5" name="d" dataDxfId="12">
      <calculatedColumnFormula>MATCH(C3,[1]MAIN!$S$77:$S$88,0)</calculatedColumnFormula>
    </tableColumn>
    <tableColumn id="6" name="da" dataDxfId="11">
      <calculatedColumnFormula>CONCATENATE(F3,"/","01","/",D3)</calculatedColumnFormula>
    </tableColumn>
    <tableColumn id="7" name="dda" dataDxfId="10">
      <calculatedColumnFormula>DATEVALUE(G3)</calculatedColumnFormula>
    </tableColumn>
    <tableColumn id="8" name="weekday" dataDxfId="9">
      <calculatedColumnFormula>WEEKDAY(H3,2)</calculatedColumnFormula>
    </tableColumn>
    <tableColumn id="9" name="maxday" dataDxfId="8">
      <calculatedColumnFormula>DAY(EOMONTH($H3,0))</calculatedColumnFormula>
    </tableColumn>
    <tableColumn id="10" name="Folder Location" dataDxfId="7"/>
    <tableColumn id="11" name="FileName" dataDxfId="6">
      <calculatedColumnFormula>CONCATENATE("310 - ",[1]!BatchList[First and Last Name]," - ",LEFT([1]!BatchList[Month],3),"_",[1]!BatchList[Year])</calculatedColumnFormula>
    </tableColumn>
    <tableColumn id="12" name="TaxiService" dataDxfId="5"/>
    <tableColumn id="13" name="FinalFolder" dataDxfId="4">
      <calculatedColumnFormula>CONCATENATE([1]!BatchList[Folder Location],"\",[1]!BatchList[FileName],".xlsx")</calculatedColumnFormula>
    </tableColumn>
    <tableColumn id="14" name="AddFileName" dataDxfId="3">
      <calculatedColumnFormula>CONCATENATE([1]!BatchList[Folder Location],"\",[1]!BatchList[FileName],"_NEWLY_ADDED",".xlsx")</calculatedColumnFormula>
    </tableColumn>
    <tableColumn id="15" name="Added" dataDxfId="2"/>
    <tableColumn id="16" name="NoData" dataDxfId="1"/>
    <tableColumn id="19" name="AltFileName by D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P7"/>
  <sheetViews>
    <sheetView topLeftCell="AT1" workbookViewId="0">
      <selection activeCell="BB2" sqref="BB2:FB2"/>
    </sheetView>
  </sheetViews>
  <sheetFormatPr defaultRowHeight="15" x14ac:dyDescent="0.25"/>
  <cols>
    <col min="2" max="2" width="8.5703125" customWidth="1"/>
    <col min="8" max="8" width="11" customWidth="1"/>
    <col min="9" max="10" width="11.42578125" customWidth="1"/>
    <col min="11" max="11" width="10.85546875" customWidth="1"/>
    <col min="12" max="12" width="12.85546875" customWidth="1"/>
  </cols>
  <sheetData>
    <row r="1" spans="1:198" ht="15.75" thickBot="1" x14ac:dyDescent="0.3">
      <c r="A1" s="60">
        <v>12</v>
      </c>
      <c r="B1" s="60">
        <v>1</v>
      </c>
      <c r="C1">
        <f ca="1">YEAR(NOW())</f>
        <v>2018</v>
      </c>
      <c r="E1" t="str">
        <f ca="1">CONCATENATE(A1,"-",B1,"-",C1)</f>
        <v>12-1-2018</v>
      </c>
      <c r="F1">
        <f ca="1">WEEKDAY(DATE(C1,A1,B1))</f>
        <v>7</v>
      </c>
      <c r="H1" s="61">
        <f ca="1">DATEVALUE(E1)-WEEKDAY(DATEVALUE(E1),1)+7</f>
        <v>43435</v>
      </c>
    </row>
    <row r="2" spans="1:198" ht="15.75" thickBot="1" x14ac:dyDescent="0.3">
      <c r="A2" s="60">
        <v>12</v>
      </c>
      <c r="B2">
        <v>2</v>
      </c>
      <c r="C2" s="39">
        <f ca="1">YEAR(NOW())</f>
        <v>2018</v>
      </c>
      <c r="E2" s="39" t="str">
        <f t="shared" ref="E2:E7" ca="1" si="0">CONCATENATE(A2,"-",B2,"-",C2)</f>
        <v>12-2-2018</v>
      </c>
      <c r="F2" s="39">
        <f t="shared" ref="F2:F7" ca="1" si="1">WEEKDAY(DATE(C2,A2,B2))</f>
        <v>1</v>
      </c>
      <c r="H2" s="62">
        <f ca="1">IF(MONTH(H1+7)=MONTH(H1), H1+7, "")</f>
        <v>43442</v>
      </c>
      <c r="BB2" s="64">
        <f ca="1">SunDates!$H1</f>
        <v>43435</v>
      </c>
      <c r="BC2" s="65"/>
      <c r="BD2" s="64">
        <f ca="1">SunDates!$H2</f>
        <v>43442</v>
      </c>
      <c r="BE2" s="65"/>
      <c r="BF2" s="64">
        <f ca="1">SunDates!$H3</f>
        <v>43449</v>
      </c>
      <c r="BG2" s="65"/>
      <c r="BH2" s="64">
        <f ca="1">SunDates!$H4</f>
        <v>43456</v>
      </c>
      <c r="BI2" s="65"/>
      <c r="BJ2" s="64">
        <f ca="1">SunDates!$H5</f>
        <v>43463</v>
      </c>
      <c r="BK2" s="65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0"/>
      <c r="ED2" s="40"/>
      <c r="EE2" s="40"/>
      <c r="EF2" s="40"/>
      <c r="EG2" s="40"/>
      <c r="EH2" s="40"/>
      <c r="EI2" s="40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0"/>
      <c r="FD2" s="40"/>
      <c r="FE2" s="40"/>
      <c r="FF2" s="40"/>
      <c r="FG2" s="40"/>
      <c r="FH2" s="40"/>
      <c r="FI2" s="40"/>
      <c r="FJ2" s="40"/>
      <c r="FK2" s="40"/>
      <c r="FL2" s="40"/>
      <c r="FM2" s="40"/>
      <c r="FN2" s="40"/>
      <c r="FO2" s="40"/>
      <c r="FP2" s="40"/>
      <c r="FQ2" s="40"/>
      <c r="FR2" s="40"/>
      <c r="FS2" s="40"/>
      <c r="FT2" s="40"/>
      <c r="FU2" s="40"/>
      <c r="FV2" s="40"/>
      <c r="FW2" s="40"/>
      <c r="FX2" s="40"/>
      <c r="FY2" s="40"/>
      <c r="FZ2" s="40"/>
      <c r="GA2" s="40"/>
      <c r="GB2" s="40"/>
      <c r="GC2" s="40"/>
      <c r="GD2" s="40"/>
      <c r="GE2" s="40"/>
      <c r="GF2" s="40"/>
      <c r="GG2" s="40"/>
      <c r="GH2" s="40"/>
      <c r="GI2" s="40"/>
      <c r="GJ2" s="40"/>
      <c r="GK2" s="40"/>
      <c r="GL2" s="40"/>
      <c r="GM2" s="40"/>
      <c r="GN2" s="40"/>
      <c r="GO2" s="40"/>
      <c r="GP2" s="40"/>
    </row>
    <row r="3" spans="1:198" ht="15.75" thickBot="1" x14ac:dyDescent="0.3">
      <c r="A3" s="60">
        <v>12</v>
      </c>
      <c r="B3" s="60">
        <v>3</v>
      </c>
      <c r="C3" s="39">
        <f t="shared" ref="C3:C7" ca="1" si="2">YEAR(NOW())</f>
        <v>2018</v>
      </c>
      <c r="E3" s="39" t="str">
        <f t="shared" ca="1" si="0"/>
        <v>12-3-2018</v>
      </c>
      <c r="F3" s="39">
        <f t="shared" ca="1" si="1"/>
        <v>2</v>
      </c>
      <c r="H3" s="62">
        <f t="shared" ref="H3:H5" ca="1" si="3">IF(MONTH(H2+7)=MONTH(H2), H2+7, "")</f>
        <v>43449</v>
      </c>
    </row>
    <row r="4" spans="1:198" ht="15.75" thickBot="1" x14ac:dyDescent="0.3">
      <c r="A4" s="60">
        <v>12</v>
      </c>
      <c r="B4" s="39">
        <v>4</v>
      </c>
      <c r="C4" s="39">
        <f t="shared" ca="1" si="2"/>
        <v>2018</v>
      </c>
      <c r="E4" s="39" t="str">
        <f t="shared" ca="1" si="0"/>
        <v>12-4-2018</v>
      </c>
      <c r="F4" s="39">
        <f t="shared" ca="1" si="1"/>
        <v>3</v>
      </c>
      <c r="H4" s="62">
        <f t="shared" ca="1" si="3"/>
        <v>43456</v>
      </c>
    </row>
    <row r="5" spans="1:198" ht="15.75" thickBot="1" x14ac:dyDescent="0.3">
      <c r="A5" s="60">
        <v>12</v>
      </c>
      <c r="B5" s="60">
        <v>5</v>
      </c>
      <c r="C5" s="39">
        <f t="shared" ca="1" si="2"/>
        <v>2018</v>
      </c>
      <c r="E5" s="39" t="str">
        <f t="shared" ca="1" si="0"/>
        <v>12-5-2018</v>
      </c>
      <c r="F5" s="39">
        <f t="shared" ca="1" si="1"/>
        <v>4</v>
      </c>
      <c r="H5" s="62">
        <f t="shared" ca="1" si="3"/>
        <v>43463</v>
      </c>
    </row>
    <row r="6" spans="1:198" x14ac:dyDescent="0.25">
      <c r="A6" s="60">
        <v>12</v>
      </c>
      <c r="B6" s="39">
        <v>6</v>
      </c>
      <c r="C6" s="39">
        <f t="shared" ca="1" si="2"/>
        <v>2018</v>
      </c>
      <c r="E6" s="39" t="str">
        <f t="shared" ca="1" si="0"/>
        <v>12-6-2018</v>
      </c>
      <c r="F6" s="39">
        <f t="shared" ca="1" si="1"/>
        <v>5</v>
      </c>
    </row>
    <row r="7" spans="1:198" x14ac:dyDescent="0.25">
      <c r="A7" s="60">
        <v>12</v>
      </c>
      <c r="B7" s="60">
        <v>7</v>
      </c>
      <c r="C7" s="39">
        <f t="shared" ca="1" si="2"/>
        <v>2018</v>
      </c>
      <c r="E7" s="39" t="str">
        <f t="shared" ca="1" si="0"/>
        <v>12-7-2018</v>
      </c>
      <c r="F7" s="39">
        <f t="shared" ca="1" si="1"/>
        <v>6</v>
      </c>
    </row>
  </sheetData>
  <mergeCells count="5">
    <mergeCell ref="BB2:BC2"/>
    <mergeCell ref="BD2:BE2"/>
    <mergeCell ref="BF2:BG2"/>
    <mergeCell ref="BH2:BI2"/>
    <mergeCell ref="BJ2:B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I85"/>
  <sheetViews>
    <sheetView topLeftCell="A62" workbookViewId="0">
      <selection activeCell="I36" sqref="I36:I85"/>
    </sheetView>
  </sheetViews>
  <sheetFormatPr defaultRowHeight="15" x14ac:dyDescent="0.25"/>
  <cols>
    <col min="1" max="1" width="3.42578125" style="26" bestFit="1" customWidth="1"/>
    <col min="2" max="8" width="9.140625" style="26"/>
    <col min="9" max="9" width="34.28515625" style="26" bestFit="1" customWidth="1"/>
    <col min="10" max="16384" width="9.140625" style="26"/>
  </cols>
  <sheetData>
    <row r="1" spans="1:9" x14ac:dyDescent="0.25">
      <c r="I1" s="27" t="s">
        <v>68</v>
      </c>
    </row>
    <row r="2" spans="1:9" x14ac:dyDescent="0.25">
      <c r="I2" s="28" t="s">
        <v>69</v>
      </c>
    </row>
    <row r="3" spans="1:9" x14ac:dyDescent="0.25">
      <c r="I3" s="28" t="s">
        <v>70</v>
      </c>
    </row>
    <row r="4" spans="1:9" x14ac:dyDescent="0.25">
      <c r="I4" s="28" t="s">
        <v>71</v>
      </c>
    </row>
    <row r="5" spans="1:9" x14ac:dyDescent="0.25">
      <c r="I5" s="28" t="s">
        <v>72</v>
      </c>
    </row>
    <row r="6" spans="1:9" x14ac:dyDescent="0.25">
      <c r="I6" s="28" t="s">
        <v>73</v>
      </c>
    </row>
    <row r="7" spans="1:9" x14ac:dyDescent="0.25">
      <c r="I7" s="28" t="s">
        <v>74</v>
      </c>
    </row>
    <row r="8" spans="1:9" x14ac:dyDescent="0.25">
      <c r="I8" s="28" t="s">
        <v>75</v>
      </c>
    </row>
    <row r="9" spans="1:9" x14ac:dyDescent="0.25">
      <c r="I9" s="28" t="s">
        <v>157</v>
      </c>
    </row>
    <row r="10" spans="1:9" x14ac:dyDescent="0.25">
      <c r="A10" s="26" t="s">
        <v>15</v>
      </c>
      <c r="I10" s="28" t="s">
        <v>158</v>
      </c>
    </row>
    <row r="11" spans="1:9" x14ac:dyDescent="0.25">
      <c r="A11" s="26" t="s">
        <v>34</v>
      </c>
      <c r="I11" s="28" t="s">
        <v>159</v>
      </c>
    </row>
    <row r="12" spans="1:9" x14ac:dyDescent="0.25">
      <c r="I12" s="28" t="s">
        <v>160</v>
      </c>
    </row>
    <row r="13" spans="1:9" x14ac:dyDescent="0.25">
      <c r="I13" s="28" t="s">
        <v>161</v>
      </c>
    </row>
    <row r="14" spans="1:9" x14ac:dyDescent="0.25">
      <c r="I14" s="28" t="s">
        <v>162</v>
      </c>
    </row>
    <row r="15" spans="1:9" x14ac:dyDescent="0.25">
      <c r="I15" s="28" t="s">
        <v>163</v>
      </c>
    </row>
    <row r="16" spans="1:9" x14ac:dyDescent="0.25">
      <c r="I16" s="28" t="s">
        <v>164</v>
      </c>
    </row>
    <row r="17" spans="9:9" x14ac:dyDescent="0.25">
      <c r="I17" s="28" t="s">
        <v>165</v>
      </c>
    </row>
    <row r="18" spans="9:9" x14ac:dyDescent="0.25">
      <c r="I18" s="28" t="s">
        <v>166</v>
      </c>
    </row>
    <row r="19" spans="9:9" x14ac:dyDescent="0.25">
      <c r="I19" s="28" t="s">
        <v>167</v>
      </c>
    </row>
    <row r="20" spans="9:9" x14ac:dyDescent="0.25">
      <c r="I20" s="28" t="s">
        <v>168</v>
      </c>
    </row>
    <row r="21" spans="9:9" x14ac:dyDescent="0.25">
      <c r="I21" s="28" t="s">
        <v>169</v>
      </c>
    </row>
    <row r="22" spans="9:9" x14ac:dyDescent="0.25">
      <c r="I22" s="28" t="s">
        <v>170</v>
      </c>
    </row>
    <row r="23" spans="9:9" x14ac:dyDescent="0.25">
      <c r="I23" s="28" t="s">
        <v>171</v>
      </c>
    </row>
    <row r="24" spans="9:9" x14ac:dyDescent="0.25">
      <c r="I24" s="28" t="s">
        <v>172</v>
      </c>
    </row>
    <row r="25" spans="9:9" x14ac:dyDescent="0.25">
      <c r="I25" s="29" t="s">
        <v>78</v>
      </c>
    </row>
    <row r="26" spans="9:9" x14ac:dyDescent="0.25">
      <c r="I26" s="29" t="s">
        <v>79</v>
      </c>
    </row>
    <row r="27" spans="9:9" x14ac:dyDescent="0.25">
      <c r="I27" s="29" t="s">
        <v>80</v>
      </c>
    </row>
    <row r="28" spans="9:9" x14ac:dyDescent="0.25">
      <c r="I28" s="29" t="s">
        <v>81</v>
      </c>
    </row>
    <row r="29" spans="9:9" x14ac:dyDescent="0.25">
      <c r="I29" s="29" t="s">
        <v>82</v>
      </c>
    </row>
    <row r="30" spans="9:9" x14ac:dyDescent="0.25">
      <c r="I30" s="29" t="s">
        <v>83</v>
      </c>
    </row>
    <row r="31" spans="9:9" x14ac:dyDescent="0.25">
      <c r="I31" s="29" t="s">
        <v>84</v>
      </c>
    </row>
    <row r="32" spans="9:9" ht="15.75" thickBot="1" x14ac:dyDescent="0.3">
      <c r="I32" s="30" t="s">
        <v>85</v>
      </c>
    </row>
    <row r="33" spans="9:9" ht="15.75" thickBot="1" x14ac:dyDescent="0.3">
      <c r="I33" s="30" t="s">
        <v>86</v>
      </c>
    </row>
    <row r="35" spans="9:9" x14ac:dyDescent="0.25">
      <c r="I35" s="26" t="s">
        <v>173</v>
      </c>
    </row>
    <row r="36" spans="9:9" x14ac:dyDescent="0.25">
      <c r="I36" s="31" t="s">
        <v>87</v>
      </c>
    </row>
    <row r="37" spans="9:9" x14ac:dyDescent="0.25">
      <c r="I37" s="31" t="s">
        <v>88</v>
      </c>
    </row>
    <row r="38" spans="9:9" x14ac:dyDescent="0.25">
      <c r="I38" s="31" t="s">
        <v>89</v>
      </c>
    </row>
    <row r="39" spans="9:9" x14ac:dyDescent="0.25">
      <c r="I39" s="31" t="s">
        <v>90</v>
      </c>
    </row>
    <row r="40" spans="9:9" x14ac:dyDescent="0.25">
      <c r="I40" s="31" t="s">
        <v>91</v>
      </c>
    </row>
    <row r="41" spans="9:9" x14ac:dyDescent="0.25">
      <c r="I41" s="31" t="s">
        <v>92</v>
      </c>
    </row>
    <row r="42" spans="9:9" x14ac:dyDescent="0.25">
      <c r="I42" s="31" t="s">
        <v>93</v>
      </c>
    </row>
    <row r="43" spans="9:9" x14ac:dyDescent="0.25">
      <c r="I43" s="31" t="s">
        <v>94</v>
      </c>
    </row>
    <row r="44" spans="9:9" x14ac:dyDescent="0.25">
      <c r="I44" s="31" t="s">
        <v>95</v>
      </c>
    </row>
    <row r="45" spans="9:9" x14ac:dyDescent="0.25">
      <c r="I45" s="31" t="s">
        <v>96</v>
      </c>
    </row>
    <row r="46" spans="9:9" x14ac:dyDescent="0.25">
      <c r="I46" s="31" t="s">
        <v>97</v>
      </c>
    </row>
    <row r="47" spans="9:9" x14ac:dyDescent="0.25">
      <c r="I47" s="31" t="s">
        <v>98</v>
      </c>
    </row>
    <row r="48" spans="9:9" x14ac:dyDescent="0.25">
      <c r="I48" s="31" t="s">
        <v>99</v>
      </c>
    </row>
    <row r="49" spans="9:9" x14ac:dyDescent="0.25">
      <c r="I49" s="31" t="s">
        <v>100</v>
      </c>
    </row>
    <row r="50" spans="9:9" x14ac:dyDescent="0.25">
      <c r="I50" s="31" t="s">
        <v>101</v>
      </c>
    </row>
    <row r="51" spans="9:9" x14ac:dyDescent="0.25">
      <c r="I51" s="31" t="s">
        <v>102</v>
      </c>
    </row>
    <row r="52" spans="9:9" x14ac:dyDescent="0.25">
      <c r="I52" s="31" t="s">
        <v>103</v>
      </c>
    </row>
    <row r="53" spans="9:9" x14ac:dyDescent="0.25">
      <c r="I53" s="32" t="s">
        <v>174</v>
      </c>
    </row>
    <row r="54" spans="9:9" x14ac:dyDescent="0.25">
      <c r="I54" s="32" t="s">
        <v>175</v>
      </c>
    </row>
    <row r="55" spans="9:9" ht="25.5" x14ac:dyDescent="0.25">
      <c r="I55" s="32" t="s">
        <v>176</v>
      </c>
    </row>
    <row r="56" spans="9:9" x14ac:dyDescent="0.25">
      <c r="I56" s="32" t="s">
        <v>177</v>
      </c>
    </row>
    <row r="57" spans="9:9" ht="25.5" x14ac:dyDescent="0.25">
      <c r="I57" s="32" t="s">
        <v>178</v>
      </c>
    </row>
    <row r="58" spans="9:9" x14ac:dyDescent="0.25">
      <c r="I58" s="33" t="s">
        <v>179</v>
      </c>
    </row>
    <row r="59" spans="9:9" x14ac:dyDescent="0.25">
      <c r="I59" s="31" t="s">
        <v>104</v>
      </c>
    </row>
    <row r="60" spans="9:9" x14ac:dyDescent="0.25">
      <c r="I60" s="31" t="s">
        <v>105</v>
      </c>
    </row>
    <row r="61" spans="9:9" x14ac:dyDescent="0.25">
      <c r="I61" s="32" t="s">
        <v>180</v>
      </c>
    </row>
    <row r="62" spans="9:9" x14ac:dyDescent="0.25">
      <c r="I62" s="32" t="s">
        <v>181</v>
      </c>
    </row>
    <row r="63" spans="9:9" x14ac:dyDescent="0.25">
      <c r="I63" s="32" t="s">
        <v>182</v>
      </c>
    </row>
    <row r="64" spans="9:9" x14ac:dyDescent="0.25">
      <c r="I64" s="32" t="s">
        <v>183</v>
      </c>
    </row>
    <row r="65" spans="9:9" x14ac:dyDescent="0.25">
      <c r="I65" s="32" t="s">
        <v>184</v>
      </c>
    </row>
    <row r="66" spans="9:9" x14ac:dyDescent="0.25">
      <c r="I66" s="31" t="s">
        <v>106</v>
      </c>
    </row>
    <row r="67" spans="9:9" x14ac:dyDescent="0.25">
      <c r="I67" s="31" t="s">
        <v>107</v>
      </c>
    </row>
    <row r="68" spans="9:9" x14ac:dyDescent="0.25">
      <c r="I68" s="31" t="s">
        <v>108</v>
      </c>
    </row>
    <row r="69" spans="9:9" x14ac:dyDescent="0.25">
      <c r="I69" s="31" t="s">
        <v>109</v>
      </c>
    </row>
    <row r="70" spans="9:9" x14ac:dyDescent="0.25">
      <c r="I70" s="31" t="s">
        <v>110</v>
      </c>
    </row>
    <row r="71" spans="9:9" x14ac:dyDescent="0.25">
      <c r="I71" s="34" t="s">
        <v>111</v>
      </c>
    </row>
    <row r="72" spans="9:9" x14ac:dyDescent="0.25">
      <c r="I72" s="34" t="s">
        <v>112</v>
      </c>
    </row>
    <row r="73" spans="9:9" x14ac:dyDescent="0.25">
      <c r="I73" s="34" t="s">
        <v>113</v>
      </c>
    </row>
    <row r="74" spans="9:9" x14ac:dyDescent="0.25">
      <c r="I74" s="34" t="s">
        <v>114</v>
      </c>
    </row>
    <row r="75" spans="9:9" x14ac:dyDescent="0.25">
      <c r="I75" s="34" t="s">
        <v>115</v>
      </c>
    </row>
    <row r="76" spans="9:9" x14ac:dyDescent="0.25">
      <c r="I76" s="34" t="s">
        <v>116</v>
      </c>
    </row>
    <row r="77" spans="9:9" x14ac:dyDescent="0.25">
      <c r="I77" s="34" t="s">
        <v>117</v>
      </c>
    </row>
    <row r="78" spans="9:9" x14ac:dyDescent="0.25">
      <c r="I78" s="34" t="s">
        <v>118</v>
      </c>
    </row>
    <row r="79" spans="9:9" x14ac:dyDescent="0.25">
      <c r="I79" s="31" t="s">
        <v>77</v>
      </c>
    </row>
    <row r="80" spans="9:9" x14ac:dyDescent="0.25">
      <c r="I80" s="35" t="s">
        <v>185</v>
      </c>
    </row>
    <row r="81" spans="9:9" x14ac:dyDescent="0.25">
      <c r="I81" s="36" t="s">
        <v>186</v>
      </c>
    </row>
    <row r="82" spans="9:9" x14ac:dyDescent="0.25">
      <c r="I82" s="36" t="s">
        <v>187</v>
      </c>
    </row>
    <row r="83" spans="9:9" x14ac:dyDescent="0.25">
      <c r="I83" s="37" t="s">
        <v>188</v>
      </c>
    </row>
    <row r="84" spans="9:9" x14ac:dyDescent="0.25">
      <c r="I84" s="38" t="s">
        <v>189</v>
      </c>
    </row>
    <row r="85" spans="9:9" x14ac:dyDescent="0.25">
      <c r="I85" s="31" t="s">
        <v>190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R35"/>
  <sheetViews>
    <sheetView tabSelected="1" workbookViewId="0">
      <selection activeCell="N12" sqref="N12"/>
    </sheetView>
  </sheetViews>
  <sheetFormatPr defaultRowHeight="15" x14ac:dyDescent="0.25"/>
  <cols>
    <col min="2" max="2" width="20.28515625" customWidth="1"/>
    <col min="3" max="3" width="10.28515625" bestFit="1" customWidth="1"/>
    <col min="4" max="4" width="5.5703125" customWidth="1"/>
    <col min="5" max="5" width="4.140625" customWidth="1"/>
    <col min="6" max="6" width="3.28515625" customWidth="1"/>
    <col min="7" max="7" width="11.28515625" bestFit="1" customWidth="1"/>
    <col min="8" max="8" width="6.7109375" customWidth="1"/>
    <col min="9" max="9" width="2.140625" customWidth="1"/>
    <col min="10" max="10" width="11.140625" customWidth="1"/>
    <col min="12" max="12" width="21.28515625" customWidth="1"/>
    <col min="14" max="14" width="40.7109375" customWidth="1"/>
    <col min="18" max="18" width="14.28515625" customWidth="1"/>
  </cols>
  <sheetData>
    <row r="2" spans="2:18" ht="15.75" thickBot="1" x14ac:dyDescent="0.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76</v>
      </c>
      <c r="Q2" t="s">
        <v>119</v>
      </c>
      <c r="R2" t="s">
        <v>120</v>
      </c>
    </row>
    <row r="3" spans="2:18" ht="16.5" thickBot="1" x14ac:dyDescent="0.3">
      <c r="B3" s="1" t="s">
        <v>14</v>
      </c>
      <c r="C3" s="2" t="s">
        <v>132</v>
      </c>
      <c r="D3" s="2">
        <v>2017</v>
      </c>
      <c r="E3" s="2" t="s">
        <v>15</v>
      </c>
      <c r="F3" s="3">
        <f>MATCH(C3,[1]MAIN!$S$77:$S$88,0)</f>
        <v>12</v>
      </c>
      <c r="G3" s="3" t="str">
        <f t="shared" ref="G3:G31" si="0">CONCATENATE(F3,"/","01","/",D3)</f>
        <v>12/01/2017</v>
      </c>
      <c r="H3" s="3">
        <f t="shared" ref="H3:H31" si="1">DATEVALUE(G3)</f>
        <v>43070</v>
      </c>
      <c r="I3" s="3">
        <f t="shared" ref="I3:I31" si="2">WEEKDAY(H3,2)</f>
        <v>5</v>
      </c>
      <c r="J3" s="3">
        <f t="shared" ref="J3:J31" si="3">DAY(EOMONTH($H3,0))</f>
        <v>31</v>
      </c>
      <c r="K3" s="3" t="s">
        <v>16</v>
      </c>
      <c r="L3" s="3" t="str">
        <f>CONCATENATE("310 - ",BatchList[First and Last Name]," - ",LEFT(BatchList[Month],3),"_",BatchList[Year])</f>
        <v>310 - Alexander Druzenko  - Dec_2017</v>
      </c>
      <c r="M3" s="3">
        <v>3</v>
      </c>
      <c r="N3" s="3" t="str">
        <f>CONCATENATE(BatchList[Folder Location],"\",BatchList[FileName],".xlsx")</f>
        <v>E:\Dropbox (BEST)\002 data base\0300 Data base - Bureaucracy\Odessa Branch\310\310_Alexander Druzenko\310 - Alexander Druzenko  - Dec_2017.xlsx</v>
      </c>
      <c r="O3" s="4" t="str">
        <f>CONCATENATE(BatchList[Folder Location],"\",BatchList[FileName],"_NEWLY_ADDED",".xlsx")</f>
        <v>E:\Dropbox (BEST)\002 data base\0300 Data base - Bureaucracy\Odessa Branch\310\310_Alexander Druzenko\310 - Alexander Druzenko  - Dec_2017_NEWLY_ADDED.xlsx</v>
      </c>
      <c r="P3" s="4">
        <v>1</v>
      </c>
      <c r="Q3" s="4">
        <v>0</v>
      </c>
      <c r="R3" s="4" t="s">
        <v>202</v>
      </c>
    </row>
    <row r="4" spans="2:18" ht="16.5" thickBot="1" x14ac:dyDescent="0.3">
      <c r="B4" s="5" t="s">
        <v>17</v>
      </c>
      <c r="C4" s="2" t="s">
        <v>132</v>
      </c>
      <c r="D4" s="6">
        <v>2017</v>
      </c>
      <c r="E4" s="6" t="s">
        <v>15</v>
      </c>
      <c r="F4" s="6">
        <f>MATCH(C4,[1]MAIN!$S$77:$S$88,0)</f>
        <v>12</v>
      </c>
      <c r="G4" s="6" t="str">
        <f t="shared" si="0"/>
        <v>12/01/2017</v>
      </c>
      <c r="H4" s="6">
        <f t="shared" si="1"/>
        <v>43070</v>
      </c>
      <c r="I4" s="6">
        <f t="shared" si="2"/>
        <v>5</v>
      </c>
      <c r="J4" s="6">
        <f t="shared" si="3"/>
        <v>31</v>
      </c>
      <c r="K4" s="6" t="s">
        <v>18</v>
      </c>
      <c r="L4" s="6" t="str">
        <f>CONCATENATE("310 - ",BatchList[First and Last Name]," - ",LEFT(BatchList[Month],3),"_",BatchList[Year])</f>
        <v>310 - Andriy Novokhatkin - Dec_2017</v>
      </c>
      <c r="M4" s="6">
        <v>3</v>
      </c>
      <c r="N4" s="6" t="str">
        <f>CONCATENATE(BatchList[Folder Location],"\",BatchList[FileName],".xlsx")</f>
        <v>E:\Dropbox (BEST)\002 data base\0300 Data base - Bureaucracy\Odessa Branch\310\310_Andrew Novokhatkin\310 - Andriy Novokhatkin - Dec_2017.xlsx</v>
      </c>
      <c r="O4" s="2" t="str">
        <f>CONCATENATE(BatchList[Folder Location],"\",BatchList[FileName],"_NEWLY_ADDED",".xlsx")</f>
        <v>E:\Dropbox (BEST)\002 data base\0300 Data base - Bureaucracy\Odessa Branch\310\310_Andrew Novokhatkin\310 - Andriy Novokhatkin - Dec_2017_NEWLY_ADDED.xlsx</v>
      </c>
      <c r="P4" s="2">
        <v>1</v>
      </c>
      <c r="Q4" s="2">
        <v>0</v>
      </c>
      <c r="R4" s="2" t="s">
        <v>207</v>
      </c>
    </row>
    <row r="5" spans="2:18" ht="16.5" thickBot="1" x14ac:dyDescent="0.3">
      <c r="B5" s="7" t="s">
        <v>19</v>
      </c>
      <c r="C5" s="2" t="s">
        <v>132</v>
      </c>
      <c r="D5" s="6">
        <v>2017</v>
      </c>
      <c r="E5" s="6" t="s">
        <v>15</v>
      </c>
      <c r="F5" s="6">
        <f>MATCH(C5,[1]MAIN!$S$77:$S$88,0)</f>
        <v>12</v>
      </c>
      <c r="G5" s="6" t="str">
        <f t="shared" si="0"/>
        <v>12/01/2017</v>
      </c>
      <c r="H5" s="6">
        <f t="shared" si="1"/>
        <v>43070</v>
      </c>
      <c r="I5" s="6">
        <f t="shared" si="2"/>
        <v>5</v>
      </c>
      <c r="J5" s="8">
        <f t="shared" si="3"/>
        <v>31</v>
      </c>
      <c r="K5" s="6" t="s">
        <v>20</v>
      </c>
      <c r="L5" s="6" t="str">
        <f>CONCATENATE("310 - ",BatchList[First and Last Name]," - ",LEFT(BatchList[Month],3),"_",BatchList[Year])</f>
        <v>310 - Anna Fedorova - Dec_2017</v>
      </c>
      <c r="M5" s="6">
        <v>3</v>
      </c>
      <c r="N5" s="8" t="str">
        <f>CONCATENATE(BatchList[Folder Location],"\",BatchList[FileName],".xlsx")</f>
        <v>E:\Dropbox (BEST)\002 data base\0300 Data base - Bureaucracy\Odessa Branch\310\310_Anna Fedorova\310 - Anna Fedorova - Dec_2017.xlsx</v>
      </c>
      <c r="O5" s="6" t="str">
        <f>CONCATENATE(BatchList[Folder Location],"\",BatchList[FileName],"_NEWLY_ADDED",".xlsx")</f>
        <v>E:\Dropbox (BEST)\002 data base\0300 Data base - Bureaucracy\Odessa Branch\310\310_Anna Fedorova\310 - Anna Fedorova - Dec_2017_NEWLY_ADDED.xlsx</v>
      </c>
      <c r="P5" s="6">
        <v>1</v>
      </c>
      <c r="Q5" s="2">
        <v>0</v>
      </c>
      <c r="R5" s="2" t="s">
        <v>138</v>
      </c>
    </row>
    <row r="6" spans="2:18" ht="16.5" thickBot="1" x14ac:dyDescent="0.3">
      <c r="B6" s="7" t="s">
        <v>21</v>
      </c>
      <c r="C6" s="2" t="s">
        <v>132</v>
      </c>
      <c r="D6" s="2">
        <v>2017</v>
      </c>
      <c r="E6" s="2" t="s">
        <v>15</v>
      </c>
      <c r="F6" s="2">
        <f>MATCH(C6,[1]MAIN!$S$77:$S$88,0)</f>
        <v>12</v>
      </c>
      <c r="G6" s="2" t="str">
        <f t="shared" si="0"/>
        <v>12/01/2017</v>
      </c>
      <c r="H6" s="2">
        <f t="shared" si="1"/>
        <v>43070</v>
      </c>
      <c r="I6" s="2">
        <f t="shared" si="2"/>
        <v>5</v>
      </c>
      <c r="J6" s="9">
        <f t="shared" si="3"/>
        <v>31</v>
      </c>
      <c r="K6" s="2" t="s">
        <v>203</v>
      </c>
      <c r="L6" s="2" t="str">
        <f>CONCATENATE("310 - ",BatchList[First and Last Name]," - ",LEFT(BatchList[Month],3),"_",BatchList[Year])</f>
        <v>310 - Demi Valantsevich - Dec_2017</v>
      </c>
      <c r="M6" s="2">
        <v>3</v>
      </c>
      <c r="N6" s="9" t="str">
        <f>CONCATENATE(BatchList[Folder Location],"\",BatchList[FileName],".xlsx")</f>
        <v>E:\Dropbox (BEST)\002 data base\0300 Data base - Bureaucracy\Odessa Branch\310\310_Dmitriy _Demi_ Valantsevich\Jan_2018\310 - Demi Valantsevich - Dec_2017.xlsx</v>
      </c>
      <c r="O6" s="9" t="str">
        <f>CONCATENATE(BatchList[Folder Location],"\",BatchList[FileName],"_NEWLY_ADDED",".xlsx")</f>
        <v>E:\Dropbox (BEST)\002 data base\0300 Data base - Bureaucracy\Odessa Branch\310\310_Dmitriy _Demi_ Valantsevich\Jan_2018\310 - Demi Valantsevich - Dec_2017_NEWLY_ADDED.xlsx</v>
      </c>
      <c r="P6" s="6">
        <v>1</v>
      </c>
      <c r="Q6" s="2">
        <v>0</v>
      </c>
      <c r="R6" s="2" t="s">
        <v>208</v>
      </c>
    </row>
    <row r="7" spans="2:18" ht="16.5" thickBot="1" x14ac:dyDescent="0.3">
      <c r="B7" s="7" t="s">
        <v>22</v>
      </c>
      <c r="C7" s="2" t="s">
        <v>132</v>
      </c>
      <c r="D7" s="2">
        <v>2017</v>
      </c>
      <c r="E7" s="2" t="s">
        <v>15</v>
      </c>
      <c r="F7" s="6">
        <f>MATCH(C7,[1]MAIN!$S$77:$S$88,0)</f>
        <v>12</v>
      </c>
      <c r="G7" s="6" t="str">
        <f t="shared" si="0"/>
        <v>12/01/2017</v>
      </c>
      <c r="H7" s="6">
        <f t="shared" si="1"/>
        <v>43070</v>
      </c>
      <c r="I7" s="6">
        <f t="shared" si="2"/>
        <v>5</v>
      </c>
      <c r="J7" s="8">
        <f t="shared" si="3"/>
        <v>31</v>
      </c>
      <c r="K7" s="6" t="s">
        <v>204</v>
      </c>
      <c r="L7" s="6" t="str">
        <f>CONCATENATE("310 - ",BatchList[First and Last Name]," - ",LEFT(BatchList[Month],3),"_",BatchList[Year])</f>
        <v>310 - Dmitri Murtazin  - Dec_2017</v>
      </c>
      <c r="M7" s="6">
        <v>3</v>
      </c>
      <c r="N7" s="8" t="str">
        <f>CONCATENATE(BatchList[Folder Location],"\",BatchList[FileName],".xlsx")</f>
        <v>E:\Dropbox (BEST)\002 data base\0300 Data base - Bureaucracy\Odessa Branch\310\310_Dmitri I_Murtazin\2018\310 - Dmitri Murtazin  - Dec_2017.xlsx</v>
      </c>
      <c r="O7" s="8" t="str">
        <f>CONCATENATE(BatchList[Folder Location],"\",BatchList[FileName],"_NEWLY_ADDED",".xlsx")</f>
        <v>E:\Dropbox (BEST)\002 data base\0300 Data base - Bureaucracy\Odessa Branch\310\310_Dmitri I_Murtazin\2018\310 - Dmitri Murtazin  - Dec_2017_NEWLY_ADDED.xlsx</v>
      </c>
      <c r="P7" s="6">
        <v>1</v>
      </c>
      <c r="Q7" s="2">
        <v>0</v>
      </c>
      <c r="R7" s="2" t="s">
        <v>209</v>
      </c>
    </row>
    <row r="8" spans="2:18" ht="16.5" thickBot="1" x14ac:dyDescent="0.3">
      <c r="B8" s="10" t="s">
        <v>134</v>
      </c>
      <c r="C8" s="2" t="s">
        <v>132</v>
      </c>
      <c r="D8" s="2">
        <v>2017</v>
      </c>
      <c r="E8" s="2" t="s">
        <v>15</v>
      </c>
      <c r="F8" s="6">
        <f>MATCH(C8,[1]MAIN!$S$77:$S$88,0)</f>
        <v>12</v>
      </c>
      <c r="G8" s="6" t="str">
        <f t="shared" si="0"/>
        <v>12/01/2017</v>
      </c>
      <c r="H8" s="6">
        <f t="shared" si="1"/>
        <v>43070</v>
      </c>
      <c r="I8" s="6">
        <f t="shared" si="2"/>
        <v>5</v>
      </c>
      <c r="J8" s="8">
        <f t="shared" si="3"/>
        <v>31</v>
      </c>
      <c r="K8" s="6" t="s">
        <v>24</v>
      </c>
      <c r="L8" s="6" t="str">
        <f>CONCATENATE("310 - ",BatchList[First and Last Name]," - ",LEFT(BatchList[Month],3),"_",BatchList[Year])</f>
        <v>310 - Helen Greniukh - Dec_2017</v>
      </c>
      <c r="M8" s="6">
        <v>3</v>
      </c>
      <c r="N8" s="8" t="str">
        <f>CONCATENATE(BatchList[Folder Location],"\",BatchList[FileName],".xlsx")</f>
        <v>E:\Dropbox (BEST)\002 data base\0300 Data base - Bureaucracy\Odessa Branch\310\310_Galyna_Greniukh\310 - Helen Greniukh - Dec_2017.xlsx</v>
      </c>
      <c r="O8" s="8" t="str">
        <f>CONCATENATE(BatchList[Folder Location],"\",BatchList[FileName],"_NEWLY_ADDED",".xlsx")</f>
        <v>E:\Dropbox (BEST)\002 data base\0300 Data base - Bureaucracy\Odessa Branch\310\310_Galyna_Greniukh\310 - Helen Greniukh - Dec_2017_NEWLY_ADDED.xlsx</v>
      </c>
      <c r="P8" s="6">
        <v>1</v>
      </c>
      <c r="Q8" s="2">
        <v>0</v>
      </c>
      <c r="R8" s="2" t="s">
        <v>139</v>
      </c>
    </row>
    <row r="9" spans="2:18" ht="16.5" thickBot="1" x14ac:dyDescent="0.3">
      <c r="B9" s="7" t="s">
        <v>25</v>
      </c>
      <c r="C9" s="2" t="s">
        <v>132</v>
      </c>
      <c r="D9" s="2">
        <v>2017</v>
      </c>
      <c r="E9" s="2" t="s">
        <v>15</v>
      </c>
      <c r="F9" s="6">
        <f>MATCH(C9,[1]MAIN!$S$77:$S$88,0)</f>
        <v>12</v>
      </c>
      <c r="G9" s="6" t="str">
        <f t="shared" si="0"/>
        <v>12/01/2017</v>
      </c>
      <c r="H9" s="6">
        <f t="shared" si="1"/>
        <v>43070</v>
      </c>
      <c r="I9" s="6">
        <f t="shared" si="2"/>
        <v>5</v>
      </c>
      <c r="J9" s="8">
        <f t="shared" si="3"/>
        <v>31</v>
      </c>
      <c r="K9" s="6" t="s">
        <v>26</v>
      </c>
      <c r="L9" s="6" t="str">
        <f>CONCATENATE("310 - ",BatchList[First and Last Name]," - ",LEFT(BatchList[Month],3),"_",BatchList[Year])</f>
        <v>310 - Jessie Andriushenko - Dec_2017</v>
      </c>
      <c r="M9" s="6">
        <v>3</v>
      </c>
      <c r="N9" s="8" t="str">
        <f>CONCATENATE(BatchList[Folder Location],"\",BatchList[FileName],".xlsx")</f>
        <v>E:\Dropbox (BEST)\002 data base\0300 Data base - Bureaucracy\Odessa Branch\310\310_Jessie_Andriushenko\310 - Jessie Andriushenko - Dec_2017.xlsx</v>
      </c>
      <c r="O9" s="8" t="str">
        <f>CONCATENATE(BatchList[Folder Location],"\",BatchList[FileName],"_NEWLY_ADDED",".xlsx")</f>
        <v>E:\Dropbox (BEST)\002 data base\0300 Data base - Bureaucracy\Odessa Branch\310\310_Jessie_Andriushenko\310 - Jessie Andriushenko - Dec_2017_NEWLY_ADDED.xlsx</v>
      </c>
      <c r="P9" s="6">
        <v>1</v>
      </c>
      <c r="Q9" s="2">
        <v>0</v>
      </c>
      <c r="R9" s="2" t="s">
        <v>210</v>
      </c>
    </row>
    <row r="10" spans="2:18" ht="16.5" thickBot="1" x14ac:dyDescent="0.3">
      <c r="B10" s="11" t="s">
        <v>27</v>
      </c>
      <c r="C10" s="2" t="s">
        <v>132</v>
      </c>
      <c r="D10" s="2">
        <v>2017</v>
      </c>
      <c r="E10" s="2" t="s">
        <v>15</v>
      </c>
      <c r="F10" s="6">
        <f>MATCH(C10,[1]MAIN!$S$77:$S$88,0)</f>
        <v>12</v>
      </c>
      <c r="G10" s="6" t="str">
        <f t="shared" si="0"/>
        <v>12/01/2017</v>
      </c>
      <c r="H10" s="6">
        <f t="shared" si="1"/>
        <v>43070</v>
      </c>
      <c r="I10" s="6">
        <f t="shared" si="2"/>
        <v>5</v>
      </c>
      <c r="J10" s="8">
        <f t="shared" si="3"/>
        <v>31</v>
      </c>
      <c r="K10" s="6" t="s">
        <v>28</v>
      </c>
      <c r="L10" s="6" t="str">
        <f>CONCATENATE("310 - ",BatchList[First and Last Name]," - ",LEFT(BatchList[Month],3),"_",BatchList[Year])</f>
        <v>310 - Natali Lebid - Dec_2017</v>
      </c>
      <c r="M10" s="6">
        <v>3</v>
      </c>
      <c r="N10" s="8" t="str">
        <f>CONCATENATE(BatchList[Folder Location],"\",BatchList[FileName],".xlsx")</f>
        <v>E:\Dropbox (BEST)\002 data base\0300 Data base - Bureaucracy\Odessa Branch\310\310_Nataliia Lebid\310 - Natali Lebid - Dec_2017.xlsx</v>
      </c>
      <c r="O10" s="8" t="str">
        <f>CONCATENATE(BatchList[Folder Location],"\",BatchList[FileName],"_NEWLY_ADDED",".xlsx")</f>
        <v>E:\Dropbox (BEST)\002 data base\0300 Data base - Bureaucracy\Odessa Branch\310\310_Nataliia Lebid\310 - Natali Lebid - Dec_2017_NEWLY_ADDED.xlsx</v>
      </c>
      <c r="P10" s="6">
        <v>1</v>
      </c>
      <c r="Q10" s="2">
        <v>0</v>
      </c>
      <c r="R10" s="2" t="s">
        <v>211</v>
      </c>
    </row>
    <row r="11" spans="2:18" ht="16.5" thickBot="1" x14ac:dyDescent="0.3">
      <c r="B11" s="12" t="s">
        <v>135</v>
      </c>
      <c r="C11" s="2" t="s">
        <v>132</v>
      </c>
      <c r="D11" s="2">
        <v>2017</v>
      </c>
      <c r="E11" s="2" t="s">
        <v>15</v>
      </c>
      <c r="F11" s="2">
        <f>MATCH(C11,[1]MAIN!$S$77:$S$88,0)</f>
        <v>12</v>
      </c>
      <c r="G11" s="2" t="str">
        <f t="shared" si="0"/>
        <v>12/01/2017</v>
      </c>
      <c r="H11" s="2">
        <f t="shared" si="1"/>
        <v>43070</v>
      </c>
      <c r="I11" s="2">
        <f t="shared" si="2"/>
        <v>5</v>
      </c>
      <c r="J11" s="9">
        <f t="shared" si="3"/>
        <v>31</v>
      </c>
      <c r="K11" s="2" t="s">
        <v>30</v>
      </c>
      <c r="L11" s="2" t="str">
        <f>CONCATENATE("310 - ",BatchList[First and Last Name]," - ",LEFT(BatchList[Month],3),"_",BatchList[Year])</f>
        <v>310 - Alexa Klymenko - Dec_2017</v>
      </c>
      <c r="M11" s="2">
        <v>3</v>
      </c>
      <c r="N11" s="9" t="str">
        <f>CONCATENATE(BatchList[Folder Location],"\",BatchList[FileName],".xlsx")</f>
        <v>E:\Dropbox (BEST)\002 data base\0300 Data base - Bureaucracy\Odessa Branch\310\310_Oleksandra_Klymenko\310 - Alexa Klymenko - Dec_2017.xlsx</v>
      </c>
      <c r="O11" s="9" t="str">
        <f>CONCATENATE(BatchList[Folder Location],"\",BatchList[FileName],"_NEWLY_ADDED",".xlsx")</f>
        <v>E:\Dropbox (BEST)\002 data base\0300 Data base - Bureaucracy\Odessa Branch\310\310_Oleksandra_Klymenko\310 - Alexa Klymenko - Dec_2017_NEWLY_ADDED.xlsx</v>
      </c>
      <c r="P11" s="6">
        <v>1</v>
      </c>
      <c r="Q11" s="2">
        <v>0</v>
      </c>
      <c r="R11" s="2" t="s">
        <v>140</v>
      </c>
    </row>
    <row r="12" spans="2:18" ht="16.5" thickBot="1" x14ac:dyDescent="0.3">
      <c r="B12" s="7" t="s">
        <v>31</v>
      </c>
      <c r="C12" s="2" t="s">
        <v>132</v>
      </c>
      <c r="D12" s="2">
        <v>2017</v>
      </c>
      <c r="E12" s="2" t="s">
        <v>15</v>
      </c>
      <c r="F12" s="6">
        <f>MATCH(C12,[1]MAIN!$S$77:$S$88,0)</f>
        <v>12</v>
      </c>
      <c r="G12" s="6" t="str">
        <f t="shared" si="0"/>
        <v>12/01/2017</v>
      </c>
      <c r="H12" s="6">
        <f t="shared" si="1"/>
        <v>43070</v>
      </c>
      <c r="I12" s="6">
        <f t="shared" si="2"/>
        <v>5</v>
      </c>
      <c r="J12" s="8">
        <f t="shared" si="3"/>
        <v>31</v>
      </c>
      <c r="K12" s="6" t="s">
        <v>32</v>
      </c>
      <c r="L12" s="6" t="str">
        <f>CONCATENATE("310 - ",BatchList[First and Last Name]," - ",LEFT(BatchList[Month],3),"_",BatchList[Year])</f>
        <v>310 - Olga Panayotova - Dec_2017</v>
      </c>
      <c r="M12" s="6">
        <v>3</v>
      </c>
      <c r="N12" s="8" t="str">
        <f>CONCATENATE(BatchList[Folder Location],"\",BatchList[FileName],".xlsx")</f>
        <v>E:\Dropbox (BEST)\002 data base\0300 Data base - Bureaucracy\Odessa Branch\310\310_Olga Panayotova\310 - Olga Panayotova - Dec_2017.xlsx</v>
      </c>
      <c r="O12" s="8" t="str">
        <f>CONCATENATE(BatchList[Folder Location],"\",BatchList[FileName],"_NEWLY_ADDED",".xlsx")</f>
        <v>E:\Dropbox (BEST)\002 data base\0300 Data base - Bureaucracy\Odessa Branch\310\310_Olga Panayotova\310 - Olga Panayotova - Dec_2017_NEWLY_ADDED.xlsx</v>
      </c>
      <c r="P12" s="6">
        <v>1</v>
      </c>
      <c r="Q12" s="2">
        <v>0</v>
      </c>
      <c r="R12" s="2"/>
    </row>
    <row r="13" spans="2:18" ht="16.5" thickBot="1" x14ac:dyDescent="0.3">
      <c r="B13" s="5" t="s">
        <v>33</v>
      </c>
      <c r="C13" s="2" t="s">
        <v>132</v>
      </c>
      <c r="D13" s="2">
        <v>2017</v>
      </c>
      <c r="E13" s="2" t="s">
        <v>34</v>
      </c>
      <c r="F13" s="6">
        <f>MATCH(C13,[1]MAIN!$S$77:$S$88,0)</f>
        <v>12</v>
      </c>
      <c r="G13" s="6" t="str">
        <f t="shared" si="0"/>
        <v>12/01/2017</v>
      </c>
      <c r="H13" s="6">
        <f t="shared" si="1"/>
        <v>43070</v>
      </c>
      <c r="I13" s="6">
        <f t="shared" si="2"/>
        <v>5</v>
      </c>
      <c r="J13" s="8">
        <f t="shared" si="3"/>
        <v>31</v>
      </c>
      <c r="K13" s="6" t="s">
        <v>35</v>
      </c>
      <c r="L13" s="6" t="str">
        <f>CONCATENATE("310 - ",BatchList[First and Last Name]," - ",LEFT(BatchList[Month],3),"_",BatchList[Year])</f>
        <v>310 - Andrii Kulbaba - Dec_2017</v>
      </c>
      <c r="M13" s="6">
        <v>3</v>
      </c>
      <c r="N13" s="8" t="str">
        <f>CONCATENATE(BatchList[Folder Location],"\",BatchList[FileName],".xlsx")</f>
        <v>E:\Dropbox (BEST)\002 data base\0300 Data base - Bureaucracy\Odessa Branch\310\310_Andrey Kulbaba\310 - Andrii Kulbaba - Dec_2017.xlsx</v>
      </c>
      <c r="O13" s="8" t="str">
        <f>CONCATENATE(BatchList[Folder Location],"\",BatchList[FileName],"_NEWLY_ADDED",".xlsx")</f>
        <v>E:\Dropbox (BEST)\002 data base\0300 Data base - Bureaucracy\Odessa Branch\310\310_Andrey Kulbaba\310 - Andrii Kulbaba - Dec_2017_NEWLY_ADDED.xlsx</v>
      </c>
      <c r="P13" s="6">
        <v>1</v>
      </c>
      <c r="Q13" s="2">
        <v>0</v>
      </c>
      <c r="R13" s="2" t="s">
        <v>141</v>
      </c>
    </row>
    <row r="14" spans="2:18" ht="16.5" thickBot="1" x14ac:dyDescent="0.3">
      <c r="B14" s="5" t="s">
        <v>36</v>
      </c>
      <c r="C14" s="2" t="s">
        <v>132</v>
      </c>
      <c r="D14" s="2">
        <v>2017</v>
      </c>
      <c r="E14" s="2" t="s">
        <v>34</v>
      </c>
      <c r="F14" s="2">
        <f>MATCH(C14,[1]MAIN!$S$77:$S$88,0)</f>
        <v>12</v>
      </c>
      <c r="G14" s="2" t="str">
        <f t="shared" si="0"/>
        <v>12/01/2017</v>
      </c>
      <c r="H14" s="2">
        <f t="shared" si="1"/>
        <v>43070</v>
      </c>
      <c r="I14" s="2">
        <f t="shared" si="2"/>
        <v>5</v>
      </c>
      <c r="J14" s="9">
        <f t="shared" si="3"/>
        <v>31</v>
      </c>
      <c r="K14" s="2" t="s">
        <v>205</v>
      </c>
      <c r="L14" s="2" t="str">
        <f>CONCATENATE("310 - ",BatchList[First and Last Name]," - ",LEFT(BatchList[Month],3),"_",BatchList[Year])</f>
        <v>310 - Julia Melikhova - Dec_2017</v>
      </c>
      <c r="M14" s="2">
        <v>3</v>
      </c>
      <c r="N14" s="9" t="str">
        <f>CONCATENATE(BatchList[Folder Location],"\",BatchList[FileName],".xlsx")</f>
        <v>E:\Dropbox (BEST)\002 data base\0300 Data base - Bureaucracy\Odessa Branch\310\310_Juliya Melikhova\310 - Julia Melikhova - Dec_2017.xlsx</v>
      </c>
      <c r="O14" s="9" t="str">
        <f>CONCATENATE(BatchList[Folder Location],"\",BatchList[FileName],"_NEWLY_ADDED",".xlsx")</f>
        <v>E:\Dropbox (BEST)\002 data base\0300 Data base - Bureaucracy\Odessa Branch\310\310_Juliya Melikhova\310 - Julia Melikhova - Dec_2017_NEWLY_ADDED.xlsx</v>
      </c>
      <c r="P14" s="6">
        <v>1</v>
      </c>
      <c r="Q14" s="2">
        <v>1</v>
      </c>
      <c r="R14" s="2" t="s">
        <v>142</v>
      </c>
    </row>
    <row r="15" spans="2:18" ht="16.5" thickBot="1" x14ac:dyDescent="0.3">
      <c r="B15" s="5" t="s">
        <v>37</v>
      </c>
      <c r="C15" s="2" t="s">
        <v>132</v>
      </c>
      <c r="D15" s="2">
        <v>2017</v>
      </c>
      <c r="E15" s="2" t="s">
        <v>34</v>
      </c>
      <c r="F15" s="6">
        <f>MATCH(C15,[1]MAIN!$S$77:$S$88,0)</f>
        <v>12</v>
      </c>
      <c r="G15" s="6" t="str">
        <f t="shared" si="0"/>
        <v>12/01/2017</v>
      </c>
      <c r="H15" s="6">
        <f t="shared" si="1"/>
        <v>43070</v>
      </c>
      <c r="I15" s="6">
        <f t="shared" si="2"/>
        <v>5</v>
      </c>
      <c r="J15" s="8">
        <f t="shared" si="3"/>
        <v>31</v>
      </c>
      <c r="K15" s="6" t="s">
        <v>212</v>
      </c>
      <c r="L15" s="6" t="str">
        <f>CONCATENATE("310 - ",BatchList[First and Last Name]," - ",LEFT(BatchList[Month],3),"_",BatchList[Year])</f>
        <v>310 - Nadiia Rubantseva - Dec_2017</v>
      </c>
      <c r="M15" s="6">
        <v>3</v>
      </c>
      <c r="N15" s="8" t="str">
        <f>CONCATENATE(BatchList[Folder Location],"\",BatchList[FileName],".xlsx")</f>
        <v>C:\\310 - Nadiia Rubantseva - Dec_2017.xlsx</v>
      </c>
      <c r="O15" s="8" t="str">
        <f>CONCATENATE(BatchList[Folder Location],"\",BatchList[FileName],"_NEWLY_ADDED",".xlsx")</f>
        <v>C:\\310 - Nadiia Rubantseva - Dec_2017_NEWLY_ADDED.xlsx</v>
      </c>
      <c r="P15" s="6">
        <v>0</v>
      </c>
      <c r="Q15" s="2">
        <v>1</v>
      </c>
      <c r="R15" s="2"/>
    </row>
    <row r="16" spans="2:18" ht="16.5" thickBot="1" x14ac:dyDescent="0.3">
      <c r="B16" s="13" t="s">
        <v>38</v>
      </c>
      <c r="C16" s="2" t="s">
        <v>132</v>
      </c>
      <c r="D16" s="2">
        <v>2017</v>
      </c>
      <c r="E16" s="2" t="s">
        <v>15</v>
      </c>
      <c r="F16" s="6">
        <f>MATCH(C16,[1]MAIN!$S$77:$S$88,0)</f>
        <v>12</v>
      </c>
      <c r="G16" s="6" t="str">
        <f t="shared" si="0"/>
        <v>12/01/2017</v>
      </c>
      <c r="H16" s="6">
        <f t="shared" si="1"/>
        <v>43070</v>
      </c>
      <c r="I16" s="6">
        <f t="shared" si="2"/>
        <v>5</v>
      </c>
      <c r="J16" s="8">
        <f t="shared" si="3"/>
        <v>31</v>
      </c>
      <c r="K16" s="6" t="s">
        <v>39</v>
      </c>
      <c r="L16" s="6" t="str">
        <f>CONCATENATE("310 - ",BatchList[First and Last Name]," - ",LEFT(BatchList[Month],3),"_",BatchList[Year])</f>
        <v>310 - Angela Gorcea - Dec_2017</v>
      </c>
      <c r="M16" s="6">
        <v>2</v>
      </c>
      <c r="N16" s="8" t="str">
        <f>CONCATENATE(BatchList[Folder Location],"\",BatchList[FileName],".xlsx")</f>
        <v>E:\Dropbox (BEST)\002 data base\0300 Data base - Bureaucracy\Moldova Branch\002 md database\0300 md_data base_bureacracy\310\310_angela gorcea\310 - Angela Gorcea - Dec_2017.xlsx</v>
      </c>
      <c r="O16" s="8" t="str">
        <f>CONCATENATE(BatchList[Folder Location],"\",BatchList[FileName],"_NEWLY_ADDED",".xlsx")</f>
        <v>E:\Dropbox (BEST)\002 data base\0300 Data base - Bureaucracy\Moldova Branch\002 md database\0300 md_data base_bureacracy\310\310_angela gorcea\310 - Angela Gorcea - Dec_2017_NEWLY_ADDED.xlsx</v>
      </c>
      <c r="P16" s="6">
        <v>1</v>
      </c>
      <c r="Q16" s="2">
        <v>0</v>
      </c>
      <c r="R16" s="2" t="s">
        <v>143</v>
      </c>
    </row>
    <row r="17" spans="2:18" ht="16.5" thickBot="1" x14ac:dyDescent="0.3">
      <c r="B17" s="13" t="s">
        <v>40</v>
      </c>
      <c r="C17" s="2" t="s">
        <v>132</v>
      </c>
      <c r="D17" s="2">
        <v>2017</v>
      </c>
      <c r="E17" s="2" t="s">
        <v>15</v>
      </c>
      <c r="F17" s="6">
        <f>MATCH(C17,[1]MAIN!$S$77:$S$88,0)</f>
        <v>12</v>
      </c>
      <c r="G17" s="6" t="str">
        <f t="shared" si="0"/>
        <v>12/01/2017</v>
      </c>
      <c r="H17" s="6">
        <f t="shared" si="1"/>
        <v>43070</v>
      </c>
      <c r="I17" s="6">
        <f t="shared" si="2"/>
        <v>5</v>
      </c>
      <c r="J17" s="8">
        <f t="shared" si="3"/>
        <v>31</v>
      </c>
      <c r="K17" s="6" t="s">
        <v>41</v>
      </c>
      <c r="L17" s="6" t="str">
        <f>CONCATENATE("310 - ",BatchList[First and Last Name]," - ",LEFT(BatchList[Month],3),"_",BatchList[Year])</f>
        <v>310 - Ecaterina Gurenco - Dec_2017</v>
      </c>
      <c r="M17" s="6">
        <v>2</v>
      </c>
      <c r="N17" s="8" t="str">
        <f>CONCATENATE(BatchList[Folder Location],"\",BatchList[FileName],".xlsx")</f>
        <v>E:\Dropbox (BEST)\002 data base\0300 Data base - Bureaucracy\Moldova Branch\002 md database\0300 md_data base_bureacracy\310\310_ecaterina gurenco\310 - Ecaterina Gurenco - Dec_2017.xlsx</v>
      </c>
      <c r="O17" s="8" t="str">
        <f>CONCATENATE(BatchList[Folder Location],"\",BatchList[FileName],"_NEWLY_ADDED",".xlsx")</f>
        <v>E:\Dropbox (BEST)\002 data base\0300 Data base - Bureaucracy\Moldova Branch\002 md database\0300 md_data base_bureacracy\310\310_ecaterina gurenco\310 - Ecaterina Gurenco - Dec_2017_NEWLY_ADDED.xlsx</v>
      </c>
      <c r="P17" s="6">
        <v>1</v>
      </c>
      <c r="Q17" s="2">
        <v>0</v>
      </c>
      <c r="R17" s="2" t="s">
        <v>213</v>
      </c>
    </row>
    <row r="18" spans="2:18" ht="16.5" thickBot="1" x14ac:dyDescent="0.3">
      <c r="B18" s="7" t="s">
        <v>42</v>
      </c>
      <c r="C18" s="2" t="s">
        <v>132</v>
      </c>
      <c r="D18" s="2">
        <v>2017</v>
      </c>
      <c r="E18" s="2" t="s">
        <v>15</v>
      </c>
      <c r="F18" s="6">
        <f>MATCH(C18,[1]MAIN!$S$77:$S$88,0)</f>
        <v>12</v>
      </c>
      <c r="G18" s="6" t="str">
        <f t="shared" si="0"/>
        <v>12/01/2017</v>
      </c>
      <c r="H18" s="6">
        <f t="shared" si="1"/>
        <v>43070</v>
      </c>
      <c r="I18" s="6">
        <f t="shared" si="2"/>
        <v>5</v>
      </c>
      <c r="J18" s="8">
        <f t="shared" si="3"/>
        <v>31</v>
      </c>
      <c r="K18" s="6" t="s">
        <v>43</v>
      </c>
      <c r="L18" s="6" t="str">
        <f>CONCATENATE("310 - ",BatchList[First and Last Name]," - ",LEFT(BatchList[Month],3),"_",BatchList[Year])</f>
        <v>310 - Irina Caldare - Dec_2017</v>
      </c>
      <c r="M18" s="6">
        <v>2</v>
      </c>
      <c r="N18" s="8" t="str">
        <f>CONCATENATE(BatchList[Folder Location],"\",BatchList[FileName],".xlsx")</f>
        <v>E:\Dropbox (BEST)\002 data base\0300 Data base - Bureaucracy\Moldova Branch\002 md database\0300 md_data base_bureacracy\310\310_irina caldare\310 - Irina Caldare - Dec_2017.xlsx</v>
      </c>
      <c r="O18" s="8" t="str">
        <f>CONCATENATE(BatchList[Folder Location],"\",BatchList[FileName],"_NEWLY_ADDED",".xlsx")</f>
        <v>E:\Dropbox (BEST)\002 data base\0300 Data base - Bureaucracy\Moldova Branch\002 md database\0300 md_data base_bureacracy\310\310_irina caldare\310 - Irina Caldare - Dec_2017_NEWLY_ADDED.xlsx</v>
      </c>
      <c r="P18" s="6">
        <v>1</v>
      </c>
      <c r="Q18" s="2">
        <v>0</v>
      </c>
      <c r="R18" s="2" t="s">
        <v>144</v>
      </c>
    </row>
    <row r="19" spans="2:18" ht="16.5" thickBot="1" x14ac:dyDescent="0.3">
      <c r="B19" s="7" t="s">
        <v>44</v>
      </c>
      <c r="C19" s="2" t="s">
        <v>132</v>
      </c>
      <c r="D19" s="2">
        <v>2017</v>
      </c>
      <c r="E19" s="2" t="s">
        <v>15</v>
      </c>
      <c r="F19" s="2">
        <f>MATCH(C19,[1]MAIN!$S$77:$S$88,0)</f>
        <v>12</v>
      </c>
      <c r="G19" s="2" t="str">
        <f t="shared" si="0"/>
        <v>12/01/2017</v>
      </c>
      <c r="H19" s="2">
        <f t="shared" si="1"/>
        <v>43070</v>
      </c>
      <c r="I19" s="2">
        <f t="shared" si="2"/>
        <v>5</v>
      </c>
      <c r="J19" s="9">
        <f t="shared" si="3"/>
        <v>31</v>
      </c>
      <c r="K19" s="2" t="s">
        <v>45</v>
      </c>
      <c r="L19" s="2" t="str">
        <f>CONCATENATE("310 - ",BatchList[First and Last Name]," - ",LEFT(BatchList[Month],3),"_",BatchList[Year])</f>
        <v>310 - Natalia Protiuc - Dec_2017</v>
      </c>
      <c r="M19" s="6">
        <v>2</v>
      </c>
      <c r="N19" s="9" t="str">
        <f>CONCATENATE(BatchList[Folder Location],"\",BatchList[FileName],".xlsx")</f>
        <v>E:\Dropbox (BEST)\002 data base\0300 Data base - Bureaucracy\Moldova Branch\002 md database\0300 md_data base_bureacracy\310\310_natalia protiuc\310 - Natalia Protiuc - Dec_2017.xlsx</v>
      </c>
      <c r="O19" s="9" t="str">
        <f>CONCATENATE(BatchList[Folder Location],"\",BatchList[FileName],"_NEWLY_ADDED",".xlsx")</f>
        <v>E:\Dropbox (BEST)\002 data base\0300 Data base - Bureaucracy\Moldova Branch\002 md database\0300 md_data base_bureacracy\310\310_natalia protiuc\310 - Natalia Protiuc - Dec_2017_NEWLY_ADDED.xlsx</v>
      </c>
      <c r="P19" s="6">
        <v>1</v>
      </c>
      <c r="Q19" s="2">
        <v>0</v>
      </c>
      <c r="R19" s="2" t="s">
        <v>145</v>
      </c>
    </row>
    <row r="20" spans="2:18" ht="16.5" thickBot="1" x14ac:dyDescent="0.3">
      <c r="B20" s="7" t="s">
        <v>46</v>
      </c>
      <c r="C20" s="2" t="s">
        <v>132</v>
      </c>
      <c r="D20" s="2">
        <v>2017</v>
      </c>
      <c r="E20" s="2" t="s">
        <v>15</v>
      </c>
      <c r="F20" s="6">
        <f>MATCH(C20,[1]MAIN!$S$77:$S$88,0)</f>
        <v>12</v>
      </c>
      <c r="G20" s="6" t="str">
        <f t="shared" si="0"/>
        <v>12/01/2017</v>
      </c>
      <c r="H20" s="6">
        <f t="shared" si="1"/>
        <v>43070</v>
      </c>
      <c r="I20" s="6">
        <f t="shared" si="2"/>
        <v>5</v>
      </c>
      <c r="J20" s="8">
        <f t="shared" si="3"/>
        <v>31</v>
      </c>
      <c r="K20" s="6" t="s">
        <v>47</v>
      </c>
      <c r="L20" s="6" t="str">
        <f>CONCATENATE("310 - ",BatchList[First and Last Name]," - ",LEFT(BatchList[Month],3),"_",BatchList[Year])</f>
        <v>310 - Natalia Slobozeanu - Dec_2017</v>
      </c>
      <c r="M20" s="6">
        <v>2</v>
      </c>
      <c r="N20" s="8" t="str">
        <f>CONCATENATE(BatchList[Folder Location],"\",BatchList[FileName],".xlsx")</f>
        <v>E:\Dropbox (BEST)\002 data base\0300 Data base - Bureaucracy\Moldova Branch\002 md database\0300 md_data base_bureacracy\310\310_natalia slobozeanu\310 - Natalia Slobozeanu - Dec_2017.xlsx</v>
      </c>
      <c r="O20" s="8" t="str">
        <f>CONCATENATE(BatchList[Folder Location],"\",BatchList[FileName],"_NEWLY_ADDED",".xlsx")</f>
        <v>E:\Dropbox (BEST)\002 data base\0300 Data base - Bureaucracy\Moldova Branch\002 md database\0300 md_data base_bureacracy\310\310_natalia slobozeanu\310 - Natalia Slobozeanu - Dec_2017_NEWLY_ADDED.xlsx</v>
      </c>
      <c r="P20" s="6">
        <v>1</v>
      </c>
      <c r="Q20" s="2">
        <v>0</v>
      </c>
      <c r="R20" s="2" t="s">
        <v>146</v>
      </c>
    </row>
    <row r="21" spans="2:18" ht="16.5" thickBot="1" x14ac:dyDescent="0.3">
      <c r="B21" s="7" t="s">
        <v>48</v>
      </c>
      <c r="C21" s="2" t="s">
        <v>132</v>
      </c>
      <c r="D21" s="2">
        <v>2017</v>
      </c>
      <c r="E21" s="2" t="s">
        <v>15</v>
      </c>
      <c r="F21" s="2">
        <f>MATCH(C21,[1]MAIN!$S$77:$S$88,0)</f>
        <v>12</v>
      </c>
      <c r="G21" s="2" t="str">
        <f t="shared" si="0"/>
        <v>12/01/2017</v>
      </c>
      <c r="H21" s="2">
        <f t="shared" si="1"/>
        <v>43070</v>
      </c>
      <c r="I21" s="2">
        <f t="shared" si="2"/>
        <v>5</v>
      </c>
      <c r="J21" s="9">
        <f t="shared" si="3"/>
        <v>31</v>
      </c>
      <c r="K21" s="2" t="s">
        <v>49</v>
      </c>
      <c r="L21" s="2" t="str">
        <f>CONCATENATE("310 - ",BatchList[First and Last Name]," - ",LEFT(BatchList[Month],3),"_",BatchList[Year])</f>
        <v>310 - Oxana Radzievici - Dec_2017</v>
      </c>
      <c r="M21" s="6">
        <v>2</v>
      </c>
      <c r="N21" s="9" t="str">
        <f>CONCATENATE(BatchList[Folder Location],"\",BatchList[FileName],".xlsx")</f>
        <v>E:\Dropbox (BEST)\002 data base\0300 Data base - Bureaucracy\Moldova Branch\002 md database\0300 md_data base_bureacracy\310\310_Oxana Radzievici\310 - Oxana Radzievici - Dec_2017.xlsx</v>
      </c>
      <c r="O21" s="9" t="str">
        <f>CONCATENATE(BatchList[Folder Location],"\",BatchList[FileName],"_NEWLY_ADDED",".xlsx")</f>
        <v>E:\Dropbox (BEST)\002 data base\0300 Data base - Bureaucracy\Moldova Branch\002 md database\0300 md_data base_bureacracy\310\310_Oxana Radzievici\310 - Oxana Radzievici - Dec_2017_NEWLY_ADDED.xlsx</v>
      </c>
      <c r="P21" s="6">
        <v>1</v>
      </c>
      <c r="Q21" s="2">
        <v>0</v>
      </c>
      <c r="R21" s="2"/>
    </row>
    <row r="22" spans="2:18" ht="16.5" thickBot="1" x14ac:dyDescent="0.3">
      <c r="B22" s="5" t="s">
        <v>50</v>
      </c>
      <c r="C22" s="2" t="s">
        <v>132</v>
      </c>
      <c r="D22" s="2">
        <v>2017</v>
      </c>
      <c r="E22" s="2" t="s">
        <v>15</v>
      </c>
      <c r="F22" s="6">
        <f>MATCH(C22,[1]MAIN!$S$77:$S$88,0)</f>
        <v>12</v>
      </c>
      <c r="G22" s="6" t="str">
        <f t="shared" si="0"/>
        <v>12/01/2017</v>
      </c>
      <c r="H22" s="6">
        <f t="shared" si="1"/>
        <v>43070</v>
      </c>
      <c r="I22" s="6">
        <f t="shared" si="2"/>
        <v>5</v>
      </c>
      <c r="J22" s="8">
        <f t="shared" si="3"/>
        <v>31</v>
      </c>
      <c r="K22" s="6" t="s">
        <v>51</v>
      </c>
      <c r="L22" s="6" t="str">
        <f>CONCATENATE("310 - ",BatchList[First and Last Name]," - ",LEFT(BatchList[Month],3),"_",BatchList[Year])</f>
        <v>310 - Petru Zatic - Dec_2017</v>
      </c>
      <c r="M22" s="6">
        <v>2</v>
      </c>
      <c r="N22" s="8" t="str">
        <f>CONCATENATE(BatchList[Folder Location],"\",BatchList[FileName],".xlsx")</f>
        <v>E:\Dropbox (BEST)\002 data base\0300 Data base - Bureaucracy\Moldova Branch\002 md database\0300 md_data base_bureacracy\310\310_Petru Zatic\310 - Petru Zatic - Dec_2017.xlsx</v>
      </c>
      <c r="O22" s="8" t="str">
        <f>CONCATENATE(BatchList[Folder Location],"\",BatchList[FileName],"_NEWLY_ADDED",".xlsx")</f>
        <v>E:\Dropbox (BEST)\002 data base\0300 Data base - Bureaucracy\Moldova Branch\002 md database\0300 md_data base_bureacracy\310\310_Petru Zatic\310 - Petru Zatic - Dec_2017_NEWLY_ADDED.xlsx</v>
      </c>
      <c r="P22" s="6">
        <v>1</v>
      </c>
      <c r="Q22" s="2">
        <v>0</v>
      </c>
      <c r="R22" s="2" t="s">
        <v>214</v>
      </c>
    </row>
    <row r="23" spans="2:18" ht="16.5" thickBot="1" x14ac:dyDescent="0.3">
      <c r="B23" s="14" t="s">
        <v>136</v>
      </c>
      <c r="C23" s="2" t="s">
        <v>132</v>
      </c>
      <c r="D23" s="2">
        <v>2017</v>
      </c>
      <c r="E23" s="2" t="s">
        <v>34</v>
      </c>
      <c r="F23" s="6">
        <f>MATCH(C23,[1]MAIN!$S$77:$S$88,0)</f>
        <v>12</v>
      </c>
      <c r="G23" s="6" t="str">
        <f t="shared" si="0"/>
        <v>12/01/2017</v>
      </c>
      <c r="H23" s="6">
        <f t="shared" si="1"/>
        <v>43070</v>
      </c>
      <c r="I23" s="6">
        <f t="shared" si="2"/>
        <v>5</v>
      </c>
      <c r="J23" s="8">
        <f t="shared" si="3"/>
        <v>31</v>
      </c>
      <c r="K23" s="6" t="s">
        <v>121</v>
      </c>
      <c r="L23" s="6" t="str">
        <f>CONCATENATE("310 - ",BatchList[First and Last Name]," - ",LEFT(BatchList[Month],3),"_",BatchList[Year])</f>
        <v>310 - Mike Gheneralov - Dec_2017</v>
      </c>
      <c r="M23" s="6">
        <v>2</v>
      </c>
      <c r="N23" s="8" t="str">
        <f>CONCATENATE(BatchList[Folder Location],"\",BatchList[FileName],".xlsx")</f>
        <v>E:\Dropbox (BEST)\016 MD_TX_CA\310 - Mike Gheneralov - Dec_2017.xlsx</v>
      </c>
      <c r="O23" s="8" t="str">
        <f>CONCATENATE(BatchList[Folder Location],"\",BatchList[FileName],"_NEWLY_ADDED",".xlsx")</f>
        <v>E:\Dropbox (BEST)\016 MD_TX_CA\310 - Mike Gheneralov - Dec_2017_NEWLY_ADDED.xlsx</v>
      </c>
      <c r="P23" s="6">
        <v>1</v>
      </c>
      <c r="Q23" s="2">
        <v>1</v>
      </c>
      <c r="R23" s="2" t="s">
        <v>147</v>
      </c>
    </row>
    <row r="24" spans="2:18" ht="16.5" thickBot="1" x14ac:dyDescent="0.3">
      <c r="B24" s="5" t="s">
        <v>53</v>
      </c>
      <c r="C24" s="2" t="s">
        <v>132</v>
      </c>
      <c r="D24" s="2">
        <v>2017</v>
      </c>
      <c r="E24" s="2" t="s">
        <v>34</v>
      </c>
      <c r="F24" s="6">
        <f>MATCH(C24,[1]MAIN!$S$77:$S$88,0)</f>
        <v>12</v>
      </c>
      <c r="G24" s="6" t="str">
        <f t="shared" si="0"/>
        <v>12/01/2017</v>
      </c>
      <c r="H24" s="6">
        <f t="shared" si="1"/>
        <v>43070</v>
      </c>
      <c r="I24" s="6">
        <f t="shared" si="2"/>
        <v>5</v>
      </c>
      <c r="J24" s="8">
        <f t="shared" si="3"/>
        <v>31</v>
      </c>
      <c r="K24" s="6" t="s">
        <v>121</v>
      </c>
      <c r="L24" s="6" t="str">
        <f>CONCATENATE("310 - ",BatchList[First and Last Name]," - ",LEFT(BatchList[Month],3),"_",BatchList[Year])</f>
        <v>310 - Elena Romandas - Dec_2017</v>
      </c>
      <c r="M24" s="6">
        <v>2</v>
      </c>
      <c r="N24" s="8" t="str">
        <f>CONCATENATE(BatchList[Folder Location],"\",BatchList[FileName],".xlsx")</f>
        <v>E:\Dropbox (BEST)\016 MD_TX_CA\310 - Elena Romandas - Dec_2017.xlsx</v>
      </c>
      <c r="O24" s="8" t="str">
        <f>CONCATENATE(BatchList[Folder Location],"\",BatchList[FileName],"_NEWLY_ADDED",".xlsx")</f>
        <v>E:\Dropbox (BEST)\016 MD_TX_CA\310 - Elena Romandas - Dec_2017_NEWLY_ADDED.xlsx</v>
      </c>
      <c r="P24" s="6">
        <v>1</v>
      </c>
      <c r="Q24" s="2">
        <v>1</v>
      </c>
      <c r="R24" s="2" t="s">
        <v>148</v>
      </c>
    </row>
    <row r="25" spans="2:18" ht="16.5" thickBot="1" x14ac:dyDescent="0.3">
      <c r="B25" s="5" t="s">
        <v>54</v>
      </c>
      <c r="C25" s="2" t="s">
        <v>132</v>
      </c>
      <c r="D25" s="2">
        <v>2017</v>
      </c>
      <c r="E25" s="2" t="s">
        <v>34</v>
      </c>
      <c r="F25" s="6">
        <f>MATCH(C25,[1]MAIN!$S$77:$S$88,0)</f>
        <v>12</v>
      </c>
      <c r="G25" s="6" t="str">
        <f t="shared" si="0"/>
        <v>12/01/2017</v>
      </c>
      <c r="H25" s="6">
        <f t="shared" si="1"/>
        <v>43070</v>
      </c>
      <c r="I25" s="6">
        <f t="shared" si="2"/>
        <v>5</v>
      </c>
      <c r="J25" s="8">
        <f t="shared" si="3"/>
        <v>31</v>
      </c>
      <c r="K25" s="6" t="s">
        <v>121</v>
      </c>
      <c r="L25" s="6" t="str">
        <f>CONCATENATE("310 - ",BatchList[First and Last Name]," - ",LEFT(BatchList[Month],3),"_",BatchList[Year])</f>
        <v>310 - Olga Tiju - Dec_2017</v>
      </c>
      <c r="M25" s="6">
        <v>2</v>
      </c>
      <c r="N25" s="8" t="str">
        <f>CONCATENATE(BatchList[Folder Location],"\",BatchList[FileName],".xlsx")</f>
        <v>E:\Dropbox (BEST)\016 MD_TX_CA\310 - Olga Tiju - Dec_2017.xlsx</v>
      </c>
      <c r="O25" s="8" t="str">
        <f>CONCATENATE(BatchList[Folder Location],"\",BatchList[FileName],"_NEWLY_ADDED",".xlsx")</f>
        <v>E:\Dropbox (BEST)\016 MD_TX_CA\310 - Olga Tiju - Dec_2017_NEWLY_ADDED.xlsx</v>
      </c>
      <c r="P25" s="6">
        <v>1</v>
      </c>
      <c r="Q25" s="2">
        <v>1</v>
      </c>
      <c r="R25" s="2" t="s">
        <v>149</v>
      </c>
    </row>
    <row r="26" spans="2:18" ht="16.5" thickBot="1" x14ac:dyDescent="0.3">
      <c r="B26" s="5" t="s">
        <v>55</v>
      </c>
      <c r="C26" s="2" t="s">
        <v>132</v>
      </c>
      <c r="D26" s="2">
        <v>2017</v>
      </c>
      <c r="E26" s="2" t="s">
        <v>34</v>
      </c>
      <c r="F26" s="6">
        <f>MATCH(C26,[1]MAIN!$S$77:$S$88,0)</f>
        <v>12</v>
      </c>
      <c r="G26" s="6" t="str">
        <f t="shared" si="0"/>
        <v>12/01/2017</v>
      </c>
      <c r="H26" s="6">
        <f t="shared" si="1"/>
        <v>43070</v>
      </c>
      <c r="I26" s="6">
        <f t="shared" si="2"/>
        <v>5</v>
      </c>
      <c r="J26" s="8">
        <f t="shared" si="3"/>
        <v>31</v>
      </c>
      <c r="K26" s="6" t="s">
        <v>121</v>
      </c>
      <c r="L26" s="6" t="str">
        <f>CONCATENATE("310 - ",BatchList[First and Last Name]," - ",LEFT(BatchList[Month],3),"_",BatchList[Year])</f>
        <v>310 - Sergiu Racu - Dec_2017</v>
      </c>
      <c r="M26" s="6">
        <v>2</v>
      </c>
      <c r="N26" s="8" t="str">
        <f>CONCATENATE(BatchList[Folder Location],"\",BatchList[FileName],".xlsx")</f>
        <v>E:\Dropbox (BEST)\016 MD_TX_CA\310 - Sergiu Racu - Dec_2017.xlsx</v>
      </c>
      <c r="O26" s="8" t="str">
        <f>CONCATENATE(BatchList[Folder Location],"\",BatchList[FileName],"_NEWLY_ADDED",".xlsx")</f>
        <v>E:\Dropbox (BEST)\016 MD_TX_CA\310 - Sergiu Racu - Dec_2017_NEWLY_ADDED.xlsx</v>
      </c>
      <c r="P26" s="6">
        <v>1</v>
      </c>
      <c r="Q26" s="2">
        <v>1</v>
      </c>
      <c r="R26" s="2" t="s">
        <v>150</v>
      </c>
    </row>
    <row r="27" spans="2:18" ht="16.5" thickBot="1" x14ac:dyDescent="0.3">
      <c r="B27" s="5" t="s">
        <v>56</v>
      </c>
      <c r="C27" s="2" t="s">
        <v>132</v>
      </c>
      <c r="D27" s="2">
        <v>2017</v>
      </c>
      <c r="E27" s="2" t="s">
        <v>15</v>
      </c>
      <c r="F27" s="6">
        <f>MATCH(C27,[1]MAIN!$S$77:$S$88,0)</f>
        <v>12</v>
      </c>
      <c r="G27" s="6" t="str">
        <f t="shared" si="0"/>
        <v>12/01/2017</v>
      </c>
      <c r="H27" s="6">
        <f t="shared" si="1"/>
        <v>43070</v>
      </c>
      <c r="I27" s="6">
        <f t="shared" si="2"/>
        <v>5</v>
      </c>
      <c r="J27" s="8">
        <f t="shared" si="3"/>
        <v>31</v>
      </c>
      <c r="K27" s="6" t="s">
        <v>57</v>
      </c>
      <c r="L27" s="6" t="str">
        <f>CONCATENATE("310 - ",BatchList[First and Last Name]," - ",LEFT(BatchList[Month],3),"_",BatchList[Year])</f>
        <v>310 - Walter Aldana - Dec_2017</v>
      </c>
      <c r="M27" s="6">
        <v>0</v>
      </c>
      <c r="N27" s="8" t="str">
        <f>CONCATENATE(BatchList[Folder Location],"\",BatchList[FileName],".xlsx")</f>
        <v>E:\Dropbox (BEST)\002 data base\0300 Data base - Bureaucracy\310\310-Walter Aldana\310 - Walter Aldana - Dec_2017.xlsx</v>
      </c>
      <c r="O27" s="8" t="str">
        <f>CONCATENATE(BatchList[Folder Location],"\",BatchList[FileName],"_NEWLY_ADDED",".xlsx")</f>
        <v>E:\Dropbox (BEST)\002 data base\0300 Data base - Bureaucracy\310\310-Walter Aldana\310 - Walter Aldana - Dec_2017_NEWLY_ADDED.xlsx</v>
      </c>
      <c r="P27" s="6">
        <v>1</v>
      </c>
      <c r="Q27" s="2">
        <v>0</v>
      </c>
      <c r="R27" s="2"/>
    </row>
    <row r="28" spans="2:18" ht="16.5" thickBot="1" x14ac:dyDescent="0.3">
      <c r="B28" s="13" t="s">
        <v>58</v>
      </c>
      <c r="C28" s="2" t="s">
        <v>132</v>
      </c>
      <c r="D28" s="2">
        <v>2017</v>
      </c>
      <c r="E28" s="2" t="s">
        <v>34</v>
      </c>
      <c r="F28" s="6">
        <f>MATCH(C28,[1]MAIN!$S$77:$S$88,0)</f>
        <v>12</v>
      </c>
      <c r="G28" s="6" t="str">
        <f t="shared" si="0"/>
        <v>12/01/2017</v>
      </c>
      <c r="H28" s="6">
        <f t="shared" si="1"/>
        <v>43070</v>
      </c>
      <c r="I28" s="6">
        <f t="shared" si="2"/>
        <v>5</v>
      </c>
      <c r="J28" s="8">
        <f t="shared" si="3"/>
        <v>31</v>
      </c>
      <c r="K28" s="6" t="s">
        <v>121</v>
      </c>
      <c r="L28" s="6" t="str">
        <f>CONCATENATE("310 - ",BatchList[First and Last Name]," - ",LEFT(BatchList[Month],3),"_",BatchList[Year])</f>
        <v>310 - Ron Maldonado - Dec_2017</v>
      </c>
      <c r="M28" s="6">
        <v>0</v>
      </c>
      <c r="N28" s="8" t="str">
        <f>CONCATENATE(BatchList[Folder Location],"\",BatchList[FileName],".xlsx")</f>
        <v>E:\Dropbox (BEST)\016 MD_TX_CA\310 - Ron Maldonado - Dec_2017.xlsx</v>
      </c>
      <c r="O28" s="8" t="str">
        <f>CONCATENATE(BatchList[Folder Location],"\",BatchList[FileName],"_NEWLY_ADDED",".xlsx")</f>
        <v>E:\Dropbox (BEST)\016 MD_TX_CA\310 - Ron Maldonado - Dec_2017_NEWLY_ADDED.xlsx</v>
      </c>
      <c r="P28" s="6">
        <v>1</v>
      </c>
      <c r="Q28" s="2">
        <v>1</v>
      </c>
      <c r="R28" s="2" t="s">
        <v>151</v>
      </c>
    </row>
    <row r="29" spans="2:18" ht="16.5" thickBot="1" x14ac:dyDescent="0.3">
      <c r="B29" s="15" t="s">
        <v>59</v>
      </c>
      <c r="C29" s="2" t="s">
        <v>132</v>
      </c>
      <c r="D29" s="2">
        <v>2017</v>
      </c>
      <c r="E29" s="2" t="s">
        <v>15</v>
      </c>
      <c r="F29" s="6">
        <f>MATCH(C29,[1]MAIN!$S$77:$S$88,0)</f>
        <v>12</v>
      </c>
      <c r="G29" s="6" t="str">
        <f t="shared" si="0"/>
        <v>12/01/2017</v>
      </c>
      <c r="H29" s="6">
        <f t="shared" si="1"/>
        <v>43070</v>
      </c>
      <c r="I29" s="6">
        <f t="shared" si="2"/>
        <v>5</v>
      </c>
      <c r="J29" s="8">
        <f t="shared" si="3"/>
        <v>31</v>
      </c>
      <c r="K29" s="6" t="s">
        <v>60</v>
      </c>
      <c r="L29" s="6" t="str">
        <f>CONCATENATE("310 - ",BatchList[First and Last Name]," - ",LEFT(BatchList[Month],3),"_",BatchList[Year])</f>
        <v>310 - Sonia Arias - Dec_2017</v>
      </c>
      <c r="M29" s="6">
        <v>0</v>
      </c>
      <c r="N29" s="8" t="str">
        <f>CONCATENATE(BatchList[Folder Location],"\",BatchList[FileName],".xlsx")</f>
        <v>E:\Dropbox (BEST)\002 data base\0300 Data base - Bureaucracy\310\310-Sonia Arias\310 - Sonia Arias - Dec_2017.xlsx</v>
      </c>
      <c r="O29" s="8" t="str">
        <f>CONCATENATE(BatchList[Folder Location],"\",BatchList[FileName],"_NEWLY_ADDED",".xlsx")</f>
        <v>E:\Dropbox (BEST)\002 data base\0300 Data base - Bureaucracy\310\310-Sonia Arias\310 - Sonia Arias - Dec_2017_NEWLY_ADDED.xlsx</v>
      </c>
      <c r="P29" s="6">
        <v>1</v>
      </c>
      <c r="Q29" s="2">
        <v>0</v>
      </c>
      <c r="R29" s="2" t="s">
        <v>152</v>
      </c>
    </row>
    <row r="30" spans="2:18" ht="16.5" thickBot="1" x14ac:dyDescent="0.3">
      <c r="B30" s="15" t="s">
        <v>61</v>
      </c>
      <c r="C30" s="2" t="s">
        <v>132</v>
      </c>
      <c r="D30" s="2">
        <v>2017</v>
      </c>
      <c r="E30" s="2" t="s">
        <v>15</v>
      </c>
      <c r="F30" s="6">
        <f>MATCH(C30,[1]MAIN!$S$77:$S$88,0)</f>
        <v>12</v>
      </c>
      <c r="G30" s="6" t="str">
        <f t="shared" si="0"/>
        <v>12/01/2017</v>
      </c>
      <c r="H30" s="6">
        <f t="shared" si="1"/>
        <v>43070</v>
      </c>
      <c r="I30" s="6">
        <f t="shared" si="2"/>
        <v>5</v>
      </c>
      <c r="J30" s="8">
        <f t="shared" si="3"/>
        <v>31</v>
      </c>
      <c r="K30" s="6" t="s">
        <v>206</v>
      </c>
      <c r="L30" s="6" t="str">
        <f>CONCATENATE("310 - ",BatchList[First and Last Name]," - ",LEFT(BatchList[Month],3),"_",BatchList[Year])</f>
        <v>310 - Jaleen Dunston - Dec_2017</v>
      </c>
      <c r="M30" s="6">
        <v>0</v>
      </c>
      <c r="N30" s="8" t="str">
        <f>CONCATENATE(BatchList[Folder Location],"\",BatchList[FileName],".xlsx")</f>
        <v>E:\Dropbox (BEST)\002 data base\0300 Data base - Bureaucracy\310\310- jaleen dunston\2018\310 - Jaleen Dunston - Dec_2017.xlsx</v>
      </c>
      <c r="O30" s="8" t="str">
        <f>CONCATENATE(BatchList[Folder Location],"\",BatchList[FileName],"_NEWLY_ADDED",".xlsx")</f>
        <v>E:\Dropbox (BEST)\002 data base\0300 Data base - Bureaucracy\310\310- jaleen dunston\2018\310 - Jaleen Dunston - Dec_2017_NEWLY_ADDED.xlsx</v>
      </c>
      <c r="P30" s="6">
        <v>1</v>
      </c>
      <c r="Q30" s="2">
        <v>0</v>
      </c>
      <c r="R30" s="2" t="s">
        <v>215</v>
      </c>
    </row>
    <row r="31" spans="2:18" ht="16.5" thickBot="1" x14ac:dyDescent="0.3">
      <c r="B31" s="15" t="s">
        <v>62</v>
      </c>
      <c r="C31" s="2" t="s">
        <v>132</v>
      </c>
      <c r="D31" s="2">
        <v>2017</v>
      </c>
      <c r="E31" s="2" t="s">
        <v>15</v>
      </c>
      <c r="F31" s="6">
        <f>MATCH(C31,[1]MAIN!$S$77:$S$88,0)</f>
        <v>12</v>
      </c>
      <c r="G31" s="6" t="str">
        <f t="shared" si="0"/>
        <v>12/01/2017</v>
      </c>
      <c r="H31" s="6">
        <f t="shared" si="1"/>
        <v>43070</v>
      </c>
      <c r="I31" s="6">
        <f t="shared" si="2"/>
        <v>5</v>
      </c>
      <c r="J31" s="8">
        <f t="shared" si="3"/>
        <v>31</v>
      </c>
      <c r="K31" s="6" t="s">
        <v>63</v>
      </c>
      <c r="L31" s="6" t="str">
        <f>CONCATENATE("310 - ",BatchList[First and Last Name]," - ",LEFT(BatchList[Month],3),"_",BatchList[Year])</f>
        <v>310 - Rita Zelaya - Dec_2017</v>
      </c>
      <c r="M31" s="6">
        <v>0</v>
      </c>
      <c r="N31" s="8" t="str">
        <f>CONCATENATE(BatchList[Folder Location],"\",BatchList[FileName],".xlsx")</f>
        <v>E:\Dropbox (BEST)\002 data base\0300 Data base - Bureaucracy\310\310-Rita Zelaya\310 - Rita Zelaya - Dec_2017.xlsx</v>
      </c>
      <c r="O31" s="8" t="str">
        <f>CONCATENATE(BatchList[Folder Location],"\",BatchList[FileName],"_NEWLY_ADDED",".xlsx")</f>
        <v>E:\Dropbox (BEST)\002 data base\0300 Data base - Bureaucracy\310\310-Rita Zelaya\310 - Rita Zelaya - Dec_2017_NEWLY_ADDED.xlsx</v>
      </c>
      <c r="P31" s="6">
        <v>1</v>
      </c>
      <c r="Q31" s="2">
        <v>1</v>
      </c>
      <c r="R31" s="2" t="s">
        <v>153</v>
      </c>
    </row>
    <row r="32" spans="2:18" ht="16.5" thickBot="1" x14ac:dyDescent="0.3">
      <c r="B32" s="15" t="s">
        <v>64</v>
      </c>
      <c r="C32" s="2" t="s">
        <v>132</v>
      </c>
      <c r="D32" s="6">
        <v>2017</v>
      </c>
      <c r="E32" s="6" t="s">
        <v>15</v>
      </c>
      <c r="F32" s="6">
        <f>MATCH(C32,[1]MAIN!$S$77:$S$88,0)</f>
        <v>12</v>
      </c>
      <c r="G32" s="6" t="str">
        <f>CONCATENATE(F32,"/","01","/",D32)</f>
        <v>12/01/2017</v>
      </c>
      <c r="H32" s="6">
        <f>DATEVALUE(G32)</f>
        <v>43070</v>
      </c>
      <c r="I32" s="6">
        <f>WEEKDAY(H32,2)</f>
        <v>5</v>
      </c>
      <c r="J32" s="8">
        <f>DAY(EOMONTH($H32,0))</f>
        <v>31</v>
      </c>
      <c r="K32" s="6" t="s">
        <v>65</v>
      </c>
      <c r="L32" s="6" t="str">
        <f>CONCATENATE("310 - ",BatchList[First and Last Name]," - ",LEFT(BatchList[Month],3),"_",BatchList[Year])</f>
        <v>310 - Victor Boleac - Dec_2017</v>
      </c>
      <c r="M32" s="6">
        <v>2</v>
      </c>
      <c r="N32" s="8" t="str">
        <f>CONCATENATE(BatchList[Folder Location],"\",BatchList[FileName],".xlsx")</f>
        <v>E:\Dropbox (BEST)\002 data base\0300 Data base - Bureaucracy\Moldova Branch\002 md database\0300 md_data base_bureacracy\310\310_Victor Boleac\310 - Victor Boleac - Dec_2017.xlsx</v>
      </c>
      <c r="O32" s="8" t="str">
        <f>CONCATENATE(BatchList[Folder Location],"\",BatchList[FileName],"_NEWLY_ADDED",".xlsx")</f>
        <v>E:\Dropbox (BEST)\002 data base\0300 Data base - Bureaucracy\Moldova Branch\002 md database\0300 md_data base_bureacracy\310\310_Victor Boleac\310 - Victor Boleac - Dec_2017_NEWLY_ADDED.xlsx</v>
      </c>
      <c r="P32" s="6">
        <v>1</v>
      </c>
      <c r="Q32" s="2">
        <v>0</v>
      </c>
      <c r="R32" s="2" t="s">
        <v>154</v>
      </c>
    </row>
    <row r="33" spans="2:18" ht="16.5" thickBot="1" x14ac:dyDescent="0.3">
      <c r="B33" s="15" t="s">
        <v>66</v>
      </c>
      <c r="C33" s="2" t="s">
        <v>132</v>
      </c>
      <c r="D33" s="6">
        <v>2017</v>
      </c>
      <c r="E33" s="6" t="s">
        <v>15</v>
      </c>
      <c r="F33" s="6">
        <f>MATCH(C33,[1]MAIN!$S$77:$S$88,0)</f>
        <v>12</v>
      </c>
      <c r="G33" s="6" t="str">
        <f>CONCATENATE(F33,"/","01","/",D33)</f>
        <v>12/01/2017</v>
      </c>
      <c r="H33" s="6">
        <f>DATEVALUE(G33)</f>
        <v>43070</v>
      </c>
      <c r="I33" s="6">
        <f>WEEKDAY(H33,2)</f>
        <v>5</v>
      </c>
      <c r="J33" s="8">
        <f>DAY(EOMONTH($H33,0))</f>
        <v>31</v>
      </c>
      <c r="K33" s="6" t="s">
        <v>67</v>
      </c>
      <c r="L33" s="6" t="str">
        <f>CONCATENATE("310 - ",BatchList[First and Last Name]," - ",LEFT(BatchList[Month],3),"_",BatchList[Year])</f>
        <v>310 - Nancy Loziienko - Dec_2017</v>
      </c>
      <c r="M33" s="6">
        <v>3</v>
      </c>
      <c r="N33" s="8" t="str">
        <f>CONCATENATE(BatchList[Folder Location],"\",BatchList[FileName],".xlsx")</f>
        <v>E:\Dropbox (BEST)\002 data base\0300 Data base - Bureaucracy\Odessa Branch\310\310_Nancy Loziienko\310 - Nancy Loziienko - Dec_2017.xlsx</v>
      </c>
      <c r="O33" s="8" t="str">
        <f>CONCATENATE(BatchList[Folder Location],"\",BatchList[FileName],"_NEWLY_ADDED",".xlsx")</f>
        <v>E:\Dropbox (BEST)\002 data base\0300 Data base - Bureaucracy\Odessa Branch\310\310_Nancy Loziienko\310 - Nancy Loziienko - Dec_2017_NEWLY_ADDED.xlsx</v>
      </c>
      <c r="P33" s="6">
        <v>1</v>
      </c>
      <c r="Q33" s="6">
        <v>0</v>
      </c>
      <c r="R33" s="6"/>
    </row>
    <row r="34" spans="2:18" ht="16.5" thickBot="1" x14ac:dyDescent="0.3">
      <c r="B34" s="15" t="s">
        <v>137</v>
      </c>
      <c r="C34" s="6" t="s">
        <v>132</v>
      </c>
      <c r="D34" s="6">
        <v>2017</v>
      </c>
      <c r="E34" s="6" t="s">
        <v>34</v>
      </c>
      <c r="F34" s="6">
        <f>MATCH(C34,[1]MAIN!$S$77:$S$88,0)</f>
        <v>12</v>
      </c>
      <c r="G34" s="6" t="str">
        <f>CONCATENATE(F34,"/","01","/",D34)</f>
        <v>12/01/2017</v>
      </c>
      <c r="H34" s="6">
        <f>DATEVALUE(G34)</f>
        <v>43070</v>
      </c>
      <c r="I34" s="6">
        <f>WEEKDAY(H34,2)</f>
        <v>5</v>
      </c>
      <c r="J34" s="8">
        <f>DAY(EOMONTH($H34,0))</f>
        <v>31</v>
      </c>
      <c r="K34" s="6" t="s">
        <v>121</v>
      </c>
      <c r="L34" s="6" t="str">
        <f>CONCATENATE("310 - ",BatchList[First and Last Name]," - ",LEFT(BatchList[Month],3),"_",BatchList[Year])</f>
        <v>310 - Gerson Barrera - Dec_2017</v>
      </c>
      <c r="M34" s="6">
        <v>0</v>
      </c>
      <c r="N34" s="8" t="str">
        <f>CONCATENATE(BatchList[Folder Location],"\",BatchList[FileName],".xlsx")</f>
        <v>E:\Dropbox (BEST)\016 MD_TX_CA\310 - Gerson Barrera - Dec_2017.xlsx</v>
      </c>
      <c r="O34" s="8" t="str">
        <f>CONCATENATE(BatchList[Folder Location],"\",BatchList[FileName],"_NEWLY_ADDED",".xlsx")</f>
        <v>E:\Dropbox (BEST)\016 MD_TX_CA\310 - Gerson Barrera - Dec_2017_NEWLY_ADDED.xlsx</v>
      </c>
      <c r="P34" s="6">
        <v>1</v>
      </c>
      <c r="Q34" s="6">
        <v>1</v>
      </c>
      <c r="R34" s="6" t="s">
        <v>155</v>
      </c>
    </row>
    <row r="35" spans="2:18" ht="15.75" x14ac:dyDescent="0.25">
      <c r="B35" s="15" t="s">
        <v>131</v>
      </c>
      <c r="C35" s="6" t="s">
        <v>132</v>
      </c>
      <c r="D35" s="6">
        <v>2017</v>
      </c>
      <c r="E35" s="6" t="s">
        <v>34</v>
      </c>
      <c r="F35" s="6">
        <f>MATCH(C35,[1]MAIN!$S$77:$S$88,0)</f>
        <v>12</v>
      </c>
      <c r="G35" s="6" t="str">
        <f>CONCATENATE(F35,"/","01","/",D35)</f>
        <v>12/01/2017</v>
      </c>
      <c r="H35" s="6">
        <f>DATEVALUE(G35)</f>
        <v>43070</v>
      </c>
      <c r="I35" s="6">
        <f>WEEKDAY(H35,2)</f>
        <v>5</v>
      </c>
      <c r="J35" s="8">
        <f>DAY(EOMONTH($H35,0))</f>
        <v>31</v>
      </c>
      <c r="K35" s="6" t="s">
        <v>133</v>
      </c>
      <c r="L35" s="8" t="str">
        <f>CONCATENATE("310 - ",BatchList[First and Last Name]," - ",LEFT(BatchList[Month],3),"_",BatchList[Year])</f>
        <v>310 - Max Tanskiy - Dec_2017</v>
      </c>
      <c r="M35" s="6">
        <v>3</v>
      </c>
      <c r="N35" s="8" t="str">
        <f>CONCATENATE(BatchList[Folder Location],"\",BatchList[FileName],".xlsx")</f>
        <v>E:\Dropbox (BEST)\002 data base\0300 Data base - Bureaucracy\Odessa Branch\310\310_Max Tanskyi\310 - Max Tanskiy - Dec_2017.xlsx</v>
      </c>
      <c r="O35" s="8" t="str">
        <f>CONCATENATE(BatchList[Folder Location],"\",BatchList[FileName],"_NEWLY_ADDED",".xlsx")</f>
        <v>E:\Dropbox (BEST)\002 data base\0300 Data base - Bureaucracy\Odessa Branch\310\310_Max Tanskyi\310 - Max Tanskiy - Dec_2017_NEWLY_ADDED.xlsx</v>
      </c>
      <c r="P35" s="6">
        <v>1</v>
      </c>
      <c r="Q35" s="6">
        <v>1</v>
      </c>
      <c r="R35" s="6" t="s">
        <v>156</v>
      </c>
    </row>
  </sheetData>
  <conditionalFormatting sqref="P3:P35">
    <cfRule type="cellIs" dxfId="18" priority="1" operator="equal">
      <formula>0</formula>
    </cfRule>
    <cfRule type="containsBlanks" dxfId="17" priority="2">
      <formula>LEN(TRIM(P3))=0</formula>
    </cfRule>
  </conditionalFormatting>
  <dataValidations count="1">
    <dataValidation type="decimal" errorStyle="warning" allowBlank="1" showInputMessage="1" showErrorMessage="1" errorTitle="Wrong value" error="Please, enter value between 2016 and 2030" promptTitle="Please enter the year" prompt="The year should be specified as a 4-digit value, e.g. 2017. Works till 2030. Leg godt!" sqref="D3:D35">
      <formula1>2016</formula1>
      <formula2>2030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lectDirectoriesForBatch">
                <anchor moveWithCells="1" sizeWithCells="1">
                  <from>
                    <xdr:col>19</xdr:col>
                    <xdr:colOff>19050</xdr:colOff>
                    <xdr:row>5</xdr:row>
                    <xdr:rowOff>19050</xdr:rowOff>
                  </from>
                  <to>
                    <xdr:col>21</xdr:col>
                    <xdr:colOff>9525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llectTotalsBatch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22</xdr:col>
                    <xdr:colOff>400050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EntryForTotalCollections">
                <anchor moveWithCells="1" sizeWithCells="1">
                  <from>
                    <xdr:col>19</xdr:col>
                    <xdr:colOff>76200</xdr:colOff>
                    <xdr:row>9</xdr:row>
                    <xdr:rowOff>19050</xdr:rowOff>
                  </from>
                  <to>
                    <xdr:col>23</xdr:col>
                    <xdr:colOff>600075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nAllTables">
                <anchor moveWithCells="1" sizeWithCells="1">
                  <from>
                    <xdr:col>19</xdr:col>
                    <xdr:colOff>38100</xdr:colOff>
                    <xdr:row>14</xdr:row>
                    <xdr:rowOff>28575</xdr:rowOff>
                  </from>
                  <to>
                    <xdr:col>21</xdr:col>
                    <xdr:colOff>600075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Export_TablesByDpts_Simple">
                <anchor moveWithCells="1" sizeWithCells="1">
                  <from>
                    <xdr:col>18</xdr:col>
                    <xdr:colOff>600075</xdr:colOff>
                    <xdr:row>18</xdr:row>
                    <xdr:rowOff>0</xdr:rowOff>
                  </from>
                  <to>
                    <xdr:col>25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'C:\Users\admin\Desktop\[macrosProgram310_v02.xlsm]Categories'!#REF!</xm:f>
          </x14:formula1>
          <xm:sqref>E3:E35</xm:sqref>
        </x14:dataValidation>
        <x14:dataValidation type="list" allowBlank="1" showInputMessage="1" showErrorMessage="1">
          <x14:formula1>
            <xm:f>'C:\Users\admin\Desktop\[macrosProgram310_v02.xlsm]MAIN'!#REF!</xm:f>
          </x14:formula1>
          <xm:sqref>C3:C35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55"/>
  <sheetViews>
    <sheetView workbookViewId="0">
      <selection activeCell="E42" sqref="E42"/>
    </sheetView>
  </sheetViews>
  <sheetFormatPr defaultRowHeight="15" x14ac:dyDescent="0.25"/>
  <sheetData>
    <row r="1" spans="1:27" ht="15.75" thickBot="1" x14ac:dyDescent="0.3"/>
    <row r="2" spans="1:27" ht="15.75" thickBot="1" x14ac:dyDescent="0.3">
      <c r="A2" s="19" t="s">
        <v>54</v>
      </c>
      <c r="B2" t="s">
        <v>122</v>
      </c>
      <c r="D2" t="str">
        <f t="array" ref="D2">INDEX($B$2:$B$100, MATCH(0, COUNTIF($D$1:D1, $B$2:$B$100), 0))</f>
        <v>Bookkeepers</v>
      </c>
      <c r="G2" s="66" t="s">
        <v>36</v>
      </c>
      <c r="H2" s="67"/>
      <c r="I2" s="67"/>
      <c r="J2" s="67"/>
      <c r="K2" s="67"/>
      <c r="L2" s="67"/>
      <c r="M2" s="67"/>
      <c r="N2" s="67"/>
      <c r="O2" s="67"/>
      <c r="P2" s="68"/>
      <c r="R2" s="66" t="s">
        <v>36</v>
      </c>
      <c r="S2" s="67"/>
      <c r="T2" s="67"/>
      <c r="U2" s="67"/>
      <c r="V2" s="67"/>
      <c r="W2" s="67"/>
      <c r="X2" s="67"/>
      <c r="Y2" s="67"/>
      <c r="Z2" s="67"/>
      <c r="AA2" s="68"/>
    </row>
    <row r="3" spans="1:27" x14ac:dyDescent="0.25">
      <c r="A3" s="21" t="s">
        <v>58</v>
      </c>
      <c r="B3" t="s">
        <v>122</v>
      </c>
      <c r="D3" s="40" t="str">
        <f t="array" ref="D3">INDEX($B$2:$B$100, MATCH(0, COUNTIF($D$1:D2, $B$2:$B$100), 0))</f>
        <v>Dispatchers</v>
      </c>
      <c r="G3" s="69" t="s">
        <v>191</v>
      </c>
      <c r="H3" s="70"/>
      <c r="I3" s="70" t="s">
        <v>192</v>
      </c>
      <c r="J3" s="70"/>
      <c r="K3" s="70" t="s">
        <v>193</v>
      </c>
      <c r="L3" s="70"/>
      <c r="M3" s="70" t="s">
        <v>194</v>
      </c>
      <c r="N3" s="70"/>
      <c r="O3" s="70" t="s">
        <v>197</v>
      </c>
      <c r="P3" s="71"/>
      <c r="R3" s="69" t="s">
        <v>191</v>
      </c>
      <c r="S3" s="70"/>
      <c r="T3" s="70" t="s">
        <v>192</v>
      </c>
      <c r="U3" s="70"/>
      <c r="V3" s="70" t="s">
        <v>193</v>
      </c>
      <c r="W3" s="70"/>
      <c r="X3" s="70" t="s">
        <v>194</v>
      </c>
      <c r="Y3" s="70"/>
      <c r="Z3" s="70" t="s">
        <v>197</v>
      </c>
      <c r="AA3" s="71"/>
    </row>
    <row r="4" spans="1:27" ht="15.75" thickBot="1" x14ac:dyDescent="0.3">
      <c r="A4" s="18" t="s">
        <v>36</v>
      </c>
      <c r="B4" t="s">
        <v>123</v>
      </c>
      <c r="D4" s="40" t="str">
        <f t="array" ref="D4">INDEX($B$2:$B$100, MATCH(0, COUNTIF($D$1:D3, $B$2:$B$100), 0))</f>
        <v>Researchers</v>
      </c>
      <c r="G4" s="42" t="s">
        <v>195</v>
      </c>
      <c r="H4" s="43" t="s">
        <v>196</v>
      </c>
      <c r="I4" s="43" t="s">
        <v>195</v>
      </c>
      <c r="J4" s="43" t="s">
        <v>196</v>
      </c>
      <c r="K4" s="43" t="s">
        <v>195</v>
      </c>
      <c r="L4" s="43" t="s">
        <v>196</v>
      </c>
      <c r="M4" s="43" t="s">
        <v>195</v>
      </c>
      <c r="N4" s="43" t="s">
        <v>196</v>
      </c>
      <c r="O4" s="43" t="s">
        <v>195</v>
      </c>
      <c r="P4" s="44" t="s">
        <v>196</v>
      </c>
      <c r="R4" s="42" t="s">
        <v>195</v>
      </c>
      <c r="S4" s="43" t="s">
        <v>196</v>
      </c>
      <c r="T4" s="43" t="s">
        <v>195</v>
      </c>
      <c r="U4" s="43" t="s">
        <v>196</v>
      </c>
      <c r="V4" s="43" t="s">
        <v>195</v>
      </c>
      <c r="W4" s="43" t="s">
        <v>196</v>
      </c>
      <c r="X4" s="43" t="s">
        <v>195</v>
      </c>
      <c r="Y4" s="43" t="s">
        <v>196</v>
      </c>
      <c r="Z4" s="43" t="s">
        <v>195</v>
      </c>
      <c r="AA4" s="44" t="s">
        <v>196</v>
      </c>
    </row>
    <row r="5" spans="1:27" x14ac:dyDescent="0.25">
      <c r="A5" s="23" t="s">
        <v>52</v>
      </c>
      <c r="B5" t="s">
        <v>123</v>
      </c>
      <c r="D5" s="40" t="str">
        <f t="array" ref="D5">INDEX($B$2:$B$100, MATCH(0, COUNTIF($D$1:D4, $B$2:$B$100), 0))</f>
        <v>Schedulers</v>
      </c>
      <c r="G5" s="48"/>
      <c r="H5" s="49">
        <f>IFERROR(G5/G$54,0%)</f>
        <v>0</v>
      </c>
      <c r="I5" s="50"/>
      <c r="J5" s="49">
        <f>IFERROR(I5/I$54,0%)</f>
        <v>0</v>
      </c>
      <c r="K5" s="50"/>
      <c r="L5" s="49">
        <f>IFERROR(K5/K$54,0%)</f>
        <v>0</v>
      </c>
      <c r="M5" s="50"/>
      <c r="N5" s="49">
        <f>IFERROR(M5/M$54,0%)</f>
        <v>0</v>
      </c>
      <c r="O5" s="50"/>
      <c r="P5" s="51">
        <f>IFERROR(O5/O$54,0%)</f>
        <v>0</v>
      </c>
      <c r="R5" s="48"/>
      <c r="S5" s="49">
        <f t="shared" ref="S5:S37" si="0">IFERROR(R5/R$37,0%)</f>
        <v>0</v>
      </c>
      <c r="T5" s="50"/>
      <c r="U5" s="49">
        <f t="shared" ref="U5:U37" si="1">IFERROR(T5/T$37,0%)</f>
        <v>0</v>
      </c>
      <c r="V5" s="50"/>
      <c r="W5" s="49">
        <f t="shared" ref="W5:W37" si="2">IFERROR(V5/V$37,0%)</f>
        <v>0</v>
      </c>
      <c r="X5" s="50"/>
      <c r="Y5" s="49">
        <f t="shared" ref="Y5:Y37" si="3">IFERROR(X5/X$37,0%)</f>
        <v>0</v>
      </c>
      <c r="Z5" s="50"/>
      <c r="AA5" s="51">
        <f t="shared" ref="AA5:AA37" si="4">IFERROR(Z5/Z$37,0%)</f>
        <v>0</v>
      </c>
    </row>
    <row r="6" spans="1:27" x14ac:dyDescent="0.25">
      <c r="A6" s="19" t="s">
        <v>33</v>
      </c>
      <c r="B6" t="s">
        <v>124</v>
      </c>
      <c r="D6" s="40" t="str">
        <f t="array" ref="D6">INDEX($B$2:$B$100, MATCH(0, COUNTIF($D$1:D5, $B$2:$B$100), 0))</f>
        <v>Billing</v>
      </c>
      <c r="G6" s="52"/>
      <c r="H6" s="53">
        <f t="shared" ref="H6:J21" si="5">IFERROR(G6/G$54,0%)</f>
        <v>0</v>
      </c>
      <c r="I6" s="54"/>
      <c r="J6" s="53">
        <f t="shared" si="5"/>
        <v>0</v>
      </c>
      <c r="K6" s="54"/>
      <c r="L6" s="53">
        <f t="shared" ref="L6:L54" si="6">IFERROR(K6/K$54,0%)</f>
        <v>0</v>
      </c>
      <c r="M6" s="54"/>
      <c r="N6" s="53">
        <f t="shared" ref="N6:N54" si="7">IFERROR(M6/M$54,0%)</f>
        <v>0</v>
      </c>
      <c r="O6" s="54"/>
      <c r="P6" s="55">
        <f t="shared" ref="P6:P54" si="8">IFERROR(O6/O$54,0%)</f>
        <v>0</v>
      </c>
      <c r="R6" s="52"/>
      <c r="S6" s="53">
        <f t="shared" si="0"/>
        <v>0</v>
      </c>
      <c r="T6" s="54"/>
      <c r="U6" s="53">
        <f t="shared" si="1"/>
        <v>0</v>
      </c>
      <c r="V6" s="54"/>
      <c r="W6" s="53">
        <f t="shared" si="2"/>
        <v>0</v>
      </c>
      <c r="X6" s="54"/>
      <c r="Y6" s="53">
        <f t="shared" si="3"/>
        <v>0</v>
      </c>
      <c r="Z6" s="54"/>
      <c r="AA6" s="55">
        <f t="shared" si="4"/>
        <v>0</v>
      </c>
    </row>
    <row r="7" spans="1:27" x14ac:dyDescent="0.25">
      <c r="A7" s="19" t="s">
        <v>37</v>
      </c>
      <c r="B7" t="s">
        <v>124</v>
      </c>
      <c r="D7" s="40" t="str">
        <f t="array" ref="D7">INDEX($B$2:$B$100, MATCH(0, COUNTIF($D$1:D6, $B$2:$B$100), 0))</f>
        <v>Operational</v>
      </c>
      <c r="G7" s="52"/>
      <c r="H7" s="53">
        <f t="shared" si="5"/>
        <v>0</v>
      </c>
      <c r="I7" s="54"/>
      <c r="J7" s="53">
        <f t="shared" si="5"/>
        <v>0</v>
      </c>
      <c r="K7" s="54"/>
      <c r="L7" s="53">
        <f t="shared" si="6"/>
        <v>0</v>
      </c>
      <c r="M7" s="54"/>
      <c r="N7" s="53">
        <f t="shared" si="7"/>
        <v>0</v>
      </c>
      <c r="O7" s="54"/>
      <c r="P7" s="55">
        <f t="shared" si="8"/>
        <v>0</v>
      </c>
      <c r="R7" s="52"/>
      <c r="S7" s="53">
        <f t="shared" si="0"/>
        <v>0</v>
      </c>
      <c r="T7" s="54"/>
      <c r="U7" s="53">
        <f t="shared" si="1"/>
        <v>0</v>
      </c>
      <c r="V7" s="54"/>
      <c r="W7" s="53">
        <f t="shared" si="2"/>
        <v>0</v>
      </c>
      <c r="X7" s="54"/>
      <c r="Y7" s="53">
        <f t="shared" si="3"/>
        <v>0</v>
      </c>
      <c r="Z7" s="54"/>
      <c r="AA7" s="55">
        <f t="shared" si="4"/>
        <v>0</v>
      </c>
    </row>
    <row r="8" spans="1:27" x14ac:dyDescent="0.25">
      <c r="A8" s="18" t="s">
        <v>53</v>
      </c>
      <c r="B8" t="s">
        <v>124</v>
      </c>
      <c r="D8" s="40" t="str">
        <f t="array" ref="D8">INDEX($B$2:$B$100, MATCH(0, COUNTIF($D$1:D7, $B$2:$B$100), 0))</f>
        <v>Insurance</v>
      </c>
      <c r="G8" s="52"/>
      <c r="H8" s="53">
        <f t="shared" si="5"/>
        <v>0</v>
      </c>
      <c r="I8" s="54"/>
      <c r="J8" s="53">
        <f t="shared" si="5"/>
        <v>0</v>
      </c>
      <c r="K8" s="54"/>
      <c r="L8" s="53">
        <f t="shared" si="6"/>
        <v>0</v>
      </c>
      <c r="M8" s="54"/>
      <c r="N8" s="53">
        <f t="shared" si="7"/>
        <v>0</v>
      </c>
      <c r="O8" s="54"/>
      <c r="P8" s="55">
        <f t="shared" si="8"/>
        <v>0</v>
      </c>
      <c r="R8" s="52"/>
      <c r="S8" s="53">
        <f t="shared" si="0"/>
        <v>0</v>
      </c>
      <c r="T8" s="54"/>
      <c r="U8" s="53">
        <f t="shared" si="1"/>
        <v>0</v>
      </c>
      <c r="V8" s="54"/>
      <c r="W8" s="53">
        <f t="shared" si="2"/>
        <v>0</v>
      </c>
      <c r="X8" s="54"/>
      <c r="Y8" s="53">
        <f t="shared" si="3"/>
        <v>0</v>
      </c>
      <c r="Z8" s="54"/>
      <c r="AA8" s="55">
        <f t="shared" si="4"/>
        <v>0</v>
      </c>
    </row>
    <row r="9" spans="1:27" ht="15.75" thickBot="1" x14ac:dyDescent="0.3">
      <c r="A9" s="18" t="s">
        <v>55</v>
      </c>
      <c r="B9" t="s">
        <v>124</v>
      </c>
      <c r="D9" s="40" t="str">
        <f t="array" ref="D9">INDEX($B$2:$B$100, MATCH(0, COUNTIF($D$1:D8, $B$2:$B$100), 0))</f>
        <v>HR-Marketing</v>
      </c>
      <c r="G9" s="52"/>
      <c r="H9" s="53">
        <f t="shared" si="5"/>
        <v>0</v>
      </c>
      <c r="I9" s="54"/>
      <c r="J9" s="53">
        <f t="shared" si="5"/>
        <v>0</v>
      </c>
      <c r="K9" s="54"/>
      <c r="L9" s="53">
        <f t="shared" si="6"/>
        <v>0</v>
      </c>
      <c r="M9" s="54"/>
      <c r="N9" s="53">
        <f t="shared" si="7"/>
        <v>0</v>
      </c>
      <c r="O9" s="54"/>
      <c r="P9" s="55">
        <f t="shared" si="8"/>
        <v>0</v>
      </c>
      <c r="R9" s="52"/>
      <c r="S9" s="53">
        <f t="shared" si="0"/>
        <v>0</v>
      </c>
      <c r="T9" s="54"/>
      <c r="U9" s="53">
        <f t="shared" si="1"/>
        <v>0</v>
      </c>
      <c r="V9" s="54"/>
      <c r="W9" s="53">
        <f t="shared" si="2"/>
        <v>0</v>
      </c>
      <c r="X9" s="54"/>
      <c r="Y9" s="53">
        <f t="shared" si="3"/>
        <v>0</v>
      </c>
      <c r="Z9" s="54"/>
      <c r="AA9" s="55">
        <f t="shared" si="4"/>
        <v>0</v>
      </c>
    </row>
    <row r="10" spans="1:27" ht="30" x14ac:dyDescent="0.25">
      <c r="A10" s="20" t="s">
        <v>23</v>
      </c>
      <c r="B10" t="s">
        <v>125</v>
      </c>
      <c r="D10" s="40" t="str">
        <f t="array" ref="D10">INDEX($B$2:$B$100, MATCH(0, COUNTIF($D$1:D9, $B$2:$B$100), 0))</f>
        <v>Frontdesk</v>
      </c>
      <c r="G10" s="52"/>
      <c r="H10" s="53">
        <f t="shared" si="5"/>
        <v>0</v>
      </c>
      <c r="I10" s="54"/>
      <c r="J10" s="53">
        <f t="shared" si="5"/>
        <v>0</v>
      </c>
      <c r="K10" s="54"/>
      <c r="L10" s="53">
        <f t="shared" si="6"/>
        <v>0</v>
      </c>
      <c r="M10" s="54"/>
      <c r="N10" s="53">
        <f t="shared" si="7"/>
        <v>0</v>
      </c>
      <c r="O10" s="54"/>
      <c r="P10" s="55">
        <f t="shared" si="8"/>
        <v>0</v>
      </c>
      <c r="R10" s="52"/>
      <c r="S10" s="53">
        <f t="shared" si="0"/>
        <v>0</v>
      </c>
      <c r="T10" s="54"/>
      <c r="U10" s="53">
        <f t="shared" si="1"/>
        <v>0</v>
      </c>
      <c r="V10" s="54"/>
      <c r="W10" s="53">
        <f t="shared" si="2"/>
        <v>0</v>
      </c>
      <c r="X10" s="54"/>
      <c r="Y10" s="53">
        <f t="shared" si="3"/>
        <v>0</v>
      </c>
      <c r="Z10" s="54"/>
      <c r="AA10" s="55">
        <f t="shared" si="4"/>
        <v>0</v>
      </c>
    </row>
    <row r="11" spans="1:27" x14ac:dyDescent="0.25">
      <c r="A11" s="19" t="s">
        <v>25</v>
      </c>
      <c r="B11" t="s">
        <v>125</v>
      </c>
      <c r="D11" s="40" t="str">
        <f t="array" ref="D11">INDEX($B$2:$B$100, MATCH(0, COUNTIF($D$1:D10, $B$2:$B$100), 0))</f>
        <v>IT</v>
      </c>
      <c r="G11" s="52"/>
      <c r="H11" s="53">
        <f t="shared" si="5"/>
        <v>0</v>
      </c>
      <c r="I11" s="54"/>
      <c r="J11" s="53">
        <f t="shared" si="5"/>
        <v>0</v>
      </c>
      <c r="K11" s="54"/>
      <c r="L11" s="53">
        <f t="shared" si="6"/>
        <v>0</v>
      </c>
      <c r="M11" s="54"/>
      <c r="N11" s="53">
        <f t="shared" si="7"/>
        <v>0</v>
      </c>
      <c r="O11" s="54"/>
      <c r="P11" s="55">
        <f t="shared" si="8"/>
        <v>0</v>
      </c>
      <c r="R11" s="52"/>
      <c r="S11" s="53">
        <f t="shared" si="0"/>
        <v>0</v>
      </c>
      <c r="T11" s="54"/>
      <c r="U11" s="53">
        <f t="shared" si="1"/>
        <v>0</v>
      </c>
      <c r="V11" s="54"/>
      <c r="W11" s="53">
        <f t="shared" si="2"/>
        <v>0</v>
      </c>
      <c r="X11" s="54"/>
      <c r="Y11" s="53">
        <f t="shared" si="3"/>
        <v>0</v>
      </c>
      <c r="Z11" s="54"/>
      <c r="AA11" s="55">
        <f t="shared" si="4"/>
        <v>0</v>
      </c>
    </row>
    <row r="12" spans="1:27" x14ac:dyDescent="0.25">
      <c r="A12" s="18" t="s">
        <v>31</v>
      </c>
      <c r="B12" t="s">
        <v>125</v>
      </c>
      <c r="D12" s="40" t="str">
        <f t="array" ref="D12">INDEX($B$2:$B$100, MATCH(0, COUNTIF($D$1:D11, $B$2:$B$100), 0))</f>
        <v>TX_Management</v>
      </c>
      <c r="G12" s="52"/>
      <c r="H12" s="53">
        <f t="shared" si="5"/>
        <v>0</v>
      </c>
      <c r="I12" s="54"/>
      <c r="J12" s="53">
        <f t="shared" si="5"/>
        <v>0</v>
      </c>
      <c r="K12" s="54"/>
      <c r="L12" s="53">
        <f t="shared" si="6"/>
        <v>0</v>
      </c>
      <c r="M12" s="54"/>
      <c r="N12" s="53">
        <f t="shared" si="7"/>
        <v>0</v>
      </c>
      <c r="O12" s="54"/>
      <c r="P12" s="55">
        <f t="shared" si="8"/>
        <v>0</v>
      </c>
      <c r="R12" s="52"/>
      <c r="S12" s="53">
        <f t="shared" si="0"/>
        <v>0</v>
      </c>
      <c r="T12" s="54"/>
      <c r="U12" s="53">
        <f t="shared" si="1"/>
        <v>0</v>
      </c>
      <c r="V12" s="54"/>
      <c r="W12" s="53">
        <f t="shared" si="2"/>
        <v>0</v>
      </c>
      <c r="X12" s="54"/>
      <c r="Y12" s="53">
        <f t="shared" si="3"/>
        <v>0</v>
      </c>
      <c r="Z12" s="54"/>
      <c r="AA12" s="55">
        <f t="shared" si="4"/>
        <v>0</v>
      </c>
    </row>
    <row r="13" spans="1:27" x14ac:dyDescent="0.25">
      <c r="A13" s="18" t="s">
        <v>42</v>
      </c>
      <c r="B13" t="s">
        <v>125</v>
      </c>
      <c r="D13" s="40">
        <f t="array" ref="D13">INDEX($B$2:$B$100, MATCH(0, COUNTIF($D$1:D12, $B$2:$B$100), 0))</f>
        <v>0</v>
      </c>
      <c r="G13" s="52"/>
      <c r="H13" s="53">
        <f t="shared" si="5"/>
        <v>0</v>
      </c>
      <c r="I13" s="54"/>
      <c r="J13" s="53">
        <f t="shared" si="5"/>
        <v>0</v>
      </c>
      <c r="K13" s="54"/>
      <c r="L13" s="53">
        <f t="shared" si="6"/>
        <v>0</v>
      </c>
      <c r="M13" s="54"/>
      <c r="N13" s="53">
        <f t="shared" si="7"/>
        <v>0</v>
      </c>
      <c r="O13" s="54"/>
      <c r="P13" s="55">
        <f t="shared" si="8"/>
        <v>0</v>
      </c>
      <c r="R13" s="52"/>
      <c r="S13" s="53">
        <f t="shared" si="0"/>
        <v>0</v>
      </c>
      <c r="T13" s="54"/>
      <c r="U13" s="53">
        <f t="shared" si="1"/>
        <v>0</v>
      </c>
      <c r="V13" s="54"/>
      <c r="W13" s="53">
        <f t="shared" si="2"/>
        <v>0</v>
      </c>
      <c r="X13" s="54"/>
      <c r="Y13" s="53">
        <f t="shared" si="3"/>
        <v>0</v>
      </c>
      <c r="Z13" s="54"/>
      <c r="AA13" s="55">
        <f t="shared" si="4"/>
        <v>0</v>
      </c>
    </row>
    <row r="14" spans="1:27" x14ac:dyDescent="0.25">
      <c r="A14" s="19" t="s">
        <v>48</v>
      </c>
      <c r="B14" t="s">
        <v>125</v>
      </c>
      <c r="D14" s="40" t="e">
        <f t="array" ref="D14">INDEX($B$2:$B$100, MATCH(0, COUNTIF($D$1:D13, $B$2:$B$100), 0))</f>
        <v>#N/A</v>
      </c>
      <c r="G14" s="52"/>
      <c r="H14" s="53">
        <f t="shared" si="5"/>
        <v>0</v>
      </c>
      <c r="I14" s="54"/>
      <c r="J14" s="53">
        <f t="shared" si="5"/>
        <v>0</v>
      </c>
      <c r="K14" s="54"/>
      <c r="L14" s="53">
        <f t="shared" si="6"/>
        <v>0</v>
      </c>
      <c r="M14" s="54"/>
      <c r="N14" s="53">
        <f t="shared" si="7"/>
        <v>0</v>
      </c>
      <c r="O14" s="54"/>
      <c r="P14" s="55">
        <f t="shared" si="8"/>
        <v>0</v>
      </c>
      <c r="R14" s="52"/>
      <c r="S14" s="53">
        <f t="shared" si="0"/>
        <v>0</v>
      </c>
      <c r="T14" s="54"/>
      <c r="U14" s="53">
        <f t="shared" si="1"/>
        <v>0</v>
      </c>
      <c r="V14" s="54"/>
      <c r="W14" s="53">
        <f t="shared" si="2"/>
        <v>0</v>
      </c>
      <c r="X14" s="54"/>
      <c r="Y14" s="53">
        <f t="shared" si="3"/>
        <v>0</v>
      </c>
      <c r="Z14" s="54"/>
      <c r="AA14" s="55">
        <f t="shared" si="4"/>
        <v>0</v>
      </c>
    </row>
    <row r="15" spans="1:27" x14ac:dyDescent="0.25">
      <c r="A15" s="21" t="s">
        <v>38</v>
      </c>
      <c r="B15" t="s">
        <v>126</v>
      </c>
      <c r="D15" s="40" t="e">
        <f t="array" ref="D15">INDEX($B$2:$B$100, MATCH(0, COUNTIF($D$1:D14, $B$2:$B$100), 0))</f>
        <v>#N/A</v>
      </c>
      <c r="G15" s="52"/>
      <c r="H15" s="53">
        <f t="shared" si="5"/>
        <v>0</v>
      </c>
      <c r="I15" s="54"/>
      <c r="J15" s="53">
        <f t="shared" si="5"/>
        <v>0</v>
      </c>
      <c r="K15" s="54"/>
      <c r="L15" s="53">
        <f t="shared" si="6"/>
        <v>0</v>
      </c>
      <c r="M15" s="54"/>
      <c r="N15" s="53">
        <f t="shared" si="7"/>
        <v>0</v>
      </c>
      <c r="O15" s="54"/>
      <c r="P15" s="55">
        <f t="shared" si="8"/>
        <v>0</v>
      </c>
      <c r="R15" s="52"/>
      <c r="S15" s="53">
        <f t="shared" si="0"/>
        <v>0</v>
      </c>
      <c r="T15" s="54"/>
      <c r="U15" s="53">
        <f t="shared" si="1"/>
        <v>0</v>
      </c>
      <c r="V15" s="54"/>
      <c r="W15" s="53">
        <f t="shared" si="2"/>
        <v>0</v>
      </c>
      <c r="X15" s="54"/>
      <c r="Y15" s="53">
        <f t="shared" si="3"/>
        <v>0</v>
      </c>
      <c r="Z15" s="54"/>
      <c r="AA15" s="55">
        <f t="shared" si="4"/>
        <v>0</v>
      </c>
    </row>
    <row r="16" spans="1:27" x14ac:dyDescent="0.25">
      <c r="A16" s="19" t="s">
        <v>44</v>
      </c>
      <c r="B16" t="s">
        <v>126</v>
      </c>
      <c r="D16" s="40" t="e">
        <f t="array" ref="D16">INDEX($B$2:$B$100, MATCH(0, COUNTIF($D$1:D15, $B$2:$B$100), 0))</f>
        <v>#N/A</v>
      </c>
      <c r="G16" s="52"/>
      <c r="H16" s="53">
        <f t="shared" si="5"/>
        <v>0</v>
      </c>
      <c r="I16" s="54"/>
      <c r="J16" s="53">
        <f t="shared" si="5"/>
        <v>0</v>
      </c>
      <c r="K16" s="54"/>
      <c r="L16" s="53">
        <f t="shared" si="6"/>
        <v>0</v>
      </c>
      <c r="M16" s="54"/>
      <c r="N16" s="53">
        <f t="shared" si="7"/>
        <v>0</v>
      </c>
      <c r="O16" s="54"/>
      <c r="P16" s="55">
        <f t="shared" si="8"/>
        <v>0</v>
      </c>
      <c r="R16" s="52"/>
      <c r="S16" s="53">
        <f t="shared" si="0"/>
        <v>0</v>
      </c>
      <c r="T16" s="54"/>
      <c r="U16" s="53">
        <f t="shared" si="1"/>
        <v>0</v>
      </c>
      <c r="V16" s="54"/>
      <c r="W16" s="53">
        <f t="shared" si="2"/>
        <v>0</v>
      </c>
      <c r="X16" s="54"/>
      <c r="Y16" s="53">
        <f t="shared" si="3"/>
        <v>0</v>
      </c>
      <c r="Z16" s="54"/>
      <c r="AA16" s="55">
        <f t="shared" si="4"/>
        <v>0</v>
      </c>
    </row>
    <row r="17" spans="1:27" x14ac:dyDescent="0.25">
      <c r="A17" s="18" t="s">
        <v>46</v>
      </c>
      <c r="B17" t="s">
        <v>126</v>
      </c>
      <c r="D17" s="40" t="e">
        <f t="array" ref="D17">INDEX($B$2:$B$100, MATCH(0, COUNTIF($D$1:D16, $B$2:$B$100), 0))</f>
        <v>#N/A</v>
      </c>
      <c r="G17" s="52"/>
      <c r="H17" s="53">
        <f t="shared" si="5"/>
        <v>0</v>
      </c>
      <c r="I17" s="54"/>
      <c r="J17" s="53">
        <f t="shared" si="5"/>
        <v>0</v>
      </c>
      <c r="K17" s="54"/>
      <c r="L17" s="53">
        <f t="shared" si="6"/>
        <v>0</v>
      </c>
      <c r="M17" s="54"/>
      <c r="N17" s="53">
        <f t="shared" si="7"/>
        <v>0</v>
      </c>
      <c r="O17" s="54"/>
      <c r="P17" s="55">
        <f t="shared" si="8"/>
        <v>0</v>
      </c>
      <c r="R17" s="52"/>
      <c r="S17" s="53">
        <f t="shared" si="0"/>
        <v>0</v>
      </c>
      <c r="T17" s="54"/>
      <c r="U17" s="53">
        <f t="shared" si="1"/>
        <v>0</v>
      </c>
      <c r="V17" s="54"/>
      <c r="W17" s="53">
        <f t="shared" si="2"/>
        <v>0</v>
      </c>
      <c r="X17" s="54"/>
      <c r="Y17" s="53">
        <f t="shared" si="3"/>
        <v>0</v>
      </c>
      <c r="Z17" s="54"/>
      <c r="AA17" s="55">
        <f t="shared" si="4"/>
        <v>0</v>
      </c>
    </row>
    <row r="18" spans="1:27" x14ac:dyDescent="0.25">
      <c r="A18" s="24" t="s">
        <v>66</v>
      </c>
      <c r="B18" t="s">
        <v>126</v>
      </c>
      <c r="D18" s="40" t="e">
        <f t="array" ref="D18">INDEX($B$2:$B$100, MATCH(0, COUNTIF($D$1:D17, $B$2:$B$100), 0))</f>
        <v>#N/A</v>
      </c>
      <c r="G18" s="52"/>
      <c r="H18" s="53">
        <f t="shared" si="5"/>
        <v>0</v>
      </c>
      <c r="I18" s="54"/>
      <c r="J18" s="53">
        <f t="shared" si="5"/>
        <v>0</v>
      </c>
      <c r="K18" s="54"/>
      <c r="L18" s="53">
        <f t="shared" si="6"/>
        <v>0</v>
      </c>
      <c r="M18" s="54"/>
      <c r="N18" s="53">
        <f t="shared" si="7"/>
        <v>0</v>
      </c>
      <c r="O18" s="54"/>
      <c r="P18" s="55">
        <f t="shared" si="8"/>
        <v>0</v>
      </c>
      <c r="R18" s="52"/>
      <c r="S18" s="53">
        <f t="shared" si="0"/>
        <v>0</v>
      </c>
      <c r="T18" s="54"/>
      <c r="U18" s="53">
        <f t="shared" si="1"/>
        <v>0</v>
      </c>
      <c r="V18" s="54"/>
      <c r="W18" s="53">
        <f t="shared" si="2"/>
        <v>0</v>
      </c>
      <c r="X18" s="54"/>
      <c r="Y18" s="53">
        <f t="shared" si="3"/>
        <v>0</v>
      </c>
      <c r="Z18" s="54"/>
      <c r="AA18" s="55">
        <f t="shared" si="4"/>
        <v>0</v>
      </c>
    </row>
    <row r="19" spans="1:27" x14ac:dyDescent="0.25">
      <c r="A19" s="18" t="s">
        <v>17</v>
      </c>
      <c r="B19" t="s">
        <v>127</v>
      </c>
      <c r="D19" s="40" t="e">
        <f t="array" ref="D19">INDEX($B$2:$B$100, MATCH(0, COUNTIF($D$1:D18, $B$2:$B$100), 0))</f>
        <v>#N/A</v>
      </c>
      <c r="G19" s="52"/>
      <c r="H19" s="53">
        <f t="shared" si="5"/>
        <v>0</v>
      </c>
      <c r="I19" s="54"/>
      <c r="J19" s="53">
        <f t="shared" si="5"/>
        <v>0</v>
      </c>
      <c r="K19" s="54"/>
      <c r="L19" s="53">
        <f t="shared" si="6"/>
        <v>0</v>
      </c>
      <c r="M19" s="54"/>
      <c r="N19" s="53">
        <f t="shared" si="7"/>
        <v>0</v>
      </c>
      <c r="O19" s="54"/>
      <c r="P19" s="55">
        <f t="shared" si="8"/>
        <v>0</v>
      </c>
      <c r="R19" s="52"/>
      <c r="S19" s="53">
        <f t="shared" si="0"/>
        <v>0</v>
      </c>
      <c r="T19" s="54"/>
      <c r="U19" s="53">
        <f t="shared" si="1"/>
        <v>0</v>
      </c>
      <c r="V19" s="54"/>
      <c r="W19" s="53">
        <f t="shared" si="2"/>
        <v>0</v>
      </c>
      <c r="X19" s="54"/>
      <c r="Y19" s="53">
        <f t="shared" si="3"/>
        <v>0</v>
      </c>
      <c r="Z19" s="54"/>
      <c r="AA19" s="55">
        <f t="shared" si="4"/>
        <v>0</v>
      </c>
    </row>
    <row r="20" spans="1:27" x14ac:dyDescent="0.25">
      <c r="A20" s="18" t="s">
        <v>21</v>
      </c>
      <c r="B20" t="s">
        <v>127</v>
      </c>
      <c r="D20" s="40" t="e">
        <f t="array" ref="D20">INDEX($B$2:$B$100, MATCH(0, COUNTIF($D$1:D19, $B$2:$B$100), 0))</f>
        <v>#N/A</v>
      </c>
      <c r="G20" s="52"/>
      <c r="H20" s="53">
        <f t="shared" si="5"/>
        <v>0</v>
      </c>
      <c r="I20" s="54"/>
      <c r="J20" s="53">
        <f t="shared" si="5"/>
        <v>0</v>
      </c>
      <c r="K20" s="54"/>
      <c r="L20" s="53">
        <f t="shared" si="6"/>
        <v>0</v>
      </c>
      <c r="M20" s="54"/>
      <c r="N20" s="53">
        <f t="shared" si="7"/>
        <v>0</v>
      </c>
      <c r="O20" s="54"/>
      <c r="P20" s="55">
        <f t="shared" si="8"/>
        <v>0</v>
      </c>
      <c r="R20" s="52"/>
      <c r="S20" s="53">
        <f t="shared" si="0"/>
        <v>0</v>
      </c>
      <c r="T20" s="54"/>
      <c r="U20" s="53">
        <f t="shared" si="1"/>
        <v>0</v>
      </c>
      <c r="V20" s="54"/>
      <c r="W20" s="53">
        <f t="shared" si="2"/>
        <v>0</v>
      </c>
      <c r="X20" s="54"/>
      <c r="Y20" s="53">
        <f t="shared" si="3"/>
        <v>0</v>
      </c>
      <c r="Z20" s="54"/>
      <c r="AA20" s="55">
        <f t="shared" si="4"/>
        <v>0</v>
      </c>
    </row>
    <row r="21" spans="1:27" x14ac:dyDescent="0.25">
      <c r="A21" s="18" t="s">
        <v>27</v>
      </c>
      <c r="B21" t="s">
        <v>127</v>
      </c>
      <c r="D21" s="40" t="e">
        <f t="array" ref="D21">INDEX($B$2:$B$100, MATCH(0, COUNTIF($D$1:D20, $B$2:$B$100), 0))</f>
        <v>#N/A</v>
      </c>
      <c r="G21" s="52"/>
      <c r="H21" s="53">
        <f t="shared" si="5"/>
        <v>0</v>
      </c>
      <c r="I21" s="54"/>
      <c r="J21" s="53">
        <f t="shared" si="5"/>
        <v>0</v>
      </c>
      <c r="K21" s="54"/>
      <c r="L21" s="53">
        <f t="shared" si="6"/>
        <v>0</v>
      </c>
      <c r="M21" s="54"/>
      <c r="N21" s="53">
        <f t="shared" si="7"/>
        <v>0</v>
      </c>
      <c r="O21" s="54"/>
      <c r="P21" s="55">
        <f t="shared" si="8"/>
        <v>0</v>
      </c>
      <c r="R21" s="52"/>
      <c r="S21" s="53">
        <f t="shared" si="0"/>
        <v>0</v>
      </c>
      <c r="T21" s="54"/>
      <c r="U21" s="53">
        <f t="shared" si="1"/>
        <v>0</v>
      </c>
      <c r="V21" s="54"/>
      <c r="W21" s="53">
        <f t="shared" si="2"/>
        <v>0</v>
      </c>
      <c r="X21" s="54"/>
      <c r="Y21" s="53">
        <f t="shared" si="3"/>
        <v>0</v>
      </c>
      <c r="Z21" s="54"/>
      <c r="AA21" s="55">
        <f t="shared" si="4"/>
        <v>0</v>
      </c>
    </row>
    <row r="22" spans="1:27" x14ac:dyDescent="0.25">
      <c r="A22" s="25" t="s">
        <v>64</v>
      </c>
      <c r="B22" t="s">
        <v>127</v>
      </c>
      <c r="D22" s="40" t="e">
        <f t="array" ref="D22">INDEX($B$2:$B$100, MATCH(0, COUNTIF($D$1:D21, $B$2:$B$100), 0))</f>
        <v>#N/A</v>
      </c>
      <c r="G22" s="52"/>
      <c r="H22" s="53">
        <f t="shared" ref="H22:J37" si="9">IFERROR(G22/G$54,0%)</f>
        <v>0</v>
      </c>
      <c r="I22" s="54"/>
      <c r="J22" s="53">
        <f t="shared" si="9"/>
        <v>0</v>
      </c>
      <c r="K22" s="54"/>
      <c r="L22" s="53">
        <f t="shared" si="6"/>
        <v>0</v>
      </c>
      <c r="M22" s="54"/>
      <c r="N22" s="53">
        <f t="shared" si="7"/>
        <v>0</v>
      </c>
      <c r="O22" s="54"/>
      <c r="P22" s="55">
        <f t="shared" si="8"/>
        <v>0</v>
      </c>
      <c r="R22" s="52"/>
      <c r="S22" s="53">
        <f t="shared" si="0"/>
        <v>0</v>
      </c>
      <c r="T22" s="54"/>
      <c r="U22" s="53">
        <f t="shared" si="1"/>
        <v>0</v>
      </c>
      <c r="V22" s="54"/>
      <c r="W22" s="53">
        <f t="shared" si="2"/>
        <v>0</v>
      </c>
      <c r="X22" s="54"/>
      <c r="Y22" s="53">
        <f t="shared" si="3"/>
        <v>0</v>
      </c>
      <c r="Z22" s="54"/>
      <c r="AA22" s="55">
        <f t="shared" si="4"/>
        <v>0</v>
      </c>
    </row>
    <row r="23" spans="1:27" x14ac:dyDescent="0.25">
      <c r="A23" s="22" t="s">
        <v>40</v>
      </c>
      <c r="B23" t="s">
        <v>128</v>
      </c>
      <c r="D23" s="40" t="e">
        <f t="array" ref="D23">INDEX($B$2:$B$100, MATCH(0, COUNTIF($D$1:D22, $B$2:$B$100), 0))</f>
        <v>#N/A</v>
      </c>
      <c r="G23" s="52"/>
      <c r="H23" s="53">
        <f t="shared" si="9"/>
        <v>0</v>
      </c>
      <c r="I23" s="54"/>
      <c r="J23" s="53">
        <f t="shared" si="9"/>
        <v>0</v>
      </c>
      <c r="K23" s="54"/>
      <c r="L23" s="53">
        <f t="shared" si="6"/>
        <v>0</v>
      </c>
      <c r="M23" s="54"/>
      <c r="N23" s="53">
        <f t="shared" si="7"/>
        <v>0</v>
      </c>
      <c r="O23" s="54"/>
      <c r="P23" s="55">
        <f t="shared" si="8"/>
        <v>0</v>
      </c>
      <c r="R23" s="52"/>
      <c r="S23" s="53">
        <f t="shared" si="0"/>
        <v>0</v>
      </c>
      <c r="T23" s="54"/>
      <c r="U23" s="53">
        <f t="shared" si="1"/>
        <v>0</v>
      </c>
      <c r="V23" s="54"/>
      <c r="W23" s="53">
        <f t="shared" si="2"/>
        <v>0</v>
      </c>
      <c r="X23" s="54"/>
      <c r="Y23" s="53">
        <f t="shared" si="3"/>
        <v>0</v>
      </c>
      <c r="Z23" s="54"/>
      <c r="AA23" s="55">
        <f t="shared" si="4"/>
        <v>0</v>
      </c>
    </row>
    <row r="24" spans="1:27" x14ac:dyDescent="0.25">
      <c r="A24" s="17" t="s">
        <v>14</v>
      </c>
      <c r="B24" t="s">
        <v>129</v>
      </c>
      <c r="D24" s="40" t="e">
        <f t="array" ref="D24">INDEX($B$2:$B$100, MATCH(0, COUNTIF($D$1:D23, $B$2:$B$100), 0))</f>
        <v>#N/A</v>
      </c>
      <c r="G24" s="52"/>
      <c r="H24" s="53">
        <f t="shared" si="9"/>
        <v>0</v>
      </c>
      <c r="I24" s="54"/>
      <c r="J24" s="53">
        <f t="shared" si="9"/>
        <v>0</v>
      </c>
      <c r="K24" s="54"/>
      <c r="L24" s="53">
        <f t="shared" si="6"/>
        <v>0</v>
      </c>
      <c r="M24" s="54"/>
      <c r="N24" s="53">
        <f t="shared" si="7"/>
        <v>0</v>
      </c>
      <c r="O24" s="54"/>
      <c r="P24" s="55">
        <f t="shared" si="8"/>
        <v>0</v>
      </c>
      <c r="R24" s="52"/>
      <c r="S24" s="53">
        <f t="shared" si="0"/>
        <v>0</v>
      </c>
      <c r="T24" s="54"/>
      <c r="U24" s="53">
        <f t="shared" si="1"/>
        <v>0</v>
      </c>
      <c r="V24" s="54"/>
      <c r="W24" s="53">
        <f t="shared" si="2"/>
        <v>0</v>
      </c>
      <c r="X24" s="54"/>
      <c r="Y24" s="53">
        <f t="shared" si="3"/>
        <v>0</v>
      </c>
      <c r="Z24" s="54"/>
      <c r="AA24" s="55">
        <f t="shared" si="4"/>
        <v>0</v>
      </c>
    </row>
    <row r="25" spans="1:27" x14ac:dyDescent="0.25">
      <c r="A25" s="19" t="s">
        <v>19</v>
      </c>
      <c r="B25" t="s">
        <v>129</v>
      </c>
      <c r="D25" s="40" t="e">
        <f t="array" ref="D25">INDEX($B$2:$B$100, MATCH(0, COUNTIF($D$1:D24, $B$2:$B$100), 0))</f>
        <v>#N/A</v>
      </c>
      <c r="G25" s="52"/>
      <c r="H25" s="53">
        <f t="shared" si="9"/>
        <v>0</v>
      </c>
      <c r="I25" s="54"/>
      <c r="J25" s="53">
        <f t="shared" si="9"/>
        <v>0</v>
      </c>
      <c r="K25" s="54"/>
      <c r="L25" s="53">
        <f t="shared" si="6"/>
        <v>0</v>
      </c>
      <c r="M25" s="54"/>
      <c r="N25" s="53">
        <f t="shared" si="7"/>
        <v>0</v>
      </c>
      <c r="O25" s="54"/>
      <c r="P25" s="55">
        <f t="shared" si="8"/>
        <v>0</v>
      </c>
      <c r="R25" s="52"/>
      <c r="S25" s="53">
        <f t="shared" si="0"/>
        <v>0</v>
      </c>
      <c r="T25" s="54"/>
      <c r="U25" s="53">
        <f t="shared" si="1"/>
        <v>0</v>
      </c>
      <c r="V25" s="54"/>
      <c r="W25" s="53">
        <f t="shared" si="2"/>
        <v>0</v>
      </c>
      <c r="X25" s="54"/>
      <c r="Y25" s="53">
        <f t="shared" si="3"/>
        <v>0</v>
      </c>
      <c r="Z25" s="54"/>
      <c r="AA25" s="55">
        <f t="shared" si="4"/>
        <v>0</v>
      </c>
    </row>
    <row r="26" spans="1:27" x14ac:dyDescent="0.25">
      <c r="A26" s="19" t="s">
        <v>22</v>
      </c>
      <c r="B26" t="s">
        <v>129</v>
      </c>
      <c r="D26" s="40" t="e">
        <f t="array" ref="D26">INDEX($B$2:$B$100, MATCH(0, COUNTIF($D$1:D25, $B$2:$B$100), 0))</f>
        <v>#N/A</v>
      </c>
      <c r="G26" s="52"/>
      <c r="H26" s="53">
        <f t="shared" si="9"/>
        <v>0</v>
      </c>
      <c r="I26" s="54"/>
      <c r="J26" s="53">
        <f t="shared" si="9"/>
        <v>0</v>
      </c>
      <c r="K26" s="54"/>
      <c r="L26" s="53">
        <f t="shared" si="6"/>
        <v>0</v>
      </c>
      <c r="M26" s="54"/>
      <c r="N26" s="53">
        <f t="shared" si="7"/>
        <v>0</v>
      </c>
      <c r="O26" s="54"/>
      <c r="P26" s="55">
        <f t="shared" si="8"/>
        <v>0</v>
      </c>
      <c r="R26" s="52"/>
      <c r="S26" s="53">
        <f t="shared" si="0"/>
        <v>0</v>
      </c>
      <c r="T26" s="54"/>
      <c r="U26" s="53">
        <f t="shared" si="1"/>
        <v>0</v>
      </c>
      <c r="V26" s="54"/>
      <c r="W26" s="53">
        <f t="shared" si="2"/>
        <v>0</v>
      </c>
      <c r="X26" s="54"/>
      <c r="Y26" s="53">
        <f t="shared" si="3"/>
        <v>0</v>
      </c>
      <c r="Z26" s="54"/>
      <c r="AA26" s="55">
        <f t="shared" si="4"/>
        <v>0</v>
      </c>
    </row>
    <row r="27" spans="1:27" x14ac:dyDescent="0.25">
      <c r="A27" s="41" t="s">
        <v>29</v>
      </c>
      <c r="B27" t="s">
        <v>129</v>
      </c>
      <c r="D27" s="40" t="e">
        <f t="array" ref="D27">INDEX($B$2:$B$100, MATCH(0, COUNTIF($D$1:D26, $B$2:$B$100), 0))</f>
        <v>#N/A</v>
      </c>
      <c r="G27" s="52"/>
      <c r="H27" s="53">
        <f t="shared" si="9"/>
        <v>0</v>
      </c>
      <c r="I27" s="54"/>
      <c r="J27" s="53">
        <f t="shared" si="9"/>
        <v>0</v>
      </c>
      <c r="K27" s="54"/>
      <c r="L27" s="53">
        <f t="shared" si="6"/>
        <v>0</v>
      </c>
      <c r="M27" s="54"/>
      <c r="N27" s="53">
        <f t="shared" si="7"/>
        <v>0</v>
      </c>
      <c r="O27" s="54"/>
      <c r="P27" s="55">
        <f t="shared" si="8"/>
        <v>0</v>
      </c>
      <c r="R27" s="52"/>
      <c r="S27" s="53">
        <f t="shared" si="0"/>
        <v>0</v>
      </c>
      <c r="T27" s="54"/>
      <c r="U27" s="53">
        <f t="shared" si="1"/>
        <v>0</v>
      </c>
      <c r="V27" s="54"/>
      <c r="W27" s="53">
        <f t="shared" si="2"/>
        <v>0</v>
      </c>
      <c r="X27" s="54"/>
      <c r="Y27" s="53">
        <f t="shared" si="3"/>
        <v>0</v>
      </c>
      <c r="Z27" s="54"/>
      <c r="AA27" s="55">
        <f t="shared" si="4"/>
        <v>0</v>
      </c>
    </row>
    <row r="28" spans="1:27" x14ac:dyDescent="0.25">
      <c r="A28" s="19" t="s">
        <v>56</v>
      </c>
      <c r="B28" t="s">
        <v>130</v>
      </c>
      <c r="D28" s="40" t="e">
        <f t="array" ref="D28">INDEX($B$2:$B$100, MATCH(0, COUNTIF($D$1:D27, $B$2:$B$100), 0))</f>
        <v>#N/A</v>
      </c>
      <c r="G28" s="52"/>
      <c r="H28" s="53">
        <f t="shared" si="9"/>
        <v>0</v>
      </c>
      <c r="I28" s="54"/>
      <c r="J28" s="53">
        <f t="shared" si="9"/>
        <v>0</v>
      </c>
      <c r="K28" s="54"/>
      <c r="L28" s="53">
        <f t="shared" si="6"/>
        <v>0</v>
      </c>
      <c r="M28" s="54"/>
      <c r="N28" s="53">
        <f t="shared" si="7"/>
        <v>0</v>
      </c>
      <c r="O28" s="54"/>
      <c r="P28" s="55">
        <f t="shared" si="8"/>
        <v>0</v>
      </c>
      <c r="R28" s="52"/>
      <c r="S28" s="53">
        <f t="shared" si="0"/>
        <v>0</v>
      </c>
      <c r="T28" s="54"/>
      <c r="U28" s="53">
        <f t="shared" si="1"/>
        <v>0</v>
      </c>
      <c r="V28" s="54"/>
      <c r="W28" s="53">
        <f t="shared" si="2"/>
        <v>0</v>
      </c>
      <c r="X28" s="54"/>
      <c r="Y28" s="53">
        <f t="shared" si="3"/>
        <v>0</v>
      </c>
      <c r="Z28" s="54"/>
      <c r="AA28" s="55">
        <f t="shared" si="4"/>
        <v>0</v>
      </c>
    </row>
    <row r="29" spans="1:27" x14ac:dyDescent="0.25">
      <c r="A29" s="24" t="s">
        <v>59</v>
      </c>
      <c r="B29" t="s">
        <v>130</v>
      </c>
      <c r="D29" s="40" t="e">
        <f t="array" ref="D29">INDEX($B$2:$B$100, MATCH(0, COUNTIF($D$1:D28, $B$2:$B$100), 0))</f>
        <v>#N/A</v>
      </c>
      <c r="G29" s="52"/>
      <c r="H29" s="53">
        <f t="shared" si="9"/>
        <v>0</v>
      </c>
      <c r="I29" s="54"/>
      <c r="J29" s="53">
        <f t="shared" si="9"/>
        <v>0</v>
      </c>
      <c r="K29" s="54"/>
      <c r="L29" s="53">
        <f t="shared" si="6"/>
        <v>0</v>
      </c>
      <c r="M29" s="54"/>
      <c r="N29" s="53">
        <f t="shared" si="7"/>
        <v>0</v>
      </c>
      <c r="O29" s="54"/>
      <c r="P29" s="55">
        <f t="shared" si="8"/>
        <v>0</v>
      </c>
      <c r="R29" s="52"/>
      <c r="S29" s="53">
        <f t="shared" si="0"/>
        <v>0</v>
      </c>
      <c r="T29" s="54"/>
      <c r="U29" s="53">
        <f t="shared" si="1"/>
        <v>0</v>
      </c>
      <c r="V29" s="54"/>
      <c r="W29" s="53">
        <f t="shared" si="2"/>
        <v>0</v>
      </c>
      <c r="X29" s="54"/>
      <c r="Y29" s="53">
        <f t="shared" si="3"/>
        <v>0</v>
      </c>
      <c r="Z29" s="54"/>
      <c r="AA29" s="55">
        <f t="shared" si="4"/>
        <v>0</v>
      </c>
    </row>
    <row r="30" spans="1:27" x14ac:dyDescent="0.25">
      <c r="A30" s="25" t="s">
        <v>61</v>
      </c>
      <c r="B30" t="s">
        <v>130</v>
      </c>
      <c r="D30" s="40" t="e">
        <f t="array" ref="D30">INDEX($B$2:$B$100, MATCH(0, COUNTIF($D$1:D29, $B$2:$B$100), 0))</f>
        <v>#N/A</v>
      </c>
      <c r="G30" s="52"/>
      <c r="H30" s="53">
        <f t="shared" si="9"/>
        <v>0</v>
      </c>
      <c r="I30" s="54"/>
      <c r="J30" s="53">
        <f t="shared" si="9"/>
        <v>0</v>
      </c>
      <c r="K30" s="54"/>
      <c r="L30" s="53">
        <f t="shared" si="6"/>
        <v>0</v>
      </c>
      <c r="M30" s="54"/>
      <c r="N30" s="53">
        <f t="shared" si="7"/>
        <v>0</v>
      </c>
      <c r="O30" s="54"/>
      <c r="P30" s="55">
        <f t="shared" si="8"/>
        <v>0</v>
      </c>
      <c r="R30" s="52"/>
      <c r="S30" s="53">
        <f t="shared" si="0"/>
        <v>0</v>
      </c>
      <c r="T30" s="54"/>
      <c r="U30" s="53">
        <f t="shared" si="1"/>
        <v>0</v>
      </c>
      <c r="V30" s="54"/>
      <c r="W30" s="53">
        <f t="shared" si="2"/>
        <v>0</v>
      </c>
      <c r="X30" s="54"/>
      <c r="Y30" s="53">
        <f t="shared" si="3"/>
        <v>0</v>
      </c>
      <c r="Z30" s="54"/>
      <c r="AA30" s="55">
        <f t="shared" si="4"/>
        <v>0</v>
      </c>
    </row>
    <row r="31" spans="1:27" x14ac:dyDescent="0.25">
      <c r="A31" s="18" t="s">
        <v>50</v>
      </c>
      <c r="B31" t="s">
        <v>198</v>
      </c>
      <c r="D31" s="40" t="e">
        <f t="array" ref="D31">INDEX($B$2:$B$100, MATCH(0, COUNTIF($D$1:D30, $B$2:$B$100), 0))</f>
        <v>#N/A</v>
      </c>
      <c r="G31" s="52"/>
      <c r="H31" s="53">
        <f t="shared" si="9"/>
        <v>0</v>
      </c>
      <c r="I31" s="54"/>
      <c r="J31" s="53">
        <f t="shared" si="9"/>
        <v>0</v>
      </c>
      <c r="K31" s="54"/>
      <c r="L31" s="53">
        <f t="shared" si="6"/>
        <v>0</v>
      </c>
      <c r="M31" s="54"/>
      <c r="N31" s="53">
        <f t="shared" si="7"/>
        <v>0</v>
      </c>
      <c r="O31" s="54"/>
      <c r="P31" s="55">
        <f t="shared" si="8"/>
        <v>0</v>
      </c>
      <c r="R31" s="52"/>
      <c r="S31" s="53">
        <f t="shared" si="0"/>
        <v>0</v>
      </c>
      <c r="T31" s="54"/>
      <c r="U31" s="53">
        <f t="shared" si="1"/>
        <v>0</v>
      </c>
      <c r="V31" s="54"/>
      <c r="W31" s="53">
        <f t="shared" si="2"/>
        <v>0</v>
      </c>
      <c r="X31" s="54"/>
      <c r="Y31" s="53">
        <f t="shared" si="3"/>
        <v>0</v>
      </c>
      <c r="Z31" s="54"/>
      <c r="AA31" s="55">
        <f t="shared" si="4"/>
        <v>0</v>
      </c>
    </row>
    <row r="32" spans="1:27" x14ac:dyDescent="0.25">
      <c r="A32" s="24" t="s">
        <v>131</v>
      </c>
      <c r="B32" t="s">
        <v>198</v>
      </c>
      <c r="D32" s="40" t="e">
        <f t="array" ref="D32">INDEX($B$2:$B$100, MATCH(0, COUNTIF($D$1:D31, $B$2:$B$100), 0))</f>
        <v>#N/A</v>
      </c>
      <c r="G32" s="52"/>
      <c r="H32" s="53">
        <f t="shared" si="9"/>
        <v>0</v>
      </c>
      <c r="I32" s="54"/>
      <c r="J32" s="53">
        <f t="shared" si="9"/>
        <v>0</v>
      </c>
      <c r="K32" s="54"/>
      <c r="L32" s="53">
        <f t="shared" si="6"/>
        <v>0</v>
      </c>
      <c r="M32" s="54"/>
      <c r="N32" s="53">
        <f t="shared" si="7"/>
        <v>0</v>
      </c>
      <c r="O32" s="54"/>
      <c r="P32" s="55">
        <f t="shared" si="8"/>
        <v>0</v>
      </c>
      <c r="R32" s="52"/>
      <c r="S32" s="53">
        <f t="shared" si="0"/>
        <v>0</v>
      </c>
      <c r="T32" s="54"/>
      <c r="U32" s="53">
        <f t="shared" si="1"/>
        <v>0</v>
      </c>
      <c r="V32" s="54"/>
      <c r="W32" s="53">
        <f t="shared" si="2"/>
        <v>0</v>
      </c>
      <c r="X32" s="54"/>
      <c r="Y32" s="53">
        <f t="shared" si="3"/>
        <v>0</v>
      </c>
      <c r="Z32" s="54"/>
      <c r="AA32" s="55">
        <f t="shared" si="4"/>
        <v>0</v>
      </c>
    </row>
    <row r="33" spans="1:27" x14ac:dyDescent="0.25">
      <c r="A33" s="25" t="s">
        <v>137</v>
      </c>
      <c r="B33" t="s">
        <v>199</v>
      </c>
      <c r="D33" s="40" t="e">
        <f t="array" ref="D33">INDEX($B$2:$B$100, MATCH(0, COUNTIF($D$1:D32, $B$2:$B$100), 0))</f>
        <v>#N/A</v>
      </c>
      <c r="G33" s="52"/>
      <c r="H33" s="53">
        <f t="shared" si="9"/>
        <v>0</v>
      </c>
      <c r="I33" s="54"/>
      <c r="J33" s="53">
        <f t="shared" si="9"/>
        <v>0</v>
      </c>
      <c r="K33" s="54"/>
      <c r="L33" s="53">
        <f t="shared" si="6"/>
        <v>0</v>
      </c>
      <c r="M33" s="54"/>
      <c r="N33" s="53">
        <f t="shared" si="7"/>
        <v>0</v>
      </c>
      <c r="O33" s="54"/>
      <c r="P33" s="55">
        <f t="shared" si="8"/>
        <v>0</v>
      </c>
      <c r="R33" s="52"/>
      <c r="S33" s="53">
        <f t="shared" si="0"/>
        <v>0</v>
      </c>
      <c r="T33" s="54"/>
      <c r="U33" s="53">
        <f t="shared" si="1"/>
        <v>0</v>
      </c>
      <c r="V33" s="54"/>
      <c r="W33" s="53">
        <f t="shared" si="2"/>
        <v>0</v>
      </c>
      <c r="X33" s="54"/>
      <c r="Y33" s="53">
        <f t="shared" si="3"/>
        <v>0</v>
      </c>
      <c r="Z33" s="54"/>
      <c r="AA33" s="55">
        <f t="shared" si="4"/>
        <v>0</v>
      </c>
    </row>
    <row r="34" spans="1:27" x14ac:dyDescent="0.25">
      <c r="A34" t="s">
        <v>134</v>
      </c>
      <c r="B34" s="40" t="s">
        <v>125</v>
      </c>
      <c r="D34" s="40" t="e">
        <f t="array" ref="D34">INDEX($B$2:$B$100, MATCH(0, COUNTIF($D$1:D33, $B$2:$B$100), 0))</f>
        <v>#N/A</v>
      </c>
      <c r="G34" s="52"/>
      <c r="H34" s="53">
        <f t="shared" si="9"/>
        <v>0</v>
      </c>
      <c r="I34" s="54"/>
      <c r="J34" s="53">
        <f t="shared" si="9"/>
        <v>0</v>
      </c>
      <c r="K34" s="54"/>
      <c r="L34" s="53">
        <f t="shared" si="6"/>
        <v>0</v>
      </c>
      <c r="M34" s="54"/>
      <c r="N34" s="53">
        <f t="shared" si="7"/>
        <v>0</v>
      </c>
      <c r="O34" s="54"/>
      <c r="P34" s="55">
        <f t="shared" si="8"/>
        <v>0</v>
      </c>
      <c r="R34" s="52"/>
      <c r="S34" s="53">
        <f t="shared" si="0"/>
        <v>0</v>
      </c>
      <c r="T34" s="54"/>
      <c r="U34" s="53">
        <f t="shared" si="1"/>
        <v>0</v>
      </c>
      <c r="V34" s="54"/>
      <c r="W34" s="53">
        <f t="shared" si="2"/>
        <v>0</v>
      </c>
      <c r="X34" s="54"/>
      <c r="Y34" s="53">
        <f t="shared" si="3"/>
        <v>0</v>
      </c>
      <c r="Z34" s="54"/>
      <c r="AA34" s="55">
        <f t="shared" si="4"/>
        <v>0</v>
      </c>
    </row>
    <row r="35" spans="1:27" x14ac:dyDescent="0.25">
      <c r="A35" t="s">
        <v>135</v>
      </c>
      <c r="B35" s="40" t="s">
        <v>129</v>
      </c>
      <c r="D35" s="40" t="e">
        <f t="array" ref="D35">INDEX($B$2:$B$100, MATCH(0, COUNTIF($D$1:D34, $B$2:$B$100), 0))</f>
        <v>#N/A</v>
      </c>
      <c r="G35" s="52"/>
      <c r="H35" s="53">
        <f t="shared" si="9"/>
        <v>0</v>
      </c>
      <c r="I35" s="54"/>
      <c r="J35" s="53">
        <f t="shared" si="9"/>
        <v>0</v>
      </c>
      <c r="K35" s="54"/>
      <c r="L35" s="53">
        <f t="shared" si="6"/>
        <v>0</v>
      </c>
      <c r="M35" s="54"/>
      <c r="N35" s="53">
        <f t="shared" si="7"/>
        <v>0</v>
      </c>
      <c r="O35" s="54"/>
      <c r="P35" s="55">
        <f t="shared" si="8"/>
        <v>0</v>
      </c>
      <c r="R35" s="52"/>
      <c r="S35" s="53">
        <f t="shared" si="0"/>
        <v>0</v>
      </c>
      <c r="T35" s="54"/>
      <c r="U35" s="53">
        <f t="shared" si="1"/>
        <v>0</v>
      </c>
      <c r="V35" s="54"/>
      <c r="W35" s="53">
        <f t="shared" si="2"/>
        <v>0</v>
      </c>
      <c r="X35" s="54"/>
      <c r="Y35" s="53">
        <f t="shared" si="3"/>
        <v>0</v>
      </c>
      <c r="Z35" s="54"/>
      <c r="AA35" s="55">
        <f t="shared" si="4"/>
        <v>0</v>
      </c>
    </row>
    <row r="36" spans="1:27" x14ac:dyDescent="0.25">
      <c r="G36" s="52"/>
      <c r="H36" s="53">
        <f t="shared" si="9"/>
        <v>0</v>
      </c>
      <c r="I36" s="54"/>
      <c r="J36" s="53">
        <f t="shared" si="9"/>
        <v>0</v>
      </c>
      <c r="K36" s="54"/>
      <c r="L36" s="53">
        <f t="shared" si="6"/>
        <v>0</v>
      </c>
      <c r="M36" s="54"/>
      <c r="N36" s="53">
        <f t="shared" si="7"/>
        <v>0</v>
      </c>
      <c r="O36" s="54"/>
      <c r="P36" s="55">
        <f t="shared" si="8"/>
        <v>0</v>
      </c>
      <c r="R36" s="52"/>
      <c r="S36" s="53">
        <f t="shared" si="0"/>
        <v>0</v>
      </c>
      <c r="T36" s="54"/>
      <c r="U36" s="53">
        <f t="shared" si="1"/>
        <v>0</v>
      </c>
      <c r="V36" s="54"/>
      <c r="W36" s="53">
        <f t="shared" si="2"/>
        <v>0</v>
      </c>
      <c r="X36" s="54"/>
      <c r="Y36" s="53">
        <f t="shared" si="3"/>
        <v>0</v>
      </c>
      <c r="Z36" s="54"/>
      <c r="AA36" s="55">
        <f t="shared" si="4"/>
        <v>0</v>
      </c>
    </row>
    <row r="37" spans="1:27" ht="15.75" thickBot="1" x14ac:dyDescent="0.3">
      <c r="G37" s="52"/>
      <c r="H37" s="53">
        <f t="shared" si="9"/>
        <v>0</v>
      </c>
      <c r="I37" s="54"/>
      <c r="J37" s="53">
        <f t="shared" si="9"/>
        <v>0</v>
      </c>
      <c r="K37" s="54"/>
      <c r="L37" s="53">
        <f t="shared" si="6"/>
        <v>0</v>
      </c>
      <c r="M37" s="54"/>
      <c r="N37" s="53">
        <f t="shared" si="7"/>
        <v>0</v>
      </c>
      <c r="O37" s="54"/>
      <c r="P37" s="55">
        <f t="shared" si="8"/>
        <v>0</v>
      </c>
      <c r="R37" s="56"/>
      <c r="S37" s="57">
        <f t="shared" si="0"/>
        <v>0</v>
      </c>
      <c r="T37" s="58"/>
      <c r="U37" s="57">
        <f t="shared" si="1"/>
        <v>0</v>
      </c>
      <c r="V37" s="58"/>
      <c r="W37" s="57">
        <f t="shared" si="2"/>
        <v>0</v>
      </c>
      <c r="X37" s="58"/>
      <c r="Y37" s="57">
        <f t="shared" si="3"/>
        <v>0</v>
      </c>
      <c r="Z37" s="58"/>
      <c r="AA37" s="59">
        <f t="shared" si="4"/>
        <v>0</v>
      </c>
    </row>
    <row r="38" spans="1:27" x14ac:dyDescent="0.25">
      <c r="G38" s="52"/>
      <c r="H38" s="53">
        <f t="shared" ref="H38:J53" si="10">IFERROR(G38/G$54,0%)</f>
        <v>0</v>
      </c>
      <c r="I38" s="54"/>
      <c r="J38" s="53">
        <f t="shared" si="10"/>
        <v>0</v>
      </c>
      <c r="K38" s="54"/>
      <c r="L38" s="53">
        <f t="shared" si="6"/>
        <v>0</v>
      </c>
      <c r="M38" s="54"/>
      <c r="N38" s="53">
        <f t="shared" si="7"/>
        <v>0</v>
      </c>
      <c r="O38" s="54"/>
      <c r="P38" s="55">
        <f t="shared" si="8"/>
        <v>0</v>
      </c>
      <c r="R38" s="45">
        <f>SUM(R5:R37)</f>
        <v>0</v>
      </c>
      <c r="S38" s="39"/>
      <c r="T38" s="45">
        <f>SUM(T5:T37)</f>
        <v>0</v>
      </c>
      <c r="U38" s="39"/>
      <c r="V38" s="45">
        <f>SUM(V5:V37)</f>
        <v>0</v>
      </c>
      <c r="W38" s="39"/>
      <c r="X38" s="45">
        <f>SUM(X5:X37)</f>
        <v>0</v>
      </c>
      <c r="Y38" s="39"/>
      <c r="Z38" s="45">
        <f>SUM(Z5:Z37)</f>
        <v>0</v>
      </c>
      <c r="AA38" s="39"/>
    </row>
    <row r="39" spans="1:27" x14ac:dyDescent="0.25">
      <c r="G39" s="52"/>
      <c r="H39" s="53">
        <f t="shared" si="10"/>
        <v>0</v>
      </c>
      <c r="I39" s="54"/>
      <c r="J39" s="53">
        <f t="shared" si="10"/>
        <v>0</v>
      </c>
      <c r="K39" s="54"/>
      <c r="L39" s="53">
        <f t="shared" si="6"/>
        <v>0</v>
      </c>
      <c r="M39" s="54"/>
      <c r="N39" s="53">
        <f t="shared" si="7"/>
        <v>0</v>
      </c>
      <c r="O39" s="54"/>
      <c r="P39" s="55">
        <f t="shared" si="8"/>
        <v>0</v>
      </c>
    </row>
    <row r="40" spans="1:27" x14ac:dyDescent="0.25">
      <c r="G40" s="52"/>
      <c r="H40" s="53">
        <f t="shared" si="10"/>
        <v>0</v>
      </c>
      <c r="I40" s="54"/>
      <c r="J40" s="53">
        <f t="shared" si="10"/>
        <v>0</v>
      </c>
      <c r="K40" s="54"/>
      <c r="L40" s="53">
        <f t="shared" si="6"/>
        <v>0</v>
      </c>
      <c r="M40" s="54"/>
      <c r="N40" s="53">
        <f t="shared" si="7"/>
        <v>0</v>
      </c>
      <c r="O40" s="54"/>
      <c r="P40" s="55">
        <f t="shared" si="8"/>
        <v>0</v>
      </c>
    </row>
    <row r="41" spans="1:27" x14ac:dyDescent="0.25">
      <c r="G41" s="52"/>
      <c r="H41" s="53">
        <f t="shared" si="10"/>
        <v>0</v>
      </c>
      <c r="I41" s="54"/>
      <c r="J41" s="53">
        <f t="shared" si="10"/>
        <v>0</v>
      </c>
      <c r="K41" s="54"/>
      <c r="L41" s="53">
        <f t="shared" si="6"/>
        <v>0</v>
      </c>
      <c r="M41" s="54"/>
      <c r="N41" s="53">
        <f t="shared" si="7"/>
        <v>0</v>
      </c>
      <c r="O41" s="54"/>
      <c r="P41" s="55">
        <f t="shared" si="8"/>
        <v>0</v>
      </c>
    </row>
    <row r="42" spans="1:27" x14ac:dyDescent="0.25">
      <c r="G42" s="52"/>
      <c r="H42" s="53">
        <f t="shared" si="10"/>
        <v>0</v>
      </c>
      <c r="I42" s="54"/>
      <c r="J42" s="53">
        <f t="shared" si="10"/>
        <v>0</v>
      </c>
      <c r="K42" s="54"/>
      <c r="L42" s="53">
        <f t="shared" si="6"/>
        <v>0</v>
      </c>
      <c r="M42" s="54"/>
      <c r="N42" s="53">
        <f t="shared" si="7"/>
        <v>0</v>
      </c>
      <c r="O42" s="54"/>
      <c r="P42" s="55">
        <f t="shared" si="8"/>
        <v>0</v>
      </c>
    </row>
    <row r="43" spans="1:27" x14ac:dyDescent="0.25">
      <c r="G43" s="52"/>
      <c r="H43" s="53">
        <f t="shared" si="10"/>
        <v>0</v>
      </c>
      <c r="I43" s="54"/>
      <c r="J43" s="53">
        <f t="shared" si="10"/>
        <v>0</v>
      </c>
      <c r="K43" s="54"/>
      <c r="L43" s="53">
        <f t="shared" si="6"/>
        <v>0</v>
      </c>
      <c r="M43" s="54"/>
      <c r="N43" s="53">
        <f t="shared" si="7"/>
        <v>0</v>
      </c>
      <c r="O43" s="54"/>
      <c r="P43" s="55">
        <f t="shared" si="8"/>
        <v>0</v>
      </c>
    </row>
    <row r="44" spans="1:27" x14ac:dyDescent="0.25">
      <c r="G44" s="52"/>
      <c r="H44" s="53">
        <f t="shared" si="10"/>
        <v>0</v>
      </c>
      <c r="I44" s="54"/>
      <c r="J44" s="53">
        <f t="shared" si="10"/>
        <v>0</v>
      </c>
      <c r="K44" s="54"/>
      <c r="L44" s="53">
        <f t="shared" si="6"/>
        <v>0</v>
      </c>
      <c r="M44" s="54"/>
      <c r="N44" s="53">
        <f t="shared" si="7"/>
        <v>0</v>
      </c>
      <c r="O44" s="54"/>
      <c r="P44" s="55">
        <f t="shared" si="8"/>
        <v>0</v>
      </c>
    </row>
    <row r="45" spans="1:27" x14ac:dyDescent="0.25">
      <c r="G45" s="52"/>
      <c r="H45" s="53">
        <f t="shared" si="10"/>
        <v>0</v>
      </c>
      <c r="I45" s="54"/>
      <c r="J45" s="53">
        <f t="shared" si="10"/>
        <v>0</v>
      </c>
      <c r="K45" s="54"/>
      <c r="L45" s="53">
        <f t="shared" si="6"/>
        <v>0</v>
      </c>
      <c r="M45" s="54"/>
      <c r="N45" s="53">
        <f t="shared" si="7"/>
        <v>0</v>
      </c>
      <c r="O45" s="54"/>
      <c r="P45" s="55">
        <f t="shared" si="8"/>
        <v>0</v>
      </c>
    </row>
    <row r="46" spans="1:27" x14ac:dyDescent="0.25">
      <c r="G46" s="52"/>
      <c r="H46" s="53">
        <f t="shared" si="10"/>
        <v>0</v>
      </c>
      <c r="I46" s="54"/>
      <c r="J46" s="53">
        <f t="shared" si="10"/>
        <v>0</v>
      </c>
      <c r="K46" s="54"/>
      <c r="L46" s="53">
        <f t="shared" si="6"/>
        <v>0</v>
      </c>
      <c r="M46" s="54"/>
      <c r="N46" s="53">
        <f t="shared" si="7"/>
        <v>0</v>
      </c>
      <c r="O46" s="54"/>
      <c r="P46" s="55">
        <f t="shared" si="8"/>
        <v>0</v>
      </c>
    </row>
    <row r="47" spans="1:27" x14ac:dyDescent="0.25">
      <c r="G47" s="52"/>
      <c r="H47" s="53">
        <f t="shared" si="10"/>
        <v>0</v>
      </c>
      <c r="I47" s="54"/>
      <c r="J47" s="53">
        <f t="shared" si="10"/>
        <v>0</v>
      </c>
      <c r="K47" s="54"/>
      <c r="L47" s="53">
        <f t="shared" si="6"/>
        <v>0</v>
      </c>
      <c r="M47" s="54"/>
      <c r="N47" s="53">
        <f t="shared" si="7"/>
        <v>0</v>
      </c>
      <c r="O47" s="54"/>
      <c r="P47" s="55">
        <f t="shared" si="8"/>
        <v>0</v>
      </c>
    </row>
    <row r="48" spans="1:27" x14ac:dyDescent="0.25">
      <c r="G48" s="52"/>
      <c r="H48" s="53">
        <f t="shared" si="10"/>
        <v>0</v>
      </c>
      <c r="I48" s="54"/>
      <c r="J48" s="53">
        <f t="shared" si="10"/>
        <v>0</v>
      </c>
      <c r="K48" s="54"/>
      <c r="L48" s="53">
        <f t="shared" si="6"/>
        <v>0</v>
      </c>
      <c r="M48" s="54"/>
      <c r="N48" s="53">
        <f t="shared" si="7"/>
        <v>0</v>
      </c>
      <c r="O48" s="54"/>
      <c r="P48" s="55">
        <f t="shared" si="8"/>
        <v>0</v>
      </c>
    </row>
    <row r="49" spans="7:16" x14ac:dyDescent="0.25">
      <c r="G49" s="52"/>
      <c r="H49" s="53">
        <f t="shared" si="10"/>
        <v>0</v>
      </c>
      <c r="I49" s="54"/>
      <c r="J49" s="53">
        <f t="shared" si="10"/>
        <v>0</v>
      </c>
      <c r="K49" s="54"/>
      <c r="L49" s="53">
        <f t="shared" si="6"/>
        <v>0</v>
      </c>
      <c r="M49" s="54"/>
      <c r="N49" s="53">
        <f t="shared" si="7"/>
        <v>0</v>
      </c>
      <c r="O49" s="54"/>
      <c r="P49" s="55">
        <f t="shared" si="8"/>
        <v>0</v>
      </c>
    </row>
    <row r="50" spans="7:16" x14ac:dyDescent="0.25">
      <c r="G50" s="52"/>
      <c r="H50" s="53">
        <f t="shared" si="10"/>
        <v>0</v>
      </c>
      <c r="I50" s="54"/>
      <c r="J50" s="53">
        <f t="shared" si="10"/>
        <v>0</v>
      </c>
      <c r="K50" s="54"/>
      <c r="L50" s="53">
        <f t="shared" si="6"/>
        <v>0</v>
      </c>
      <c r="M50" s="54"/>
      <c r="N50" s="53">
        <f t="shared" si="7"/>
        <v>0</v>
      </c>
      <c r="O50" s="54"/>
      <c r="P50" s="55">
        <f t="shared" si="8"/>
        <v>0</v>
      </c>
    </row>
    <row r="51" spans="7:16" x14ac:dyDescent="0.25">
      <c r="G51" s="52"/>
      <c r="H51" s="53">
        <f t="shared" si="10"/>
        <v>0</v>
      </c>
      <c r="I51" s="54"/>
      <c r="J51" s="53">
        <f t="shared" si="10"/>
        <v>0</v>
      </c>
      <c r="K51" s="54"/>
      <c r="L51" s="53">
        <f t="shared" si="6"/>
        <v>0</v>
      </c>
      <c r="M51" s="54"/>
      <c r="N51" s="53">
        <f t="shared" si="7"/>
        <v>0</v>
      </c>
      <c r="O51" s="54"/>
      <c r="P51" s="55">
        <f t="shared" si="8"/>
        <v>0</v>
      </c>
    </row>
    <row r="52" spans="7:16" x14ac:dyDescent="0.25">
      <c r="G52" s="52"/>
      <c r="H52" s="53">
        <f t="shared" si="10"/>
        <v>0</v>
      </c>
      <c r="I52" s="54"/>
      <c r="J52" s="53">
        <f t="shared" si="10"/>
        <v>0</v>
      </c>
      <c r="K52" s="54"/>
      <c r="L52" s="53">
        <f t="shared" si="6"/>
        <v>0</v>
      </c>
      <c r="M52" s="54"/>
      <c r="N52" s="53">
        <f t="shared" si="7"/>
        <v>0</v>
      </c>
      <c r="O52" s="54"/>
      <c r="P52" s="55">
        <f t="shared" si="8"/>
        <v>0</v>
      </c>
    </row>
    <row r="53" spans="7:16" x14ac:dyDescent="0.25">
      <c r="G53" s="52"/>
      <c r="H53" s="53">
        <f t="shared" si="10"/>
        <v>0</v>
      </c>
      <c r="I53" s="54"/>
      <c r="J53" s="53">
        <f t="shared" si="10"/>
        <v>0</v>
      </c>
      <c r="K53" s="54"/>
      <c r="L53" s="53">
        <f t="shared" si="6"/>
        <v>0</v>
      </c>
      <c r="M53" s="54"/>
      <c r="N53" s="53">
        <f t="shared" si="7"/>
        <v>0</v>
      </c>
      <c r="O53" s="54"/>
      <c r="P53" s="55">
        <f t="shared" si="8"/>
        <v>0</v>
      </c>
    </row>
    <row r="54" spans="7:16" ht="15.75" thickBot="1" x14ac:dyDescent="0.3">
      <c r="G54" s="56"/>
      <c r="H54" s="57">
        <f t="shared" ref="H54:J54" si="11">IFERROR(G54/G$54,0%)</f>
        <v>0</v>
      </c>
      <c r="I54" s="58"/>
      <c r="J54" s="57">
        <f t="shared" si="11"/>
        <v>0</v>
      </c>
      <c r="K54" s="58"/>
      <c r="L54" s="57">
        <f t="shared" si="6"/>
        <v>0</v>
      </c>
      <c r="M54" s="58"/>
      <c r="N54" s="57">
        <f t="shared" si="7"/>
        <v>0</v>
      </c>
      <c r="O54" s="58"/>
      <c r="P54" s="59">
        <f t="shared" si="8"/>
        <v>0</v>
      </c>
    </row>
    <row r="55" spans="7:16" x14ac:dyDescent="0.25">
      <c r="G55" s="45">
        <f>SUM(G5:G54)</f>
        <v>0</v>
      </c>
      <c r="H55" s="39"/>
      <c r="I55" s="45">
        <f>SUM(I5:I54)</f>
        <v>0</v>
      </c>
      <c r="J55" s="39"/>
      <c r="K55" s="45">
        <f>SUM(K5:K54)</f>
        <v>0</v>
      </c>
      <c r="L55" s="39"/>
      <c r="M55" s="45">
        <f>SUM(M5:M54)</f>
        <v>0</v>
      </c>
      <c r="N55" s="39"/>
      <c r="O55" s="45">
        <f>SUM(O5:O54)</f>
        <v>0</v>
      </c>
      <c r="P55" s="39"/>
    </row>
  </sheetData>
  <mergeCells count="12">
    <mergeCell ref="G2:P2"/>
    <mergeCell ref="G3:H3"/>
    <mergeCell ref="I3:J3"/>
    <mergeCell ref="K3:L3"/>
    <mergeCell ref="M3:N3"/>
    <mergeCell ref="O3:P3"/>
    <mergeCell ref="R2:AA2"/>
    <mergeCell ref="R3:S3"/>
    <mergeCell ref="T3:U3"/>
    <mergeCell ref="V3:W3"/>
    <mergeCell ref="X3:Y3"/>
    <mergeCell ref="Z3:AA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54"/>
  <sheetViews>
    <sheetView workbookViewId="0">
      <selection activeCell="B2" sqref="B2:DB2"/>
    </sheetView>
  </sheetViews>
  <sheetFormatPr defaultRowHeight="15" x14ac:dyDescent="0.25"/>
  <cols>
    <col min="1" max="1" width="36.140625" style="39" customWidth="1"/>
    <col min="2" max="16384" width="9.140625" style="39"/>
  </cols>
  <sheetData>
    <row r="1" spans="1:12" ht="15.75" thickBot="1" x14ac:dyDescent="0.3">
      <c r="B1" s="66" t="s">
        <v>137</v>
      </c>
      <c r="C1" s="67"/>
      <c r="D1" s="67"/>
      <c r="E1" s="67"/>
      <c r="F1" s="67"/>
      <c r="G1" s="67"/>
      <c r="H1" s="67"/>
      <c r="I1" s="67"/>
      <c r="J1" s="67"/>
      <c r="K1" s="68"/>
    </row>
    <row r="2" spans="1:12" x14ac:dyDescent="0.25">
      <c r="B2" s="64">
        <f ca="1">SunDates!$H1</f>
        <v>43435</v>
      </c>
      <c r="C2" s="65"/>
      <c r="D2" s="64">
        <f ca="1">SunDates!$H2</f>
        <v>43442</v>
      </c>
      <c r="E2" s="65"/>
      <c r="F2" s="64">
        <f ca="1">SunDates!$H3</f>
        <v>43449</v>
      </c>
      <c r="G2" s="65"/>
      <c r="H2" s="64">
        <f ca="1">SunDates!$H4</f>
        <v>43456</v>
      </c>
      <c r="I2" s="65"/>
      <c r="J2" s="64">
        <f ca="1">SunDates!$H5</f>
        <v>43463</v>
      </c>
      <c r="K2" s="65"/>
    </row>
    <row r="3" spans="1:12" ht="15.75" thickBot="1" x14ac:dyDescent="0.3">
      <c r="B3" s="42" t="s">
        <v>195</v>
      </c>
      <c r="C3" s="43" t="s">
        <v>196</v>
      </c>
      <c r="D3" s="43" t="s">
        <v>195</v>
      </c>
      <c r="E3" s="43" t="s">
        <v>196</v>
      </c>
      <c r="F3" s="43" t="s">
        <v>195</v>
      </c>
      <c r="G3" s="43" t="s">
        <v>196</v>
      </c>
      <c r="H3" s="43" t="s">
        <v>195</v>
      </c>
      <c r="I3" s="43" t="s">
        <v>196</v>
      </c>
      <c r="J3" s="43" t="s">
        <v>195</v>
      </c>
      <c r="K3" s="44" t="s">
        <v>196</v>
      </c>
      <c r="L3" s="63"/>
    </row>
    <row r="4" spans="1:12" x14ac:dyDescent="0.25">
      <c r="A4" s="31" t="s">
        <v>87</v>
      </c>
      <c r="C4" s="47">
        <f>IFERROR(B4/B$54,0%)</f>
        <v>0</v>
      </c>
      <c r="E4" s="47">
        <f>IFERROR(D4/D$54,0%)</f>
        <v>0</v>
      </c>
      <c r="G4" s="47">
        <f>IFERROR(F4/F$54,0%)</f>
        <v>0</v>
      </c>
      <c r="I4" s="47">
        <f>IFERROR(H4/H$54,0%)</f>
        <v>0</v>
      </c>
      <c r="K4" s="47">
        <f>IFERROR(J4/J$54,0%)</f>
        <v>0</v>
      </c>
    </row>
    <row r="5" spans="1:12" x14ac:dyDescent="0.25">
      <c r="A5" s="31" t="s">
        <v>88</v>
      </c>
      <c r="C5" s="47">
        <f t="shared" ref="C5:C53" si="0">IFERROR(B5/B$54,0%)</f>
        <v>0</v>
      </c>
      <c r="E5" s="47">
        <f t="shared" ref="E5:G53" si="1">IFERROR(D5/D$54,0%)</f>
        <v>0</v>
      </c>
      <c r="G5" s="47">
        <f t="shared" si="1"/>
        <v>0</v>
      </c>
      <c r="I5" s="47">
        <f t="shared" ref="I5" si="2">IFERROR(H5/H$54,0%)</f>
        <v>0</v>
      </c>
      <c r="K5" s="47">
        <f t="shared" ref="K5" si="3">IFERROR(J5/J$54,0%)</f>
        <v>0</v>
      </c>
    </row>
    <row r="6" spans="1:12" x14ac:dyDescent="0.25">
      <c r="A6" s="31" t="s">
        <v>89</v>
      </c>
      <c r="C6" s="47">
        <f t="shared" si="0"/>
        <v>0</v>
      </c>
      <c r="E6" s="47">
        <f t="shared" si="1"/>
        <v>0</v>
      </c>
      <c r="G6" s="47">
        <f t="shared" si="1"/>
        <v>0</v>
      </c>
      <c r="I6" s="47">
        <f t="shared" ref="I6" si="4">IFERROR(H6/H$54,0%)</f>
        <v>0</v>
      </c>
      <c r="K6" s="47">
        <f t="shared" ref="K6" si="5">IFERROR(J6/J$54,0%)</f>
        <v>0</v>
      </c>
    </row>
    <row r="7" spans="1:12" x14ac:dyDescent="0.25">
      <c r="A7" s="31" t="s">
        <v>90</v>
      </c>
      <c r="C7" s="47">
        <f t="shared" si="0"/>
        <v>0</v>
      </c>
      <c r="E7" s="47">
        <f t="shared" si="1"/>
        <v>0</v>
      </c>
      <c r="G7" s="47">
        <f t="shared" si="1"/>
        <v>0</v>
      </c>
      <c r="I7" s="47">
        <f t="shared" ref="I7" si="6">IFERROR(H7/H$54,0%)</f>
        <v>0</v>
      </c>
      <c r="K7" s="47">
        <f t="shared" ref="K7" si="7">IFERROR(J7/J$54,0%)</f>
        <v>0</v>
      </c>
    </row>
    <row r="8" spans="1:12" x14ac:dyDescent="0.25">
      <c r="A8" s="31" t="s">
        <v>91</v>
      </c>
      <c r="C8" s="47">
        <f t="shared" si="0"/>
        <v>0</v>
      </c>
      <c r="E8" s="47">
        <f t="shared" si="1"/>
        <v>0</v>
      </c>
      <c r="G8" s="47">
        <f t="shared" si="1"/>
        <v>0</v>
      </c>
      <c r="I8" s="47">
        <f t="shared" ref="I8" si="8">IFERROR(H8/H$54,0%)</f>
        <v>0</v>
      </c>
      <c r="K8" s="47">
        <f t="shared" ref="K8" si="9">IFERROR(J8/J$54,0%)</f>
        <v>0</v>
      </c>
    </row>
    <row r="9" spans="1:12" x14ac:dyDescent="0.25">
      <c r="A9" s="31" t="s">
        <v>92</v>
      </c>
      <c r="C9" s="47">
        <f t="shared" si="0"/>
        <v>0</v>
      </c>
      <c r="E9" s="47">
        <f t="shared" si="1"/>
        <v>0</v>
      </c>
      <c r="G9" s="47">
        <f t="shared" si="1"/>
        <v>0</v>
      </c>
      <c r="I9" s="47">
        <f t="shared" ref="I9" si="10">IFERROR(H9/H$54,0%)</f>
        <v>0</v>
      </c>
      <c r="K9" s="47">
        <f t="shared" ref="K9" si="11">IFERROR(J9/J$54,0%)</f>
        <v>0</v>
      </c>
    </row>
    <row r="10" spans="1:12" x14ac:dyDescent="0.25">
      <c r="A10" s="31" t="s">
        <v>93</v>
      </c>
      <c r="C10" s="47">
        <f t="shared" si="0"/>
        <v>0</v>
      </c>
      <c r="E10" s="47">
        <f t="shared" si="1"/>
        <v>0</v>
      </c>
      <c r="G10" s="47">
        <f t="shared" si="1"/>
        <v>0</v>
      </c>
      <c r="I10" s="47">
        <f t="shared" ref="I10" si="12">IFERROR(H10/H$54,0%)</f>
        <v>0</v>
      </c>
      <c r="K10" s="47">
        <f t="shared" ref="K10" si="13">IFERROR(J10/J$54,0%)</f>
        <v>0</v>
      </c>
    </row>
    <row r="11" spans="1:12" x14ac:dyDescent="0.25">
      <c r="A11" s="31" t="s">
        <v>94</v>
      </c>
      <c r="C11" s="47">
        <f t="shared" si="0"/>
        <v>0</v>
      </c>
      <c r="E11" s="47">
        <f t="shared" si="1"/>
        <v>0</v>
      </c>
      <c r="G11" s="47">
        <f t="shared" si="1"/>
        <v>0</v>
      </c>
      <c r="I11" s="47">
        <f t="shared" ref="I11" si="14">IFERROR(H11/H$54,0%)</f>
        <v>0</v>
      </c>
      <c r="K11" s="47">
        <f t="shared" ref="K11" si="15">IFERROR(J11/J$54,0%)</f>
        <v>0</v>
      </c>
    </row>
    <row r="12" spans="1:12" x14ac:dyDescent="0.25">
      <c r="A12" s="31" t="s">
        <v>95</v>
      </c>
      <c r="C12" s="47">
        <f t="shared" si="0"/>
        <v>0</v>
      </c>
      <c r="E12" s="47">
        <f t="shared" si="1"/>
        <v>0</v>
      </c>
      <c r="G12" s="47">
        <f t="shared" si="1"/>
        <v>0</v>
      </c>
      <c r="I12" s="47">
        <f t="shared" ref="I12" si="16">IFERROR(H12/H$54,0%)</f>
        <v>0</v>
      </c>
      <c r="K12" s="47">
        <f t="shared" ref="K12" si="17">IFERROR(J12/J$54,0%)</f>
        <v>0</v>
      </c>
    </row>
    <row r="13" spans="1:12" x14ac:dyDescent="0.25">
      <c r="A13" s="31" t="s">
        <v>96</v>
      </c>
      <c r="C13" s="47">
        <f t="shared" si="0"/>
        <v>0</v>
      </c>
      <c r="E13" s="47">
        <f t="shared" si="1"/>
        <v>0</v>
      </c>
      <c r="G13" s="47">
        <f t="shared" si="1"/>
        <v>0</v>
      </c>
      <c r="I13" s="47">
        <f t="shared" ref="I13" si="18">IFERROR(H13/H$54,0%)</f>
        <v>0</v>
      </c>
      <c r="K13" s="47">
        <f t="shared" ref="K13" si="19">IFERROR(J13/J$54,0%)</f>
        <v>0</v>
      </c>
    </row>
    <row r="14" spans="1:12" x14ac:dyDescent="0.25">
      <c r="A14" s="31" t="s">
        <v>97</v>
      </c>
      <c r="C14" s="47">
        <f t="shared" si="0"/>
        <v>0</v>
      </c>
      <c r="E14" s="47">
        <f t="shared" si="1"/>
        <v>0</v>
      </c>
      <c r="G14" s="47">
        <f t="shared" si="1"/>
        <v>0</v>
      </c>
      <c r="I14" s="47">
        <f t="shared" ref="I14" si="20">IFERROR(H14/H$54,0%)</f>
        <v>0</v>
      </c>
      <c r="K14" s="47">
        <f t="shared" ref="K14" si="21">IFERROR(J14/J$54,0%)</f>
        <v>0</v>
      </c>
    </row>
    <row r="15" spans="1:12" x14ac:dyDescent="0.25">
      <c r="A15" s="31" t="s">
        <v>98</v>
      </c>
      <c r="C15" s="47">
        <f t="shared" si="0"/>
        <v>0</v>
      </c>
      <c r="E15" s="47">
        <f t="shared" si="1"/>
        <v>0</v>
      </c>
      <c r="G15" s="47">
        <f t="shared" si="1"/>
        <v>0</v>
      </c>
      <c r="I15" s="47">
        <f t="shared" ref="I15" si="22">IFERROR(H15/H$54,0%)</f>
        <v>0</v>
      </c>
      <c r="K15" s="47">
        <f t="shared" ref="K15" si="23">IFERROR(J15/J$54,0%)</f>
        <v>0</v>
      </c>
    </row>
    <row r="16" spans="1:12" x14ac:dyDescent="0.25">
      <c r="A16" s="31" t="s">
        <v>99</v>
      </c>
      <c r="C16" s="47">
        <f t="shared" si="0"/>
        <v>0</v>
      </c>
      <c r="E16" s="47">
        <f t="shared" si="1"/>
        <v>0</v>
      </c>
      <c r="G16" s="47">
        <f t="shared" si="1"/>
        <v>0</v>
      </c>
      <c r="I16" s="47">
        <f t="shared" ref="I16" si="24">IFERROR(H16/H$54,0%)</f>
        <v>0</v>
      </c>
      <c r="K16" s="47">
        <f t="shared" ref="K16" si="25">IFERROR(J16/J$54,0%)</f>
        <v>0</v>
      </c>
    </row>
    <row r="17" spans="1:11" x14ac:dyDescent="0.25">
      <c r="A17" s="31" t="s">
        <v>100</v>
      </c>
      <c r="C17" s="47">
        <f t="shared" si="0"/>
        <v>0</v>
      </c>
      <c r="E17" s="47">
        <f t="shared" si="1"/>
        <v>0</v>
      </c>
      <c r="G17" s="47">
        <f t="shared" si="1"/>
        <v>0</v>
      </c>
      <c r="I17" s="47">
        <f t="shared" ref="I17" si="26">IFERROR(H17/H$54,0%)</f>
        <v>0</v>
      </c>
      <c r="K17" s="47">
        <f t="shared" ref="K17" si="27">IFERROR(J17/J$54,0%)</f>
        <v>0</v>
      </c>
    </row>
    <row r="18" spans="1:11" x14ac:dyDescent="0.25">
      <c r="A18" s="31" t="s">
        <v>101</v>
      </c>
      <c r="C18" s="47">
        <f t="shared" si="0"/>
        <v>0</v>
      </c>
      <c r="E18" s="47">
        <f t="shared" si="1"/>
        <v>0</v>
      </c>
      <c r="G18" s="47">
        <f t="shared" si="1"/>
        <v>0</v>
      </c>
      <c r="I18" s="47">
        <f t="shared" ref="I18" si="28">IFERROR(H18/H$54,0%)</f>
        <v>0</v>
      </c>
      <c r="K18" s="47">
        <f t="shared" ref="K18" si="29">IFERROR(J18/J$54,0%)</f>
        <v>0</v>
      </c>
    </row>
    <row r="19" spans="1:11" x14ac:dyDescent="0.25">
      <c r="A19" s="31" t="s">
        <v>102</v>
      </c>
      <c r="C19" s="47">
        <f t="shared" si="0"/>
        <v>0</v>
      </c>
      <c r="E19" s="47">
        <f t="shared" si="1"/>
        <v>0</v>
      </c>
      <c r="G19" s="47">
        <f t="shared" si="1"/>
        <v>0</v>
      </c>
      <c r="I19" s="47">
        <f t="shared" ref="I19" si="30">IFERROR(H19/H$54,0%)</f>
        <v>0</v>
      </c>
      <c r="K19" s="47">
        <f t="shared" ref="K19" si="31">IFERROR(J19/J$54,0%)</f>
        <v>0</v>
      </c>
    </row>
    <row r="20" spans="1:11" x14ac:dyDescent="0.25">
      <c r="A20" s="31" t="s">
        <v>103</v>
      </c>
      <c r="C20" s="47">
        <f t="shared" si="0"/>
        <v>0</v>
      </c>
      <c r="E20" s="47">
        <f t="shared" si="1"/>
        <v>0</v>
      </c>
      <c r="G20" s="47">
        <f t="shared" si="1"/>
        <v>0</v>
      </c>
      <c r="I20" s="47">
        <f t="shared" ref="I20" si="32">IFERROR(H20/H$54,0%)</f>
        <v>0</v>
      </c>
      <c r="K20" s="47">
        <f t="shared" ref="K20" si="33">IFERROR(J20/J$54,0%)</f>
        <v>0</v>
      </c>
    </row>
    <row r="21" spans="1:11" x14ac:dyDescent="0.25">
      <c r="A21" s="32" t="s">
        <v>174</v>
      </c>
      <c r="C21" s="47">
        <f t="shared" si="0"/>
        <v>0</v>
      </c>
      <c r="E21" s="47">
        <f t="shared" si="1"/>
        <v>0</v>
      </c>
      <c r="G21" s="47">
        <f t="shared" si="1"/>
        <v>0</v>
      </c>
      <c r="I21" s="47">
        <f t="shared" ref="I21" si="34">IFERROR(H21/H$54,0%)</f>
        <v>0</v>
      </c>
      <c r="K21" s="47">
        <f t="shared" ref="K21" si="35">IFERROR(J21/J$54,0%)</f>
        <v>0</v>
      </c>
    </row>
    <row r="22" spans="1:11" x14ac:dyDescent="0.25">
      <c r="A22" s="32" t="s">
        <v>175</v>
      </c>
      <c r="C22" s="47">
        <f t="shared" si="0"/>
        <v>0</v>
      </c>
      <c r="E22" s="47">
        <f t="shared" si="1"/>
        <v>0</v>
      </c>
      <c r="G22" s="47">
        <f t="shared" si="1"/>
        <v>0</v>
      </c>
      <c r="I22" s="47">
        <f t="shared" ref="I22" si="36">IFERROR(H22/H$54,0%)</f>
        <v>0</v>
      </c>
      <c r="K22" s="47">
        <f t="shared" ref="K22" si="37">IFERROR(J22/J$54,0%)</f>
        <v>0</v>
      </c>
    </row>
    <row r="23" spans="1:11" x14ac:dyDescent="0.25">
      <c r="A23" s="32" t="s">
        <v>176</v>
      </c>
      <c r="C23" s="47">
        <f t="shared" si="0"/>
        <v>0</v>
      </c>
      <c r="E23" s="47">
        <f t="shared" si="1"/>
        <v>0</v>
      </c>
      <c r="G23" s="47">
        <f t="shared" si="1"/>
        <v>0</v>
      </c>
      <c r="I23" s="47">
        <f t="shared" ref="I23" si="38">IFERROR(H23/H$54,0%)</f>
        <v>0</v>
      </c>
      <c r="K23" s="47">
        <f t="shared" ref="K23" si="39">IFERROR(J23/J$54,0%)</f>
        <v>0</v>
      </c>
    </row>
    <row r="24" spans="1:11" x14ac:dyDescent="0.25">
      <c r="A24" s="32" t="s">
        <v>177</v>
      </c>
      <c r="C24" s="47">
        <f t="shared" si="0"/>
        <v>0</v>
      </c>
      <c r="E24" s="47">
        <f t="shared" si="1"/>
        <v>0</v>
      </c>
      <c r="G24" s="47">
        <f t="shared" si="1"/>
        <v>0</v>
      </c>
      <c r="I24" s="47">
        <f t="shared" ref="I24" si="40">IFERROR(H24/H$54,0%)</f>
        <v>0</v>
      </c>
      <c r="K24" s="47">
        <f t="shared" ref="K24" si="41">IFERROR(J24/J$54,0%)</f>
        <v>0</v>
      </c>
    </row>
    <row r="25" spans="1:11" x14ac:dyDescent="0.25">
      <c r="A25" s="32" t="s">
        <v>178</v>
      </c>
      <c r="C25" s="47">
        <f t="shared" si="0"/>
        <v>0</v>
      </c>
      <c r="E25" s="47">
        <f t="shared" si="1"/>
        <v>0</v>
      </c>
      <c r="G25" s="47">
        <f t="shared" si="1"/>
        <v>0</v>
      </c>
      <c r="I25" s="47">
        <f t="shared" ref="I25" si="42">IFERROR(H25/H$54,0%)</f>
        <v>0</v>
      </c>
      <c r="K25" s="47">
        <f t="shared" ref="K25" si="43">IFERROR(J25/J$54,0%)</f>
        <v>0</v>
      </c>
    </row>
    <row r="26" spans="1:11" x14ac:dyDescent="0.25">
      <c r="A26" s="33" t="s">
        <v>179</v>
      </c>
      <c r="C26" s="47">
        <f t="shared" si="0"/>
        <v>0</v>
      </c>
      <c r="E26" s="47">
        <f t="shared" si="1"/>
        <v>0</v>
      </c>
      <c r="G26" s="47">
        <f t="shared" si="1"/>
        <v>0</v>
      </c>
      <c r="I26" s="47">
        <f t="shared" ref="I26" si="44">IFERROR(H26/H$54,0%)</f>
        <v>0</v>
      </c>
      <c r="K26" s="47">
        <f t="shared" ref="K26" si="45">IFERROR(J26/J$54,0%)</f>
        <v>0</v>
      </c>
    </row>
    <row r="27" spans="1:11" x14ac:dyDescent="0.25">
      <c r="A27" s="31" t="s">
        <v>104</v>
      </c>
      <c r="C27" s="47">
        <f t="shared" si="0"/>
        <v>0</v>
      </c>
      <c r="E27" s="47">
        <f t="shared" si="1"/>
        <v>0</v>
      </c>
      <c r="G27" s="47">
        <f t="shared" si="1"/>
        <v>0</v>
      </c>
      <c r="I27" s="47">
        <f t="shared" ref="I27" si="46">IFERROR(H27/H$54,0%)</f>
        <v>0</v>
      </c>
      <c r="K27" s="47">
        <f t="shared" ref="K27" si="47">IFERROR(J27/J$54,0%)</f>
        <v>0</v>
      </c>
    </row>
    <row r="28" spans="1:11" x14ac:dyDescent="0.25">
      <c r="A28" s="31" t="s">
        <v>105</v>
      </c>
      <c r="C28" s="47">
        <f t="shared" si="0"/>
        <v>0</v>
      </c>
      <c r="E28" s="47">
        <f t="shared" si="1"/>
        <v>0</v>
      </c>
      <c r="G28" s="47">
        <f t="shared" si="1"/>
        <v>0</v>
      </c>
      <c r="I28" s="47">
        <f t="shared" ref="I28" si="48">IFERROR(H28/H$54,0%)</f>
        <v>0</v>
      </c>
      <c r="K28" s="47">
        <f t="shared" ref="K28" si="49">IFERROR(J28/J$54,0%)</f>
        <v>0</v>
      </c>
    </row>
    <row r="29" spans="1:11" x14ac:dyDescent="0.25">
      <c r="A29" s="32" t="s">
        <v>180</v>
      </c>
      <c r="C29" s="47">
        <f t="shared" si="0"/>
        <v>0</v>
      </c>
      <c r="E29" s="47">
        <f t="shared" si="1"/>
        <v>0</v>
      </c>
      <c r="G29" s="47">
        <f t="shared" si="1"/>
        <v>0</v>
      </c>
      <c r="I29" s="47">
        <f t="shared" ref="I29" si="50">IFERROR(H29/H$54,0%)</f>
        <v>0</v>
      </c>
      <c r="K29" s="47">
        <f t="shared" ref="K29" si="51">IFERROR(J29/J$54,0%)</f>
        <v>0</v>
      </c>
    </row>
    <row r="30" spans="1:11" x14ac:dyDescent="0.25">
      <c r="A30" s="32" t="s">
        <v>181</v>
      </c>
      <c r="C30" s="47">
        <f t="shared" si="0"/>
        <v>0</v>
      </c>
      <c r="E30" s="47">
        <f t="shared" si="1"/>
        <v>0</v>
      </c>
      <c r="G30" s="47">
        <f t="shared" si="1"/>
        <v>0</v>
      </c>
      <c r="I30" s="47">
        <f t="shared" ref="I30" si="52">IFERROR(H30/H$54,0%)</f>
        <v>0</v>
      </c>
      <c r="K30" s="47">
        <f t="shared" ref="K30" si="53">IFERROR(J30/J$54,0%)</f>
        <v>0</v>
      </c>
    </row>
    <row r="31" spans="1:11" x14ac:dyDescent="0.25">
      <c r="A31" s="32" t="s">
        <v>182</v>
      </c>
      <c r="C31" s="47">
        <f t="shared" si="0"/>
        <v>0</v>
      </c>
      <c r="E31" s="47">
        <f t="shared" si="1"/>
        <v>0</v>
      </c>
      <c r="G31" s="47">
        <f t="shared" si="1"/>
        <v>0</v>
      </c>
      <c r="I31" s="47">
        <f t="shared" ref="I31" si="54">IFERROR(H31/H$54,0%)</f>
        <v>0</v>
      </c>
      <c r="K31" s="47">
        <f t="shared" ref="K31" si="55">IFERROR(J31/J$54,0%)</f>
        <v>0</v>
      </c>
    </row>
    <row r="32" spans="1:11" x14ac:dyDescent="0.25">
      <c r="A32" s="32" t="s">
        <v>183</v>
      </c>
      <c r="C32" s="47">
        <f t="shared" si="0"/>
        <v>0</v>
      </c>
      <c r="E32" s="47">
        <f t="shared" si="1"/>
        <v>0</v>
      </c>
      <c r="G32" s="47">
        <f t="shared" si="1"/>
        <v>0</v>
      </c>
      <c r="I32" s="47">
        <f t="shared" ref="I32" si="56">IFERROR(H32/H$54,0%)</f>
        <v>0</v>
      </c>
      <c r="K32" s="47">
        <f t="shared" ref="K32" si="57">IFERROR(J32/J$54,0%)</f>
        <v>0</v>
      </c>
    </row>
    <row r="33" spans="1:11" x14ac:dyDescent="0.25">
      <c r="A33" s="32" t="s">
        <v>184</v>
      </c>
      <c r="C33" s="47">
        <f t="shared" si="0"/>
        <v>0</v>
      </c>
      <c r="E33" s="47">
        <f t="shared" si="1"/>
        <v>0</v>
      </c>
      <c r="G33" s="47">
        <f t="shared" si="1"/>
        <v>0</v>
      </c>
      <c r="I33" s="47">
        <f t="shared" ref="I33" si="58">IFERROR(H33/H$54,0%)</f>
        <v>0</v>
      </c>
      <c r="K33" s="47">
        <f t="shared" ref="K33" si="59">IFERROR(J33/J$54,0%)</f>
        <v>0</v>
      </c>
    </row>
    <row r="34" spans="1:11" x14ac:dyDescent="0.25">
      <c r="A34" s="31" t="s">
        <v>106</v>
      </c>
      <c r="C34" s="47">
        <f t="shared" si="0"/>
        <v>0</v>
      </c>
      <c r="E34" s="47">
        <f t="shared" si="1"/>
        <v>0</v>
      </c>
      <c r="G34" s="47">
        <f t="shared" si="1"/>
        <v>0</v>
      </c>
      <c r="I34" s="47">
        <f t="shared" ref="I34" si="60">IFERROR(H34/H$54,0%)</f>
        <v>0</v>
      </c>
      <c r="K34" s="47">
        <f t="shared" ref="K34" si="61">IFERROR(J34/J$54,0%)</f>
        <v>0</v>
      </c>
    </row>
    <row r="35" spans="1:11" x14ac:dyDescent="0.25">
      <c r="A35" s="31" t="s">
        <v>107</v>
      </c>
      <c r="C35" s="47">
        <f t="shared" si="0"/>
        <v>0</v>
      </c>
      <c r="E35" s="47">
        <f t="shared" si="1"/>
        <v>0</v>
      </c>
      <c r="G35" s="47">
        <f t="shared" si="1"/>
        <v>0</v>
      </c>
      <c r="I35" s="47">
        <f t="shared" ref="I35" si="62">IFERROR(H35/H$54,0%)</f>
        <v>0</v>
      </c>
      <c r="K35" s="47">
        <f t="shared" ref="K35" si="63">IFERROR(J35/J$54,0%)</f>
        <v>0</v>
      </c>
    </row>
    <row r="36" spans="1:11" x14ac:dyDescent="0.25">
      <c r="A36" s="31" t="s">
        <v>108</v>
      </c>
      <c r="C36" s="47">
        <f t="shared" si="0"/>
        <v>0</v>
      </c>
      <c r="E36" s="47">
        <f t="shared" si="1"/>
        <v>0</v>
      </c>
      <c r="G36" s="47">
        <f t="shared" si="1"/>
        <v>0</v>
      </c>
      <c r="I36" s="47">
        <f t="shared" ref="I36" si="64">IFERROR(H36/H$54,0%)</f>
        <v>0</v>
      </c>
      <c r="K36" s="47">
        <f t="shared" ref="K36" si="65">IFERROR(J36/J$54,0%)</f>
        <v>0</v>
      </c>
    </row>
    <row r="37" spans="1:11" x14ac:dyDescent="0.25">
      <c r="A37" s="31" t="s">
        <v>109</v>
      </c>
      <c r="C37" s="47">
        <f t="shared" si="0"/>
        <v>0</v>
      </c>
      <c r="E37" s="47">
        <f t="shared" si="1"/>
        <v>0</v>
      </c>
      <c r="G37" s="47">
        <f t="shared" si="1"/>
        <v>0</v>
      </c>
      <c r="I37" s="47">
        <f t="shared" ref="I37" si="66">IFERROR(H37/H$54,0%)</f>
        <v>0</v>
      </c>
      <c r="K37" s="47">
        <f t="shared" ref="K37" si="67">IFERROR(J37/J$54,0%)</f>
        <v>0</v>
      </c>
    </row>
    <row r="38" spans="1:11" x14ac:dyDescent="0.25">
      <c r="A38" s="31" t="s">
        <v>110</v>
      </c>
      <c r="C38" s="47">
        <f t="shared" si="0"/>
        <v>0</v>
      </c>
      <c r="E38" s="47">
        <f t="shared" si="1"/>
        <v>0</v>
      </c>
      <c r="G38" s="47">
        <f t="shared" si="1"/>
        <v>0</v>
      </c>
      <c r="I38" s="47">
        <f t="shared" ref="I38" si="68">IFERROR(H38/H$54,0%)</f>
        <v>0</v>
      </c>
      <c r="K38" s="47">
        <f t="shared" ref="K38" si="69">IFERROR(J38/J$54,0%)</f>
        <v>0</v>
      </c>
    </row>
    <row r="39" spans="1:11" x14ac:dyDescent="0.25">
      <c r="A39" s="34" t="s">
        <v>111</v>
      </c>
      <c r="C39" s="47">
        <f t="shared" si="0"/>
        <v>0</v>
      </c>
      <c r="E39" s="47">
        <f t="shared" si="1"/>
        <v>0</v>
      </c>
      <c r="G39" s="47">
        <f t="shared" si="1"/>
        <v>0</v>
      </c>
      <c r="I39" s="47">
        <f t="shared" ref="I39" si="70">IFERROR(H39/H$54,0%)</f>
        <v>0</v>
      </c>
      <c r="K39" s="47">
        <f t="shared" ref="K39" si="71">IFERROR(J39/J$54,0%)</f>
        <v>0</v>
      </c>
    </row>
    <row r="40" spans="1:11" x14ac:dyDescent="0.25">
      <c r="A40" s="34" t="s">
        <v>112</v>
      </c>
      <c r="C40" s="47">
        <f t="shared" si="0"/>
        <v>0</v>
      </c>
      <c r="E40" s="47">
        <f t="shared" si="1"/>
        <v>0</v>
      </c>
      <c r="G40" s="47">
        <f t="shared" si="1"/>
        <v>0</v>
      </c>
      <c r="I40" s="47">
        <f t="shared" ref="I40" si="72">IFERROR(H40/H$54,0%)</f>
        <v>0</v>
      </c>
      <c r="K40" s="47">
        <f t="shared" ref="K40" si="73">IFERROR(J40/J$54,0%)</f>
        <v>0</v>
      </c>
    </row>
    <row r="41" spans="1:11" x14ac:dyDescent="0.25">
      <c r="A41" s="34" t="s">
        <v>113</v>
      </c>
      <c r="C41" s="47">
        <f t="shared" si="0"/>
        <v>0</v>
      </c>
      <c r="E41" s="47">
        <f t="shared" si="1"/>
        <v>0</v>
      </c>
      <c r="G41" s="47">
        <f t="shared" si="1"/>
        <v>0</v>
      </c>
      <c r="I41" s="47">
        <f t="shared" ref="I41" si="74">IFERROR(H41/H$54,0%)</f>
        <v>0</v>
      </c>
      <c r="K41" s="47">
        <f t="shared" ref="K41" si="75">IFERROR(J41/J$54,0%)</f>
        <v>0</v>
      </c>
    </row>
    <row r="42" spans="1:11" x14ac:dyDescent="0.25">
      <c r="A42" s="34" t="s">
        <v>114</v>
      </c>
      <c r="C42" s="47">
        <f t="shared" si="0"/>
        <v>0</v>
      </c>
      <c r="E42" s="47">
        <f t="shared" si="1"/>
        <v>0</v>
      </c>
      <c r="G42" s="47">
        <f t="shared" si="1"/>
        <v>0</v>
      </c>
      <c r="I42" s="47">
        <f t="shared" ref="I42" si="76">IFERROR(H42/H$54,0%)</f>
        <v>0</v>
      </c>
      <c r="K42" s="47">
        <f t="shared" ref="K42" si="77">IFERROR(J42/J$54,0%)</f>
        <v>0</v>
      </c>
    </row>
    <row r="43" spans="1:11" x14ac:dyDescent="0.25">
      <c r="A43" s="34" t="s">
        <v>115</v>
      </c>
      <c r="C43" s="47">
        <f t="shared" si="0"/>
        <v>0</v>
      </c>
      <c r="E43" s="47">
        <f t="shared" si="1"/>
        <v>0</v>
      </c>
      <c r="G43" s="47">
        <f t="shared" si="1"/>
        <v>0</v>
      </c>
      <c r="I43" s="47">
        <f t="shared" ref="I43" si="78">IFERROR(H43/H$54,0%)</f>
        <v>0</v>
      </c>
      <c r="K43" s="47">
        <f t="shared" ref="K43" si="79">IFERROR(J43/J$54,0%)</f>
        <v>0</v>
      </c>
    </row>
    <row r="44" spans="1:11" x14ac:dyDescent="0.25">
      <c r="A44" s="34" t="s">
        <v>116</v>
      </c>
      <c r="C44" s="47">
        <f t="shared" si="0"/>
        <v>0</v>
      </c>
      <c r="E44" s="47">
        <f t="shared" si="1"/>
        <v>0</v>
      </c>
      <c r="G44" s="47">
        <f t="shared" si="1"/>
        <v>0</v>
      </c>
      <c r="I44" s="47">
        <f t="shared" ref="I44" si="80">IFERROR(H44/H$54,0%)</f>
        <v>0</v>
      </c>
      <c r="K44" s="47">
        <f t="shared" ref="K44" si="81">IFERROR(J44/J$54,0%)</f>
        <v>0</v>
      </c>
    </row>
    <row r="45" spans="1:11" x14ac:dyDescent="0.25">
      <c r="A45" s="34" t="s">
        <v>117</v>
      </c>
      <c r="C45" s="47">
        <f t="shared" si="0"/>
        <v>0</v>
      </c>
      <c r="E45" s="47">
        <f t="shared" si="1"/>
        <v>0</v>
      </c>
      <c r="G45" s="47">
        <f t="shared" si="1"/>
        <v>0</v>
      </c>
      <c r="I45" s="47">
        <f t="shared" ref="I45" si="82">IFERROR(H45/H$54,0%)</f>
        <v>0</v>
      </c>
      <c r="K45" s="47">
        <f t="shared" ref="K45" si="83">IFERROR(J45/J$54,0%)</f>
        <v>0</v>
      </c>
    </row>
    <row r="46" spans="1:11" x14ac:dyDescent="0.25">
      <c r="A46" s="34" t="s">
        <v>118</v>
      </c>
      <c r="C46" s="47">
        <f t="shared" si="0"/>
        <v>0</v>
      </c>
      <c r="E46" s="47">
        <f t="shared" si="1"/>
        <v>0</v>
      </c>
      <c r="G46" s="47">
        <f t="shared" si="1"/>
        <v>0</v>
      </c>
      <c r="I46" s="47">
        <f t="shared" ref="I46" si="84">IFERROR(H46/H$54,0%)</f>
        <v>0</v>
      </c>
      <c r="K46" s="47">
        <f t="shared" ref="K46" si="85">IFERROR(J46/J$54,0%)</f>
        <v>0</v>
      </c>
    </row>
    <row r="47" spans="1:11" x14ac:dyDescent="0.25">
      <c r="A47" s="31" t="s">
        <v>77</v>
      </c>
      <c r="C47" s="47">
        <f t="shared" si="0"/>
        <v>0</v>
      </c>
      <c r="E47" s="47">
        <f t="shared" si="1"/>
        <v>0</v>
      </c>
      <c r="G47" s="47">
        <f t="shared" si="1"/>
        <v>0</v>
      </c>
      <c r="I47" s="47">
        <f t="shared" ref="I47" si="86">IFERROR(H47/H$54,0%)</f>
        <v>0</v>
      </c>
      <c r="K47" s="47">
        <f t="shared" ref="K47" si="87">IFERROR(J47/J$54,0%)</f>
        <v>0</v>
      </c>
    </row>
    <row r="48" spans="1:11" x14ac:dyDescent="0.25">
      <c r="A48" s="31" t="s">
        <v>185</v>
      </c>
      <c r="C48" s="47">
        <f t="shared" si="0"/>
        <v>0</v>
      </c>
      <c r="E48" s="47">
        <f t="shared" si="1"/>
        <v>0</v>
      </c>
      <c r="G48" s="47">
        <f t="shared" si="1"/>
        <v>0</v>
      </c>
      <c r="I48" s="47">
        <f t="shared" ref="I48" si="88">IFERROR(H48/H$54,0%)</f>
        <v>0</v>
      </c>
      <c r="K48" s="47">
        <f t="shared" ref="K48" si="89">IFERROR(J48/J$54,0%)</f>
        <v>0</v>
      </c>
    </row>
    <row r="49" spans="1:11" x14ac:dyDescent="0.25">
      <c r="A49" s="46" t="s">
        <v>186</v>
      </c>
      <c r="C49" s="47">
        <f t="shared" si="0"/>
        <v>0</v>
      </c>
      <c r="E49" s="47">
        <f t="shared" si="1"/>
        <v>0</v>
      </c>
      <c r="G49" s="47">
        <f t="shared" si="1"/>
        <v>0</v>
      </c>
      <c r="I49" s="47">
        <f t="shared" ref="I49" si="90">IFERROR(H49/H$54,0%)</f>
        <v>0</v>
      </c>
      <c r="K49" s="47">
        <f t="shared" ref="K49" si="91">IFERROR(J49/J$54,0%)</f>
        <v>0</v>
      </c>
    </row>
    <row r="50" spans="1:11" x14ac:dyDescent="0.25">
      <c r="A50" s="46" t="s">
        <v>187</v>
      </c>
      <c r="C50" s="47">
        <f t="shared" si="0"/>
        <v>0</v>
      </c>
      <c r="E50" s="47">
        <f t="shared" si="1"/>
        <v>0</v>
      </c>
      <c r="G50" s="47">
        <f t="shared" si="1"/>
        <v>0</v>
      </c>
      <c r="I50" s="47">
        <f t="shared" ref="I50" si="92">IFERROR(H50/H$54,0%)</f>
        <v>0</v>
      </c>
      <c r="K50" s="47">
        <f t="shared" ref="K50" si="93">IFERROR(J50/J$54,0%)</f>
        <v>0</v>
      </c>
    </row>
    <row r="51" spans="1:11" x14ac:dyDescent="0.25">
      <c r="A51" s="46" t="s">
        <v>188</v>
      </c>
      <c r="C51" s="47">
        <f t="shared" si="0"/>
        <v>0</v>
      </c>
      <c r="E51" s="47">
        <f t="shared" si="1"/>
        <v>0</v>
      </c>
      <c r="G51" s="47">
        <f t="shared" si="1"/>
        <v>0</v>
      </c>
      <c r="I51" s="47">
        <f t="shared" ref="I51" si="94">IFERROR(H51/H$54,0%)</f>
        <v>0</v>
      </c>
      <c r="K51" s="47">
        <f t="shared" ref="K51" si="95">IFERROR(J51/J$54,0%)</f>
        <v>0</v>
      </c>
    </row>
    <row r="52" spans="1:11" x14ac:dyDescent="0.25">
      <c r="A52" s="38" t="s">
        <v>189</v>
      </c>
      <c r="C52" s="47">
        <f t="shared" si="0"/>
        <v>0</v>
      </c>
      <c r="E52" s="47">
        <f t="shared" si="1"/>
        <v>0</v>
      </c>
      <c r="G52" s="47">
        <f t="shared" si="1"/>
        <v>0</v>
      </c>
      <c r="I52" s="47">
        <f t="shared" ref="I52" si="96">IFERROR(H52/H$54,0%)</f>
        <v>0</v>
      </c>
      <c r="K52" s="47">
        <f t="shared" ref="K52" si="97">IFERROR(J52/J$54,0%)</f>
        <v>0</v>
      </c>
    </row>
    <row r="53" spans="1:11" x14ac:dyDescent="0.25">
      <c r="A53" s="31" t="s">
        <v>190</v>
      </c>
      <c r="C53" s="47">
        <f t="shared" si="0"/>
        <v>0</v>
      </c>
      <c r="E53" s="47">
        <f t="shared" si="1"/>
        <v>0</v>
      </c>
      <c r="G53" s="47">
        <f t="shared" si="1"/>
        <v>0</v>
      </c>
      <c r="I53" s="47">
        <f t="shared" ref="I53" si="98">IFERROR(H53/H$54,0%)</f>
        <v>0</v>
      </c>
      <c r="K53" s="47">
        <f t="shared" ref="K53" si="99">IFERROR(J53/J$54,0%)</f>
        <v>0</v>
      </c>
    </row>
    <row r="54" spans="1:11" x14ac:dyDescent="0.25">
      <c r="B54" s="45">
        <v>0</v>
      </c>
      <c r="D54" s="45">
        <f>SUM(D4:D53)</f>
        <v>0</v>
      </c>
      <c r="F54" s="45">
        <f>SUM(F4:F53)</f>
        <v>0</v>
      </c>
      <c r="H54" s="45">
        <f>SUM(H4:H53)</f>
        <v>0</v>
      </c>
      <c r="J54" s="45">
        <f>SUM(J4:J53)</f>
        <v>0</v>
      </c>
    </row>
  </sheetData>
  <mergeCells count="6">
    <mergeCell ref="B1:K1"/>
    <mergeCell ref="B2:C2"/>
    <mergeCell ref="D2:E2"/>
    <mergeCell ref="F2:G2"/>
    <mergeCell ref="H2:I2"/>
    <mergeCell ref="J2:K2"/>
  </mergeCell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54"/>
  <sheetViews>
    <sheetView zoomScale="60" zoomScaleNormal="60" workbookViewId="0">
      <selection activeCell="B2" sqref="B2:DB2"/>
    </sheetView>
  </sheetViews>
  <sheetFormatPr defaultRowHeight="15" x14ac:dyDescent="0.25"/>
  <cols>
    <col min="1" max="1" width="36.140625" style="39" customWidth="1"/>
    <col min="2" max="16384" width="9.140625" style="39"/>
  </cols>
  <sheetData>
    <row r="1" spans="1:21" ht="15.75" thickBot="1" x14ac:dyDescent="0.3">
      <c r="B1" s="66" t="s">
        <v>54</v>
      </c>
      <c r="C1" s="67"/>
      <c r="D1" s="67"/>
      <c r="E1" s="67"/>
      <c r="F1" s="67"/>
      <c r="G1" s="67"/>
      <c r="H1" s="67"/>
      <c r="I1" s="67"/>
      <c r="J1" s="67"/>
      <c r="K1" s="68"/>
      <c r="L1" s="66" t="s">
        <v>58</v>
      </c>
      <c r="M1" s="67"/>
      <c r="N1" s="67"/>
      <c r="O1" s="67"/>
      <c r="P1" s="67"/>
      <c r="Q1" s="67"/>
      <c r="R1" s="67"/>
      <c r="S1" s="67"/>
      <c r="T1" s="67"/>
      <c r="U1" s="68"/>
    </row>
    <row r="2" spans="1:21" x14ac:dyDescent="0.25">
      <c r="B2" s="64">
        <f ca="1">SunDates!$H1</f>
        <v>43435</v>
      </c>
      <c r="C2" s="65"/>
      <c r="D2" s="64">
        <f ca="1">SunDates!$H1</f>
        <v>43435</v>
      </c>
      <c r="E2" s="65"/>
      <c r="F2" s="64">
        <f ca="1">SunDates!$H1</f>
        <v>43435</v>
      </c>
      <c r="G2" s="65"/>
      <c r="H2" s="64">
        <f ca="1">SunDates!$H1</f>
        <v>43435</v>
      </c>
      <c r="I2" s="65"/>
      <c r="J2" s="64">
        <f ca="1">SunDates!$H5</f>
        <v>43463</v>
      </c>
      <c r="K2" s="65"/>
      <c r="L2" s="64">
        <f ca="1">SunDates!$H1</f>
        <v>43435</v>
      </c>
      <c r="M2" s="65"/>
      <c r="N2" s="64">
        <f ca="1">SunDates!$H2</f>
        <v>43442</v>
      </c>
      <c r="O2" s="65"/>
      <c r="P2" s="64">
        <f ca="1">SunDates!$H3</f>
        <v>43449</v>
      </c>
      <c r="Q2" s="65"/>
      <c r="R2" s="64">
        <f ca="1">SunDates!$H4</f>
        <v>43456</v>
      </c>
      <c r="S2" s="65"/>
      <c r="T2" s="64">
        <f ca="1">SunDates!$H5</f>
        <v>43463</v>
      </c>
      <c r="U2" s="65"/>
    </row>
    <row r="3" spans="1:21" ht="15.75" thickBot="1" x14ac:dyDescent="0.3">
      <c r="B3" s="42" t="s">
        <v>195</v>
      </c>
      <c r="C3" s="43" t="s">
        <v>196</v>
      </c>
      <c r="D3" s="43" t="s">
        <v>195</v>
      </c>
      <c r="E3" s="43" t="s">
        <v>196</v>
      </c>
      <c r="F3" s="43" t="s">
        <v>195</v>
      </c>
      <c r="G3" s="43" t="s">
        <v>196</v>
      </c>
      <c r="H3" s="43" t="s">
        <v>195</v>
      </c>
      <c r="I3" s="43" t="s">
        <v>196</v>
      </c>
      <c r="J3" s="43" t="s">
        <v>195</v>
      </c>
      <c r="K3" s="44" t="s">
        <v>196</v>
      </c>
      <c r="L3" s="42" t="s">
        <v>195</v>
      </c>
      <c r="M3" s="43" t="s">
        <v>196</v>
      </c>
      <c r="N3" s="43" t="s">
        <v>195</v>
      </c>
      <c r="O3" s="43" t="s">
        <v>196</v>
      </c>
      <c r="P3" s="43" t="s">
        <v>195</v>
      </c>
      <c r="Q3" s="43" t="s">
        <v>196</v>
      </c>
      <c r="R3" s="43" t="s">
        <v>195</v>
      </c>
      <c r="S3" s="43" t="s">
        <v>196</v>
      </c>
      <c r="T3" s="43" t="s">
        <v>195</v>
      </c>
      <c r="U3" s="44" t="s">
        <v>196</v>
      </c>
    </row>
    <row r="4" spans="1:21" x14ac:dyDescent="0.25">
      <c r="A4" s="31" t="s">
        <v>87</v>
      </c>
      <c r="C4" s="47">
        <f>IFERROR(B4/B$54,0%)</f>
        <v>0</v>
      </c>
      <c r="E4" s="47">
        <f>IFERROR(D4/D$54,0%)</f>
        <v>0</v>
      </c>
      <c r="G4" s="47">
        <f>IFERROR(F4/F$54,0%)</f>
        <v>0</v>
      </c>
      <c r="I4" s="47">
        <f>IFERROR(H4/H$54,0%)</f>
        <v>0</v>
      </c>
      <c r="K4" s="47">
        <f>IFERROR(J4/J$54,0%)</f>
        <v>0</v>
      </c>
      <c r="M4" s="47">
        <f>IFERROR(L4/L$54,0%)</f>
        <v>0</v>
      </c>
      <c r="O4" s="47">
        <f>IFERROR(N4/N$54,0%)</f>
        <v>0</v>
      </c>
      <c r="Q4" s="47">
        <f>IFERROR(P4/P$54,0%)</f>
        <v>0</v>
      </c>
      <c r="S4" s="47">
        <f>IFERROR(R4/R$54,0%)</f>
        <v>0</v>
      </c>
      <c r="U4" s="47">
        <f>IFERROR(T4/T$54,0%)</f>
        <v>0</v>
      </c>
    </row>
    <row r="5" spans="1:21" x14ac:dyDescent="0.25">
      <c r="A5" s="31" t="s">
        <v>88</v>
      </c>
      <c r="C5" s="47">
        <f t="shared" ref="C5:C53" si="0">IFERROR(B5/B$54,0%)</f>
        <v>0</v>
      </c>
      <c r="E5" s="47">
        <f t="shared" ref="E5:E53" si="1">IFERROR(D5/D$54,0%)</f>
        <v>0</v>
      </c>
      <c r="G5" s="47">
        <f t="shared" ref="G5:G53" si="2">IFERROR(F5/F$54,0%)</f>
        <v>0</v>
      </c>
      <c r="I5" s="47">
        <f t="shared" ref="I5:I53" si="3">IFERROR(H5/H$54,0%)</f>
        <v>0</v>
      </c>
      <c r="K5" s="47">
        <f t="shared" ref="K5:K53" si="4">IFERROR(J5/J$54,0%)</f>
        <v>0</v>
      </c>
      <c r="M5" s="47">
        <f t="shared" ref="M5:M53" si="5">IFERROR(L5/L$54,0%)</f>
        <v>0</v>
      </c>
      <c r="O5" s="47">
        <f t="shared" ref="O5:O53" si="6">IFERROR(N5/N$54,0%)</f>
        <v>0</v>
      </c>
      <c r="Q5" s="47">
        <f t="shared" ref="Q5:Q53" si="7">IFERROR(P5/P$54,0%)</f>
        <v>0</v>
      </c>
      <c r="S5" s="47">
        <f t="shared" ref="S5:S53" si="8">IFERROR(R5/R$54,0%)</f>
        <v>0</v>
      </c>
      <c r="U5" s="47">
        <f t="shared" ref="U5:U53" si="9">IFERROR(T5/T$54,0%)</f>
        <v>0</v>
      </c>
    </row>
    <row r="6" spans="1:21" x14ac:dyDescent="0.25">
      <c r="A6" s="31" t="s">
        <v>89</v>
      </c>
      <c r="C6" s="47">
        <f t="shared" si="0"/>
        <v>0</v>
      </c>
      <c r="E6" s="47">
        <f t="shared" si="1"/>
        <v>0</v>
      </c>
      <c r="G6" s="47">
        <f t="shared" si="2"/>
        <v>0</v>
      </c>
      <c r="I6" s="47">
        <f t="shared" si="3"/>
        <v>0</v>
      </c>
      <c r="K6" s="47">
        <f t="shared" si="4"/>
        <v>0</v>
      </c>
      <c r="M6" s="47">
        <f t="shared" si="5"/>
        <v>0</v>
      </c>
      <c r="O6" s="47">
        <f t="shared" si="6"/>
        <v>0</v>
      </c>
      <c r="Q6" s="47">
        <f t="shared" si="7"/>
        <v>0</v>
      </c>
      <c r="S6" s="47">
        <f t="shared" si="8"/>
        <v>0</v>
      </c>
      <c r="U6" s="47">
        <f t="shared" si="9"/>
        <v>0</v>
      </c>
    </row>
    <row r="7" spans="1:21" x14ac:dyDescent="0.25">
      <c r="A7" s="31" t="s">
        <v>90</v>
      </c>
      <c r="C7" s="47">
        <f t="shared" si="0"/>
        <v>0</v>
      </c>
      <c r="E7" s="47">
        <f t="shared" si="1"/>
        <v>0</v>
      </c>
      <c r="G7" s="47">
        <f t="shared" si="2"/>
        <v>0</v>
      </c>
      <c r="I7" s="47">
        <f t="shared" si="3"/>
        <v>0</v>
      </c>
      <c r="K7" s="47">
        <f t="shared" si="4"/>
        <v>0</v>
      </c>
      <c r="M7" s="47">
        <f t="shared" si="5"/>
        <v>0</v>
      </c>
      <c r="O7" s="47">
        <f t="shared" si="6"/>
        <v>0</v>
      </c>
      <c r="Q7" s="47">
        <f t="shared" si="7"/>
        <v>0</v>
      </c>
      <c r="S7" s="47">
        <f t="shared" si="8"/>
        <v>0</v>
      </c>
      <c r="U7" s="47">
        <f t="shared" si="9"/>
        <v>0</v>
      </c>
    </row>
    <row r="8" spans="1:21" x14ac:dyDescent="0.25">
      <c r="A8" s="31" t="s">
        <v>91</v>
      </c>
      <c r="C8" s="47">
        <f t="shared" si="0"/>
        <v>0</v>
      </c>
      <c r="E8" s="47">
        <f t="shared" si="1"/>
        <v>0</v>
      </c>
      <c r="G8" s="47">
        <f t="shared" si="2"/>
        <v>0</v>
      </c>
      <c r="I8" s="47">
        <f t="shared" si="3"/>
        <v>0</v>
      </c>
      <c r="K8" s="47">
        <f t="shared" si="4"/>
        <v>0</v>
      </c>
      <c r="M8" s="47">
        <f t="shared" si="5"/>
        <v>0</v>
      </c>
      <c r="O8" s="47">
        <f t="shared" si="6"/>
        <v>0</v>
      </c>
      <c r="Q8" s="47">
        <f t="shared" si="7"/>
        <v>0</v>
      </c>
      <c r="S8" s="47">
        <f t="shared" si="8"/>
        <v>0</v>
      </c>
      <c r="U8" s="47">
        <f t="shared" si="9"/>
        <v>0</v>
      </c>
    </row>
    <row r="9" spans="1:21" x14ac:dyDescent="0.25">
      <c r="A9" s="31" t="s">
        <v>92</v>
      </c>
      <c r="C9" s="47">
        <f t="shared" si="0"/>
        <v>0</v>
      </c>
      <c r="E9" s="47">
        <f t="shared" si="1"/>
        <v>0</v>
      </c>
      <c r="G9" s="47">
        <f t="shared" si="2"/>
        <v>0</v>
      </c>
      <c r="I9" s="47">
        <f t="shared" si="3"/>
        <v>0</v>
      </c>
      <c r="K9" s="47">
        <f t="shared" si="4"/>
        <v>0</v>
      </c>
      <c r="M9" s="47">
        <f t="shared" si="5"/>
        <v>0</v>
      </c>
      <c r="O9" s="47">
        <f t="shared" si="6"/>
        <v>0</v>
      </c>
      <c r="Q9" s="47">
        <f t="shared" si="7"/>
        <v>0</v>
      </c>
      <c r="S9" s="47">
        <f t="shared" si="8"/>
        <v>0</v>
      </c>
      <c r="U9" s="47">
        <f t="shared" si="9"/>
        <v>0</v>
      </c>
    </row>
    <row r="10" spans="1:21" x14ac:dyDescent="0.25">
      <c r="A10" s="31" t="s">
        <v>93</v>
      </c>
      <c r="C10" s="47">
        <f t="shared" si="0"/>
        <v>0</v>
      </c>
      <c r="E10" s="47">
        <f t="shared" si="1"/>
        <v>0</v>
      </c>
      <c r="G10" s="47">
        <f t="shared" si="2"/>
        <v>0</v>
      </c>
      <c r="I10" s="47">
        <f t="shared" si="3"/>
        <v>0</v>
      </c>
      <c r="K10" s="47">
        <f t="shared" si="4"/>
        <v>0</v>
      </c>
      <c r="M10" s="47">
        <f t="shared" si="5"/>
        <v>0</v>
      </c>
      <c r="O10" s="47">
        <f t="shared" si="6"/>
        <v>0</v>
      </c>
      <c r="Q10" s="47">
        <f t="shared" si="7"/>
        <v>0</v>
      </c>
      <c r="S10" s="47">
        <f t="shared" si="8"/>
        <v>0</v>
      </c>
      <c r="U10" s="47">
        <f t="shared" si="9"/>
        <v>0</v>
      </c>
    </row>
    <row r="11" spans="1:21" x14ac:dyDescent="0.25">
      <c r="A11" s="31" t="s">
        <v>94</v>
      </c>
      <c r="C11" s="47">
        <f t="shared" si="0"/>
        <v>0</v>
      </c>
      <c r="E11" s="47">
        <f t="shared" si="1"/>
        <v>0</v>
      </c>
      <c r="G11" s="47">
        <f t="shared" si="2"/>
        <v>0</v>
      </c>
      <c r="I11" s="47">
        <f t="shared" si="3"/>
        <v>0</v>
      </c>
      <c r="K11" s="47">
        <f t="shared" si="4"/>
        <v>0</v>
      </c>
      <c r="M11" s="47">
        <f t="shared" si="5"/>
        <v>0</v>
      </c>
      <c r="O11" s="47">
        <f t="shared" si="6"/>
        <v>0</v>
      </c>
      <c r="Q11" s="47">
        <f t="shared" si="7"/>
        <v>0</v>
      </c>
      <c r="S11" s="47">
        <f t="shared" si="8"/>
        <v>0</v>
      </c>
      <c r="U11" s="47">
        <f t="shared" si="9"/>
        <v>0</v>
      </c>
    </row>
    <row r="12" spans="1:21" x14ac:dyDescent="0.25">
      <c r="A12" s="31" t="s">
        <v>95</v>
      </c>
      <c r="C12" s="47">
        <f t="shared" si="0"/>
        <v>0</v>
      </c>
      <c r="E12" s="47">
        <f t="shared" si="1"/>
        <v>0</v>
      </c>
      <c r="G12" s="47">
        <f t="shared" si="2"/>
        <v>0</v>
      </c>
      <c r="I12" s="47">
        <f t="shared" si="3"/>
        <v>0</v>
      </c>
      <c r="K12" s="47">
        <f t="shared" si="4"/>
        <v>0</v>
      </c>
      <c r="M12" s="47">
        <f t="shared" si="5"/>
        <v>0</v>
      </c>
      <c r="O12" s="47">
        <f t="shared" si="6"/>
        <v>0</v>
      </c>
      <c r="Q12" s="47">
        <f t="shared" si="7"/>
        <v>0</v>
      </c>
      <c r="S12" s="47">
        <f t="shared" si="8"/>
        <v>0</v>
      </c>
      <c r="U12" s="47">
        <f t="shared" si="9"/>
        <v>0</v>
      </c>
    </row>
    <row r="13" spans="1:21" x14ac:dyDescent="0.25">
      <c r="A13" s="31" t="s">
        <v>96</v>
      </c>
      <c r="C13" s="47">
        <f t="shared" si="0"/>
        <v>0</v>
      </c>
      <c r="E13" s="47">
        <f t="shared" si="1"/>
        <v>0</v>
      </c>
      <c r="G13" s="47">
        <f t="shared" si="2"/>
        <v>0</v>
      </c>
      <c r="I13" s="47">
        <f t="shared" si="3"/>
        <v>0</v>
      </c>
      <c r="K13" s="47">
        <f t="shared" si="4"/>
        <v>0</v>
      </c>
      <c r="M13" s="47">
        <f t="shared" si="5"/>
        <v>0</v>
      </c>
      <c r="O13" s="47">
        <f t="shared" si="6"/>
        <v>0</v>
      </c>
      <c r="Q13" s="47">
        <f t="shared" si="7"/>
        <v>0</v>
      </c>
      <c r="S13" s="47">
        <f t="shared" si="8"/>
        <v>0</v>
      </c>
      <c r="U13" s="47">
        <f t="shared" si="9"/>
        <v>0</v>
      </c>
    </row>
    <row r="14" spans="1:21" x14ac:dyDescent="0.25">
      <c r="A14" s="31" t="s">
        <v>97</v>
      </c>
      <c r="C14" s="47">
        <f t="shared" si="0"/>
        <v>0</v>
      </c>
      <c r="E14" s="47">
        <f t="shared" si="1"/>
        <v>0</v>
      </c>
      <c r="G14" s="47">
        <f t="shared" si="2"/>
        <v>0</v>
      </c>
      <c r="I14" s="47">
        <f t="shared" si="3"/>
        <v>0</v>
      </c>
      <c r="K14" s="47">
        <f t="shared" si="4"/>
        <v>0</v>
      </c>
      <c r="M14" s="47">
        <f t="shared" si="5"/>
        <v>0</v>
      </c>
      <c r="O14" s="47">
        <f t="shared" si="6"/>
        <v>0</v>
      </c>
      <c r="Q14" s="47">
        <f t="shared" si="7"/>
        <v>0</v>
      </c>
      <c r="S14" s="47">
        <f t="shared" si="8"/>
        <v>0</v>
      </c>
      <c r="U14" s="47">
        <f t="shared" si="9"/>
        <v>0</v>
      </c>
    </row>
    <row r="15" spans="1:21" x14ac:dyDescent="0.25">
      <c r="A15" s="31" t="s">
        <v>98</v>
      </c>
      <c r="C15" s="47">
        <f t="shared" si="0"/>
        <v>0</v>
      </c>
      <c r="E15" s="47">
        <f t="shared" si="1"/>
        <v>0</v>
      </c>
      <c r="G15" s="47">
        <f t="shared" si="2"/>
        <v>0</v>
      </c>
      <c r="I15" s="47">
        <f t="shared" si="3"/>
        <v>0</v>
      </c>
      <c r="K15" s="47">
        <f t="shared" si="4"/>
        <v>0</v>
      </c>
      <c r="M15" s="47">
        <f t="shared" si="5"/>
        <v>0</v>
      </c>
      <c r="O15" s="47">
        <f t="shared" si="6"/>
        <v>0</v>
      </c>
      <c r="Q15" s="47">
        <f t="shared" si="7"/>
        <v>0</v>
      </c>
      <c r="S15" s="47">
        <f t="shared" si="8"/>
        <v>0</v>
      </c>
      <c r="U15" s="47">
        <f t="shared" si="9"/>
        <v>0</v>
      </c>
    </row>
    <row r="16" spans="1:21" x14ac:dyDescent="0.25">
      <c r="A16" s="31" t="s">
        <v>99</v>
      </c>
      <c r="C16" s="47">
        <f t="shared" si="0"/>
        <v>0</v>
      </c>
      <c r="E16" s="47">
        <f t="shared" si="1"/>
        <v>0</v>
      </c>
      <c r="G16" s="47">
        <f t="shared" si="2"/>
        <v>0</v>
      </c>
      <c r="I16" s="47">
        <f t="shared" si="3"/>
        <v>0</v>
      </c>
      <c r="K16" s="47">
        <f t="shared" si="4"/>
        <v>0</v>
      </c>
      <c r="M16" s="47">
        <f t="shared" si="5"/>
        <v>0</v>
      </c>
      <c r="O16" s="47">
        <f t="shared" si="6"/>
        <v>0</v>
      </c>
      <c r="Q16" s="47">
        <f t="shared" si="7"/>
        <v>0</v>
      </c>
      <c r="S16" s="47">
        <f t="shared" si="8"/>
        <v>0</v>
      </c>
      <c r="U16" s="47">
        <f t="shared" si="9"/>
        <v>0</v>
      </c>
    </row>
    <row r="17" spans="1:21" x14ac:dyDescent="0.25">
      <c r="A17" s="31" t="s">
        <v>100</v>
      </c>
      <c r="C17" s="47">
        <f t="shared" si="0"/>
        <v>0</v>
      </c>
      <c r="E17" s="47">
        <f t="shared" si="1"/>
        <v>0</v>
      </c>
      <c r="G17" s="47">
        <f t="shared" si="2"/>
        <v>0</v>
      </c>
      <c r="I17" s="47">
        <f t="shared" si="3"/>
        <v>0</v>
      </c>
      <c r="K17" s="47">
        <f t="shared" si="4"/>
        <v>0</v>
      </c>
      <c r="M17" s="47">
        <f t="shared" si="5"/>
        <v>0</v>
      </c>
      <c r="O17" s="47">
        <f t="shared" si="6"/>
        <v>0</v>
      </c>
      <c r="Q17" s="47">
        <f t="shared" si="7"/>
        <v>0</v>
      </c>
      <c r="S17" s="47">
        <f t="shared" si="8"/>
        <v>0</v>
      </c>
      <c r="U17" s="47">
        <f t="shared" si="9"/>
        <v>0</v>
      </c>
    </row>
    <row r="18" spans="1:21" x14ac:dyDescent="0.25">
      <c r="A18" s="31" t="s">
        <v>101</v>
      </c>
      <c r="C18" s="47">
        <f t="shared" si="0"/>
        <v>0</v>
      </c>
      <c r="E18" s="47">
        <f t="shared" si="1"/>
        <v>0</v>
      </c>
      <c r="G18" s="47">
        <f t="shared" si="2"/>
        <v>0</v>
      </c>
      <c r="I18" s="47">
        <f t="shared" si="3"/>
        <v>0</v>
      </c>
      <c r="K18" s="47">
        <f t="shared" si="4"/>
        <v>0</v>
      </c>
      <c r="M18" s="47">
        <f t="shared" si="5"/>
        <v>0</v>
      </c>
      <c r="O18" s="47">
        <f t="shared" si="6"/>
        <v>0</v>
      </c>
      <c r="Q18" s="47">
        <f t="shared" si="7"/>
        <v>0</v>
      </c>
      <c r="S18" s="47">
        <f t="shared" si="8"/>
        <v>0</v>
      </c>
      <c r="U18" s="47">
        <f t="shared" si="9"/>
        <v>0</v>
      </c>
    </row>
    <row r="19" spans="1:21" x14ac:dyDescent="0.25">
      <c r="A19" s="31" t="s">
        <v>102</v>
      </c>
      <c r="C19" s="47">
        <f t="shared" si="0"/>
        <v>0</v>
      </c>
      <c r="E19" s="47">
        <f t="shared" si="1"/>
        <v>0</v>
      </c>
      <c r="G19" s="47">
        <f t="shared" si="2"/>
        <v>0</v>
      </c>
      <c r="I19" s="47">
        <f t="shared" si="3"/>
        <v>0</v>
      </c>
      <c r="K19" s="47">
        <f t="shared" si="4"/>
        <v>0</v>
      </c>
      <c r="M19" s="47">
        <f t="shared" si="5"/>
        <v>0</v>
      </c>
      <c r="O19" s="47">
        <f t="shared" si="6"/>
        <v>0</v>
      </c>
      <c r="Q19" s="47">
        <f t="shared" si="7"/>
        <v>0</v>
      </c>
      <c r="S19" s="47">
        <f t="shared" si="8"/>
        <v>0</v>
      </c>
      <c r="U19" s="47">
        <f t="shared" si="9"/>
        <v>0</v>
      </c>
    </row>
    <row r="20" spans="1:21" x14ac:dyDescent="0.25">
      <c r="A20" s="31" t="s">
        <v>103</v>
      </c>
      <c r="C20" s="47">
        <f t="shared" si="0"/>
        <v>0</v>
      </c>
      <c r="E20" s="47">
        <f t="shared" si="1"/>
        <v>0</v>
      </c>
      <c r="G20" s="47">
        <f t="shared" si="2"/>
        <v>0</v>
      </c>
      <c r="I20" s="47">
        <f t="shared" si="3"/>
        <v>0</v>
      </c>
      <c r="K20" s="47">
        <f t="shared" si="4"/>
        <v>0</v>
      </c>
      <c r="M20" s="47">
        <f t="shared" si="5"/>
        <v>0</v>
      </c>
      <c r="O20" s="47">
        <f t="shared" si="6"/>
        <v>0</v>
      </c>
      <c r="Q20" s="47">
        <f t="shared" si="7"/>
        <v>0</v>
      </c>
      <c r="S20" s="47">
        <f t="shared" si="8"/>
        <v>0</v>
      </c>
      <c r="U20" s="47">
        <f t="shared" si="9"/>
        <v>0</v>
      </c>
    </row>
    <row r="21" spans="1:21" x14ac:dyDescent="0.25">
      <c r="A21" s="32" t="s">
        <v>174</v>
      </c>
      <c r="C21" s="47">
        <f t="shared" si="0"/>
        <v>0</v>
      </c>
      <c r="E21" s="47">
        <f t="shared" si="1"/>
        <v>0</v>
      </c>
      <c r="G21" s="47">
        <f t="shared" si="2"/>
        <v>0</v>
      </c>
      <c r="I21" s="47">
        <f t="shared" si="3"/>
        <v>0</v>
      </c>
      <c r="K21" s="47">
        <f t="shared" si="4"/>
        <v>0</v>
      </c>
      <c r="M21" s="47">
        <f t="shared" si="5"/>
        <v>0</v>
      </c>
      <c r="O21" s="47">
        <f t="shared" si="6"/>
        <v>0</v>
      </c>
      <c r="Q21" s="47">
        <f t="shared" si="7"/>
        <v>0</v>
      </c>
      <c r="S21" s="47">
        <f t="shared" si="8"/>
        <v>0</v>
      </c>
      <c r="U21" s="47">
        <f t="shared" si="9"/>
        <v>0</v>
      </c>
    </row>
    <row r="22" spans="1:21" x14ac:dyDescent="0.25">
      <c r="A22" s="32" t="s">
        <v>175</v>
      </c>
      <c r="C22" s="47">
        <f t="shared" si="0"/>
        <v>0</v>
      </c>
      <c r="E22" s="47">
        <f t="shared" si="1"/>
        <v>0</v>
      </c>
      <c r="G22" s="47">
        <f t="shared" si="2"/>
        <v>0</v>
      </c>
      <c r="I22" s="47">
        <f t="shared" si="3"/>
        <v>0</v>
      </c>
      <c r="K22" s="47">
        <f t="shared" si="4"/>
        <v>0</v>
      </c>
      <c r="M22" s="47">
        <f t="shared" si="5"/>
        <v>0</v>
      </c>
      <c r="O22" s="47">
        <f t="shared" si="6"/>
        <v>0</v>
      </c>
      <c r="Q22" s="47">
        <f t="shared" si="7"/>
        <v>0</v>
      </c>
      <c r="S22" s="47">
        <f t="shared" si="8"/>
        <v>0</v>
      </c>
      <c r="U22" s="47">
        <f t="shared" si="9"/>
        <v>0</v>
      </c>
    </row>
    <row r="23" spans="1:21" x14ac:dyDescent="0.25">
      <c r="A23" s="32" t="s">
        <v>176</v>
      </c>
      <c r="C23" s="47">
        <f t="shared" si="0"/>
        <v>0</v>
      </c>
      <c r="E23" s="47">
        <f t="shared" si="1"/>
        <v>0</v>
      </c>
      <c r="G23" s="47">
        <f t="shared" si="2"/>
        <v>0</v>
      </c>
      <c r="I23" s="47">
        <f t="shared" si="3"/>
        <v>0</v>
      </c>
      <c r="K23" s="47">
        <f t="shared" si="4"/>
        <v>0</v>
      </c>
      <c r="M23" s="47">
        <f t="shared" si="5"/>
        <v>0</v>
      </c>
      <c r="O23" s="47">
        <f t="shared" si="6"/>
        <v>0</v>
      </c>
      <c r="Q23" s="47">
        <f t="shared" si="7"/>
        <v>0</v>
      </c>
      <c r="S23" s="47">
        <f t="shared" si="8"/>
        <v>0</v>
      </c>
      <c r="U23" s="47">
        <f t="shared" si="9"/>
        <v>0</v>
      </c>
    </row>
    <row r="24" spans="1:21" x14ac:dyDescent="0.25">
      <c r="A24" s="32" t="s">
        <v>177</v>
      </c>
      <c r="C24" s="47">
        <f t="shared" si="0"/>
        <v>0</v>
      </c>
      <c r="E24" s="47">
        <f t="shared" si="1"/>
        <v>0</v>
      </c>
      <c r="G24" s="47">
        <f t="shared" si="2"/>
        <v>0</v>
      </c>
      <c r="I24" s="47">
        <f t="shared" si="3"/>
        <v>0</v>
      </c>
      <c r="K24" s="47">
        <f t="shared" si="4"/>
        <v>0</v>
      </c>
      <c r="M24" s="47">
        <f t="shared" si="5"/>
        <v>0</v>
      </c>
      <c r="O24" s="47">
        <f t="shared" si="6"/>
        <v>0</v>
      </c>
      <c r="Q24" s="47">
        <f t="shared" si="7"/>
        <v>0</v>
      </c>
      <c r="S24" s="47">
        <f t="shared" si="8"/>
        <v>0</v>
      </c>
      <c r="U24" s="47">
        <f t="shared" si="9"/>
        <v>0</v>
      </c>
    </row>
    <row r="25" spans="1:21" x14ac:dyDescent="0.25">
      <c r="A25" s="32" t="s">
        <v>178</v>
      </c>
      <c r="C25" s="47">
        <f t="shared" si="0"/>
        <v>0</v>
      </c>
      <c r="E25" s="47">
        <f t="shared" si="1"/>
        <v>0</v>
      </c>
      <c r="G25" s="47">
        <f t="shared" si="2"/>
        <v>0</v>
      </c>
      <c r="I25" s="47">
        <f t="shared" si="3"/>
        <v>0</v>
      </c>
      <c r="K25" s="47">
        <f t="shared" si="4"/>
        <v>0</v>
      </c>
      <c r="M25" s="47">
        <f t="shared" si="5"/>
        <v>0</v>
      </c>
      <c r="O25" s="47">
        <f t="shared" si="6"/>
        <v>0</v>
      </c>
      <c r="Q25" s="47">
        <f t="shared" si="7"/>
        <v>0</v>
      </c>
      <c r="S25" s="47">
        <f t="shared" si="8"/>
        <v>0</v>
      </c>
      <c r="U25" s="47">
        <f t="shared" si="9"/>
        <v>0</v>
      </c>
    </row>
    <row r="26" spans="1:21" x14ac:dyDescent="0.25">
      <c r="A26" s="33" t="s">
        <v>179</v>
      </c>
      <c r="C26" s="47">
        <f t="shared" si="0"/>
        <v>0</v>
      </c>
      <c r="E26" s="47">
        <f t="shared" si="1"/>
        <v>0</v>
      </c>
      <c r="G26" s="47">
        <f t="shared" si="2"/>
        <v>0</v>
      </c>
      <c r="I26" s="47">
        <f t="shared" si="3"/>
        <v>0</v>
      </c>
      <c r="K26" s="47">
        <f t="shared" si="4"/>
        <v>0</v>
      </c>
      <c r="M26" s="47">
        <f t="shared" si="5"/>
        <v>0</v>
      </c>
      <c r="O26" s="47">
        <f t="shared" si="6"/>
        <v>0</v>
      </c>
      <c r="Q26" s="47">
        <f t="shared" si="7"/>
        <v>0</v>
      </c>
      <c r="S26" s="47">
        <f t="shared" si="8"/>
        <v>0</v>
      </c>
      <c r="U26" s="47">
        <f t="shared" si="9"/>
        <v>0</v>
      </c>
    </row>
    <row r="27" spans="1:21" x14ac:dyDescent="0.25">
      <c r="A27" s="31" t="s">
        <v>104</v>
      </c>
      <c r="C27" s="47">
        <f t="shared" si="0"/>
        <v>0</v>
      </c>
      <c r="E27" s="47">
        <f t="shared" si="1"/>
        <v>0</v>
      </c>
      <c r="G27" s="47">
        <f t="shared" si="2"/>
        <v>0</v>
      </c>
      <c r="I27" s="47">
        <f t="shared" si="3"/>
        <v>0</v>
      </c>
      <c r="K27" s="47">
        <f t="shared" si="4"/>
        <v>0</v>
      </c>
      <c r="M27" s="47">
        <f t="shared" si="5"/>
        <v>0</v>
      </c>
      <c r="O27" s="47">
        <f t="shared" si="6"/>
        <v>0</v>
      </c>
      <c r="Q27" s="47">
        <f t="shared" si="7"/>
        <v>0</v>
      </c>
      <c r="S27" s="47">
        <f t="shared" si="8"/>
        <v>0</v>
      </c>
      <c r="U27" s="47">
        <f t="shared" si="9"/>
        <v>0</v>
      </c>
    </row>
    <row r="28" spans="1:21" x14ac:dyDescent="0.25">
      <c r="A28" s="31" t="s">
        <v>105</v>
      </c>
      <c r="C28" s="47">
        <f t="shared" si="0"/>
        <v>0</v>
      </c>
      <c r="E28" s="47">
        <f t="shared" si="1"/>
        <v>0</v>
      </c>
      <c r="G28" s="47">
        <f t="shared" si="2"/>
        <v>0</v>
      </c>
      <c r="I28" s="47">
        <f t="shared" si="3"/>
        <v>0</v>
      </c>
      <c r="K28" s="47">
        <f t="shared" si="4"/>
        <v>0</v>
      </c>
      <c r="M28" s="47">
        <f t="shared" si="5"/>
        <v>0</v>
      </c>
      <c r="O28" s="47">
        <f t="shared" si="6"/>
        <v>0</v>
      </c>
      <c r="Q28" s="47">
        <f t="shared" si="7"/>
        <v>0</v>
      </c>
      <c r="S28" s="47">
        <f t="shared" si="8"/>
        <v>0</v>
      </c>
      <c r="U28" s="47">
        <f t="shared" si="9"/>
        <v>0</v>
      </c>
    </row>
    <row r="29" spans="1:21" x14ac:dyDescent="0.25">
      <c r="A29" s="32" t="s">
        <v>180</v>
      </c>
      <c r="C29" s="47">
        <f t="shared" si="0"/>
        <v>0</v>
      </c>
      <c r="E29" s="47">
        <f t="shared" si="1"/>
        <v>0</v>
      </c>
      <c r="G29" s="47">
        <f t="shared" si="2"/>
        <v>0</v>
      </c>
      <c r="I29" s="47">
        <f t="shared" si="3"/>
        <v>0</v>
      </c>
      <c r="K29" s="47">
        <f t="shared" si="4"/>
        <v>0</v>
      </c>
      <c r="M29" s="47">
        <f t="shared" si="5"/>
        <v>0</v>
      </c>
      <c r="O29" s="47">
        <f t="shared" si="6"/>
        <v>0</v>
      </c>
      <c r="Q29" s="47">
        <f t="shared" si="7"/>
        <v>0</v>
      </c>
      <c r="S29" s="47">
        <f t="shared" si="8"/>
        <v>0</v>
      </c>
      <c r="U29" s="47">
        <f t="shared" si="9"/>
        <v>0</v>
      </c>
    </row>
    <row r="30" spans="1:21" x14ac:dyDescent="0.25">
      <c r="A30" s="32" t="s">
        <v>181</v>
      </c>
      <c r="C30" s="47">
        <f t="shared" si="0"/>
        <v>0</v>
      </c>
      <c r="E30" s="47">
        <f t="shared" si="1"/>
        <v>0</v>
      </c>
      <c r="G30" s="47">
        <f t="shared" si="2"/>
        <v>0</v>
      </c>
      <c r="I30" s="47">
        <f t="shared" si="3"/>
        <v>0</v>
      </c>
      <c r="K30" s="47">
        <f t="shared" si="4"/>
        <v>0</v>
      </c>
      <c r="M30" s="47">
        <f t="shared" si="5"/>
        <v>0</v>
      </c>
      <c r="O30" s="47">
        <f t="shared" si="6"/>
        <v>0</v>
      </c>
      <c r="Q30" s="47">
        <f t="shared" si="7"/>
        <v>0</v>
      </c>
      <c r="S30" s="47">
        <f t="shared" si="8"/>
        <v>0</v>
      </c>
      <c r="U30" s="47">
        <f t="shared" si="9"/>
        <v>0</v>
      </c>
    </row>
    <row r="31" spans="1:21" x14ac:dyDescent="0.25">
      <c r="A31" s="32" t="s">
        <v>182</v>
      </c>
      <c r="C31" s="47">
        <f t="shared" si="0"/>
        <v>0</v>
      </c>
      <c r="E31" s="47">
        <f t="shared" si="1"/>
        <v>0</v>
      </c>
      <c r="G31" s="47">
        <f t="shared" si="2"/>
        <v>0</v>
      </c>
      <c r="I31" s="47">
        <f t="shared" si="3"/>
        <v>0</v>
      </c>
      <c r="K31" s="47">
        <f t="shared" si="4"/>
        <v>0</v>
      </c>
      <c r="M31" s="47">
        <f t="shared" si="5"/>
        <v>0</v>
      </c>
      <c r="O31" s="47">
        <f t="shared" si="6"/>
        <v>0</v>
      </c>
      <c r="Q31" s="47">
        <f t="shared" si="7"/>
        <v>0</v>
      </c>
      <c r="S31" s="47">
        <f t="shared" si="8"/>
        <v>0</v>
      </c>
      <c r="U31" s="47">
        <f t="shared" si="9"/>
        <v>0</v>
      </c>
    </row>
    <row r="32" spans="1:21" x14ac:dyDescent="0.25">
      <c r="A32" s="32" t="s">
        <v>183</v>
      </c>
      <c r="C32" s="47">
        <f t="shared" si="0"/>
        <v>0</v>
      </c>
      <c r="E32" s="47">
        <f t="shared" si="1"/>
        <v>0</v>
      </c>
      <c r="G32" s="47">
        <f t="shared" si="2"/>
        <v>0</v>
      </c>
      <c r="I32" s="47">
        <f t="shared" si="3"/>
        <v>0</v>
      </c>
      <c r="K32" s="47">
        <f t="shared" si="4"/>
        <v>0</v>
      </c>
      <c r="M32" s="47">
        <f t="shared" si="5"/>
        <v>0</v>
      </c>
      <c r="O32" s="47">
        <f t="shared" si="6"/>
        <v>0</v>
      </c>
      <c r="Q32" s="47">
        <f t="shared" si="7"/>
        <v>0</v>
      </c>
      <c r="S32" s="47">
        <f t="shared" si="8"/>
        <v>0</v>
      </c>
      <c r="U32" s="47">
        <f t="shared" si="9"/>
        <v>0</v>
      </c>
    </row>
    <row r="33" spans="1:21" x14ac:dyDescent="0.25">
      <c r="A33" s="32" t="s">
        <v>184</v>
      </c>
      <c r="C33" s="47">
        <f t="shared" si="0"/>
        <v>0</v>
      </c>
      <c r="E33" s="47">
        <f t="shared" si="1"/>
        <v>0</v>
      </c>
      <c r="G33" s="47">
        <f t="shared" si="2"/>
        <v>0</v>
      </c>
      <c r="I33" s="47">
        <f t="shared" si="3"/>
        <v>0</v>
      </c>
      <c r="K33" s="47">
        <f t="shared" si="4"/>
        <v>0</v>
      </c>
      <c r="M33" s="47">
        <f t="shared" si="5"/>
        <v>0</v>
      </c>
      <c r="O33" s="47">
        <f t="shared" si="6"/>
        <v>0</v>
      </c>
      <c r="Q33" s="47">
        <f t="shared" si="7"/>
        <v>0</v>
      </c>
      <c r="S33" s="47">
        <f t="shared" si="8"/>
        <v>0</v>
      </c>
      <c r="U33" s="47">
        <f t="shared" si="9"/>
        <v>0</v>
      </c>
    </row>
    <row r="34" spans="1:21" x14ac:dyDescent="0.25">
      <c r="A34" s="31" t="s">
        <v>106</v>
      </c>
      <c r="C34" s="47">
        <f t="shared" si="0"/>
        <v>0</v>
      </c>
      <c r="E34" s="47">
        <f t="shared" si="1"/>
        <v>0</v>
      </c>
      <c r="G34" s="47">
        <f t="shared" si="2"/>
        <v>0</v>
      </c>
      <c r="I34" s="47">
        <f t="shared" si="3"/>
        <v>0</v>
      </c>
      <c r="K34" s="47">
        <f t="shared" si="4"/>
        <v>0</v>
      </c>
      <c r="M34" s="47">
        <f t="shared" si="5"/>
        <v>0</v>
      </c>
      <c r="O34" s="47">
        <f t="shared" si="6"/>
        <v>0</v>
      </c>
      <c r="Q34" s="47">
        <f t="shared" si="7"/>
        <v>0</v>
      </c>
      <c r="S34" s="47">
        <f t="shared" si="8"/>
        <v>0</v>
      </c>
      <c r="U34" s="47">
        <f t="shared" si="9"/>
        <v>0</v>
      </c>
    </row>
    <row r="35" spans="1:21" x14ac:dyDescent="0.25">
      <c r="A35" s="31" t="s">
        <v>107</v>
      </c>
      <c r="C35" s="47">
        <f t="shared" si="0"/>
        <v>0</v>
      </c>
      <c r="E35" s="47">
        <f t="shared" si="1"/>
        <v>0</v>
      </c>
      <c r="G35" s="47">
        <f t="shared" si="2"/>
        <v>0</v>
      </c>
      <c r="I35" s="47">
        <f t="shared" si="3"/>
        <v>0</v>
      </c>
      <c r="K35" s="47">
        <f t="shared" si="4"/>
        <v>0</v>
      </c>
      <c r="M35" s="47">
        <f t="shared" si="5"/>
        <v>0</v>
      </c>
      <c r="O35" s="47">
        <f t="shared" si="6"/>
        <v>0</v>
      </c>
      <c r="Q35" s="47">
        <f t="shared" si="7"/>
        <v>0</v>
      </c>
      <c r="S35" s="47">
        <f t="shared" si="8"/>
        <v>0</v>
      </c>
      <c r="U35" s="47">
        <f t="shared" si="9"/>
        <v>0</v>
      </c>
    </row>
    <row r="36" spans="1:21" x14ac:dyDescent="0.25">
      <c r="A36" s="31" t="s">
        <v>108</v>
      </c>
      <c r="C36" s="47">
        <f t="shared" si="0"/>
        <v>0</v>
      </c>
      <c r="E36" s="47">
        <f t="shared" si="1"/>
        <v>0</v>
      </c>
      <c r="G36" s="47">
        <f t="shared" si="2"/>
        <v>0</v>
      </c>
      <c r="I36" s="47">
        <f t="shared" si="3"/>
        <v>0</v>
      </c>
      <c r="K36" s="47">
        <f t="shared" si="4"/>
        <v>0</v>
      </c>
      <c r="M36" s="47">
        <f t="shared" si="5"/>
        <v>0</v>
      </c>
      <c r="O36" s="47">
        <f t="shared" si="6"/>
        <v>0</v>
      </c>
      <c r="Q36" s="47">
        <f t="shared" si="7"/>
        <v>0</v>
      </c>
      <c r="S36" s="47">
        <f t="shared" si="8"/>
        <v>0</v>
      </c>
      <c r="U36" s="47">
        <f t="shared" si="9"/>
        <v>0</v>
      </c>
    </row>
    <row r="37" spans="1:21" x14ac:dyDescent="0.25">
      <c r="A37" s="31" t="s">
        <v>109</v>
      </c>
      <c r="C37" s="47">
        <f t="shared" si="0"/>
        <v>0</v>
      </c>
      <c r="E37" s="47">
        <f t="shared" si="1"/>
        <v>0</v>
      </c>
      <c r="G37" s="47">
        <f t="shared" si="2"/>
        <v>0</v>
      </c>
      <c r="I37" s="47">
        <f t="shared" si="3"/>
        <v>0</v>
      </c>
      <c r="K37" s="47">
        <f t="shared" si="4"/>
        <v>0</v>
      </c>
      <c r="M37" s="47">
        <f t="shared" si="5"/>
        <v>0</v>
      </c>
      <c r="O37" s="47">
        <f t="shared" si="6"/>
        <v>0</v>
      </c>
      <c r="Q37" s="47">
        <f t="shared" si="7"/>
        <v>0</v>
      </c>
      <c r="S37" s="47">
        <f t="shared" si="8"/>
        <v>0</v>
      </c>
      <c r="U37" s="47">
        <f t="shared" si="9"/>
        <v>0</v>
      </c>
    </row>
    <row r="38" spans="1:21" x14ac:dyDescent="0.25">
      <c r="A38" s="31" t="s">
        <v>110</v>
      </c>
      <c r="C38" s="47">
        <f t="shared" si="0"/>
        <v>0</v>
      </c>
      <c r="E38" s="47">
        <f t="shared" si="1"/>
        <v>0</v>
      </c>
      <c r="G38" s="47">
        <f t="shared" si="2"/>
        <v>0</v>
      </c>
      <c r="I38" s="47">
        <f t="shared" si="3"/>
        <v>0</v>
      </c>
      <c r="K38" s="47">
        <f t="shared" si="4"/>
        <v>0</v>
      </c>
      <c r="M38" s="47">
        <f t="shared" si="5"/>
        <v>0</v>
      </c>
      <c r="O38" s="47">
        <f t="shared" si="6"/>
        <v>0</v>
      </c>
      <c r="Q38" s="47">
        <f t="shared" si="7"/>
        <v>0</v>
      </c>
      <c r="S38" s="47">
        <f t="shared" si="8"/>
        <v>0</v>
      </c>
      <c r="U38" s="47">
        <f t="shared" si="9"/>
        <v>0</v>
      </c>
    </row>
    <row r="39" spans="1:21" x14ac:dyDescent="0.25">
      <c r="A39" s="34" t="s">
        <v>111</v>
      </c>
      <c r="C39" s="47">
        <f t="shared" si="0"/>
        <v>0</v>
      </c>
      <c r="E39" s="47">
        <f t="shared" si="1"/>
        <v>0</v>
      </c>
      <c r="G39" s="47">
        <f t="shared" si="2"/>
        <v>0</v>
      </c>
      <c r="I39" s="47">
        <f t="shared" si="3"/>
        <v>0</v>
      </c>
      <c r="K39" s="47">
        <f t="shared" si="4"/>
        <v>0</v>
      </c>
      <c r="M39" s="47">
        <f t="shared" si="5"/>
        <v>0</v>
      </c>
      <c r="O39" s="47">
        <f t="shared" si="6"/>
        <v>0</v>
      </c>
      <c r="Q39" s="47">
        <f t="shared" si="7"/>
        <v>0</v>
      </c>
      <c r="S39" s="47">
        <f t="shared" si="8"/>
        <v>0</v>
      </c>
      <c r="U39" s="47">
        <f t="shared" si="9"/>
        <v>0</v>
      </c>
    </row>
    <row r="40" spans="1:21" x14ac:dyDescent="0.25">
      <c r="A40" s="34" t="s">
        <v>112</v>
      </c>
      <c r="C40" s="47">
        <f t="shared" si="0"/>
        <v>0</v>
      </c>
      <c r="E40" s="47">
        <f t="shared" si="1"/>
        <v>0</v>
      </c>
      <c r="G40" s="47">
        <f t="shared" si="2"/>
        <v>0</v>
      </c>
      <c r="I40" s="47">
        <f t="shared" si="3"/>
        <v>0</v>
      </c>
      <c r="K40" s="47">
        <f t="shared" si="4"/>
        <v>0</v>
      </c>
      <c r="M40" s="47">
        <f t="shared" si="5"/>
        <v>0</v>
      </c>
      <c r="O40" s="47">
        <f t="shared" si="6"/>
        <v>0</v>
      </c>
      <c r="Q40" s="47">
        <f t="shared" si="7"/>
        <v>0</v>
      </c>
      <c r="S40" s="47">
        <f t="shared" si="8"/>
        <v>0</v>
      </c>
      <c r="U40" s="47">
        <f t="shared" si="9"/>
        <v>0</v>
      </c>
    </row>
    <row r="41" spans="1:21" x14ac:dyDescent="0.25">
      <c r="A41" s="34" t="s">
        <v>113</v>
      </c>
      <c r="C41" s="47">
        <f t="shared" si="0"/>
        <v>0</v>
      </c>
      <c r="E41" s="47">
        <f t="shared" si="1"/>
        <v>0</v>
      </c>
      <c r="G41" s="47">
        <f t="shared" si="2"/>
        <v>0</v>
      </c>
      <c r="I41" s="47">
        <f t="shared" si="3"/>
        <v>0</v>
      </c>
      <c r="K41" s="47">
        <f t="shared" si="4"/>
        <v>0</v>
      </c>
      <c r="M41" s="47">
        <f t="shared" si="5"/>
        <v>0</v>
      </c>
      <c r="O41" s="47">
        <f t="shared" si="6"/>
        <v>0</v>
      </c>
      <c r="Q41" s="47">
        <f t="shared" si="7"/>
        <v>0</v>
      </c>
      <c r="S41" s="47">
        <f t="shared" si="8"/>
        <v>0</v>
      </c>
      <c r="U41" s="47">
        <f t="shared" si="9"/>
        <v>0</v>
      </c>
    </row>
    <row r="42" spans="1:21" x14ac:dyDescent="0.25">
      <c r="A42" s="34" t="s">
        <v>114</v>
      </c>
      <c r="C42" s="47">
        <f t="shared" si="0"/>
        <v>0</v>
      </c>
      <c r="E42" s="47">
        <f t="shared" si="1"/>
        <v>0</v>
      </c>
      <c r="G42" s="47">
        <f t="shared" si="2"/>
        <v>0</v>
      </c>
      <c r="I42" s="47">
        <f t="shared" si="3"/>
        <v>0</v>
      </c>
      <c r="K42" s="47">
        <f t="shared" si="4"/>
        <v>0</v>
      </c>
      <c r="M42" s="47">
        <f t="shared" si="5"/>
        <v>0</v>
      </c>
      <c r="O42" s="47">
        <f t="shared" si="6"/>
        <v>0</v>
      </c>
      <c r="Q42" s="47">
        <f t="shared" si="7"/>
        <v>0</v>
      </c>
      <c r="S42" s="47">
        <f t="shared" si="8"/>
        <v>0</v>
      </c>
      <c r="U42" s="47">
        <f t="shared" si="9"/>
        <v>0</v>
      </c>
    </row>
    <row r="43" spans="1:21" x14ac:dyDescent="0.25">
      <c r="A43" s="34" t="s">
        <v>115</v>
      </c>
      <c r="C43" s="47">
        <f t="shared" si="0"/>
        <v>0</v>
      </c>
      <c r="E43" s="47">
        <f t="shared" si="1"/>
        <v>0</v>
      </c>
      <c r="G43" s="47">
        <f t="shared" si="2"/>
        <v>0</v>
      </c>
      <c r="I43" s="47">
        <f t="shared" si="3"/>
        <v>0</v>
      </c>
      <c r="K43" s="47">
        <f t="shared" si="4"/>
        <v>0</v>
      </c>
      <c r="M43" s="47">
        <f t="shared" si="5"/>
        <v>0</v>
      </c>
      <c r="O43" s="47">
        <f t="shared" si="6"/>
        <v>0</v>
      </c>
      <c r="Q43" s="47">
        <f t="shared" si="7"/>
        <v>0</v>
      </c>
      <c r="S43" s="47">
        <f t="shared" si="8"/>
        <v>0</v>
      </c>
      <c r="U43" s="47">
        <f t="shared" si="9"/>
        <v>0</v>
      </c>
    </row>
    <row r="44" spans="1:21" x14ac:dyDescent="0.25">
      <c r="A44" s="34" t="s">
        <v>116</v>
      </c>
      <c r="C44" s="47">
        <f t="shared" si="0"/>
        <v>0</v>
      </c>
      <c r="E44" s="47">
        <f t="shared" si="1"/>
        <v>0</v>
      </c>
      <c r="G44" s="47">
        <f t="shared" si="2"/>
        <v>0</v>
      </c>
      <c r="I44" s="47">
        <f t="shared" si="3"/>
        <v>0</v>
      </c>
      <c r="K44" s="47">
        <f t="shared" si="4"/>
        <v>0</v>
      </c>
      <c r="M44" s="47">
        <f t="shared" si="5"/>
        <v>0</v>
      </c>
      <c r="O44" s="47">
        <f t="shared" si="6"/>
        <v>0</v>
      </c>
      <c r="Q44" s="47">
        <f t="shared" si="7"/>
        <v>0</v>
      </c>
      <c r="S44" s="47">
        <f t="shared" si="8"/>
        <v>0</v>
      </c>
      <c r="U44" s="47">
        <f t="shared" si="9"/>
        <v>0</v>
      </c>
    </row>
    <row r="45" spans="1:21" x14ac:dyDescent="0.25">
      <c r="A45" s="34" t="s">
        <v>117</v>
      </c>
      <c r="C45" s="47">
        <f t="shared" si="0"/>
        <v>0</v>
      </c>
      <c r="E45" s="47">
        <f t="shared" si="1"/>
        <v>0</v>
      </c>
      <c r="G45" s="47">
        <f t="shared" si="2"/>
        <v>0</v>
      </c>
      <c r="I45" s="47">
        <f t="shared" si="3"/>
        <v>0</v>
      </c>
      <c r="K45" s="47">
        <f t="shared" si="4"/>
        <v>0</v>
      </c>
      <c r="M45" s="47">
        <f t="shared" si="5"/>
        <v>0</v>
      </c>
      <c r="O45" s="47">
        <f t="shared" si="6"/>
        <v>0</v>
      </c>
      <c r="Q45" s="47">
        <f t="shared" si="7"/>
        <v>0</v>
      </c>
      <c r="S45" s="47">
        <f t="shared" si="8"/>
        <v>0</v>
      </c>
      <c r="U45" s="47">
        <f t="shared" si="9"/>
        <v>0</v>
      </c>
    </row>
    <row r="46" spans="1:21" x14ac:dyDescent="0.25">
      <c r="A46" s="34" t="s">
        <v>118</v>
      </c>
      <c r="C46" s="47">
        <f t="shared" si="0"/>
        <v>0</v>
      </c>
      <c r="E46" s="47">
        <f t="shared" si="1"/>
        <v>0</v>
      </c>
      <c r="G46" s="47">
        <f t="shared" si="2"/>
        <v>0</v>
      </c>
      <c r="I46" s="47">
        <f t="shared" si="3"/>
        <v>0</v>
      </c>
      <c r="K46" s="47">
        <f t="shared" si="4"/>
        <v>0</v>
      </c>
      <c r="M46" s="47">
        <f t="shared" si="5"/>
        <v>0</v>
      </c>
      <c r="O46" s="47">
        <f t="shared" si="6"/>
        <v>0</v>
      </c>
      <c r="Q46" s="47">
        <f t="shared" si="7"/>
        <v>0</v>
      </c>
      <c r="S46" s="47">
        <f t="shared" si="8"/>
        <v>0</v>
      </c>
      <c r="U46" s="47">
        <f t="shared" si="9"/>
        <v>0</v>
      </c>
    </row>
    <row r="47" spans="1:21" x14ac:dyDescent="0.25">
      <c r="A47" s="31" t="s">
        <v>77</v>
      </c>
      <c r="C47" s="47">
        <f t="shared" si="0"/>
        <v>0</v>
      </c>
      <c r="E47" s="47">
        <f t="shared" si="1"/>
        <v>0</v>
      </c>
      <c r="G47" s="47">
        <f t="shared" si="2"/>
        <v>0</v>
      </c>
      <c r="I47" s="47">
        <f t="shared" si="3"/>
        <v>0</v>
      </c>
      <c r="K47" s="47">
        <f t="shared" si="4"/>
        <v>0</v>
      </c>
      <c r="M47" s="47">
        <f t="shared" si="5"/>
        <v>0</v>
      </c>
      <c r="O47" s="47">
        <f t="shared" si="6"/>
        <v>0</v>
      </c>
      <c r="Q47" s="47">
        <f t="shared" si="7"/>
        <v>0</v>
      </c>
      <c r="S47" s="47">
        <f t="shared" si="8"/>
        <v>0</v>
      </c>
      <c r="U47" s="47">
        <f t="shared" si="9"/>
        <v>0</v>
      </c>
    </row>
    <row r="48" spans="1:21" x14ac:dyDescent="0.25">
      <c r="A48" s="31" t="s">
        <v>185</v>
      </c>
      <c r="C48" s="47">
        <f t="shared" si="0"/>
        <v>0</v>
      </c>
      <c r="E48" s="47">
        <f t="shared" si="1"/>
        <v>0</v>
      </c>
      <c r="G48" s="47">
        <f t="shared" si="2"/>
        <v>0</v>
      </c>
      <c r="I48" s="47">
        <f t="shared" si="3"/>
        <v>0</v>
      </c>
      <c r="K48" s="47">
        <f t="shared" si="4"/>
        <v>0</v>
      </c>
      <c r="M48" s="47">
        <f t="shared" si="5"/>
        <v>0</v>
      </c>
      <c r="O48" s="47">
        <f t="shared" si="6"/>
        <v>0</v>
      </c>
      <c r="Q48" s="47">
        <f t="shared" si="7"/>
        <v>0</v>
      </c>
      <c r="S48" s="47">
        <f t="shared" si="8"/>
        <v>0</v>
      </c>
      <c r="U48" s="47">
        <f t="shared" si="9"/>
        <v>0</v>
      </c>
    </row>
    <row r="49" spans="1:21" x14ac:dyDescent="0.25">
      <c r="A49" s="46" t="s">
        <v>186</v>
      </c>
      <c r="C49" s="47">
        <f t="shared" si="0"/>
        <v>0</v>
      </c>
      <c r="E49" s="47">
        <f t="shared" si="1"/>
        <v>0</v>
      </c>
      <c r="G49" s="47">
        <f t="shared" si="2"/>
        <v>0</v>
      </c>
      <c r="I49" s="47">
        <f t="shared" si="3"/>
        <v>0</v>
      </c>
      <c r="K49" s="47">
        <f t="shared" si="4"/>
        <v>0</v>
      </c>
      <c r="M49" s="47">
        <f t="shared" si="5"/>
        <v>0</v>
      </c>
      <c r="O49" s="47">
        <f t="shared" si="6"/>
        <v>0</v>
      </c>
      <c r="Q49" s="47">
        <f t="shared" si="7"/>
        <v>0</v>
      </c>
      <c r="S49" s="47">
        <f t="shared" si="8"/>
        <v>0</v>
      </c>
      <c r="U49" s="47">
        <f t="shared" si="9"/>
        <v>0</v>
      </c>
    </row>
    <row r="50" spans="1:21" x14ac:dyDescent="0.25">
      <c r="A50" s="46" t="s">
        <v>187</v>
      </c>
      <c r="C50" s="47">
        <f t="shared" si="0"/>
        <v>0</v>
      </c>
      <c r="E50" s="47">
        <f t="shared" si="1"/>
        <v>0</v>
      </c>
      <c r="G50" s="47">
        <f t="shared" si="2"/>
        <v>0</v>
      </c>
      <c r="I50" s="47">
        <f t="shared" si="3"/>
        <v>0</v>
      </c>
      <c r="K50" s="47">
        <f t="shared" si="4"/>
        <v>0</v>
      </c>
      <c r="M50" s="47">
        <f t="shared" si="5"/>
        <v>0</v>
      </c>
      <c r="O50" s="47">
        <f t="shared" si="6"/>
        <v>0</v>
      </c>
      <c r="Q50" s="47">
        <f t="shared" si="7"/>
        <v>0</v>
      </c>
      <c r="S50" s="47">
        <f t="shared" si="8"/>
        <v>0</v>
      </c>
      <c r="U50" s="47">
        <f t="shared" si="9"/>
        <v>0</v>
      </c>
    </row>
    <row r="51" spans="1:21" x14ac:dyDescent="0.25">
      <c r="A51" s="46" t="s">
        <v>188</v>
      </c>
      <c r="C51" s="47">
        <f t="shared" si="0"/>
        <v>0</v>
      </c>
      <c r="E51" s="47">
        <f t="shared" si="1"/>
        <v>0</v>
      </c>
      <c r="G51" s="47">
        <f t="shared" si="2"/>
        <v>0</v>
      </c>
      <c r="I51" s="47">
        <f t="shared" si="3"/>
        <v>0</v>
      </c>
      <c r="K51" s="47">
        <f t="shared" si="4"/>
        <v>0</v>
      </c>
      <c r="M51" s="47">
        <f t="shared" si="5"/>
        <v>0</v>
      </c>
      <c r="O51" s="47">
        <f t="shared" si="6"/>
        <v>0</v>
      </c>
      <c r="Q51" s="47">
        <f t="shared" si="7"/>
        <v>0</v>
      </c>
      <c r="S51" s="47">
        <f t="shared" si="8"/>
        <v>0</v>
      </c>
      <c r="U51" s="47">
        <f t="shared" si="9"/>
        <v>0</v>
      </c>
    </row>
    <row r="52" spans="1:21" x14ac:dyDescent="0.25">
      <c r="A52" s="38" t="s">
        <v>189</v>
      </c>
      <c r="C52" s="47">
        <f t="shared" si="0"/>
        <v>0</v>
      </c>
      <c r="E52" s="47">
        <f t="shared" si="1"/>
        <v>0</v>
      </c>
      <c r="G52" s="47">
        <f t="shared" si="2"/>
        <v>0</v>
      </c>
      <c r="I52" s="47">
        <f t="shared" si="3"/>
        <v>0</v>
      </c>
      <c r="K52" s="47">
        <f t="shared" si="4"/>
        <v>0</v>
      </c>
      <c r="M52" s="47">
        <f t="shared" si="5"/>
        <v>0</v>
      </c>
      <c r="O52" s="47">
        <f t="shared" si="6"/>
        <v>0</v>
      </c>
      <c r="Q52" s="47">
        <f t="shared" si="7"/>
        <v>0</v>
      </c>
      <c r="S52" s="47">
        <f t="shared" si="8"/>
        <v>0</v>
      </c>
      <c r="U52" s="47">
        <f t="shared" si="9"/>
        <v>0</v>
      </c>
    </row>
    <row r="53" spans="1:21" x14ac:dyDescent="0.25">
      <c r="A53" s="31" t="s">
        <v>190</v>
      </c>
      <c r="C53" s="47">
        <f t="shared" si="0"/>
        <v>0</v>
      </c>
      <c r="E53" s="47">
        <f t="shared" si="1"/>
        <v>0</v>
      </c>
      <c r="G53" s="47">
        <f t="shared" si="2"/>
        <v>0</v>
      </c>
      <c r="I53" s="47">
        <f t="shared" si="3"/>
        <v>0</v>
      </c>
      <c r="K53" s="47">
        <f t="shared" si="4"/>
        <v>0</v>
      </c>
      <c r="M53" s="47">
        <f t="shared" si="5"/>
        <v>0</v>
      </c>
      <c r="O53" s="47">
        <f t="shared" si="6"/>
        <v>0</v>
      </c>
      <c r="Q53" s="47">
        <f t="shared" si="7"/>
        <v>0</v>
      </c>
      <c r="S53" s="47">
        <f t="shared" si="8"/>
        <v>0</v>
      </c>
      <c r="U53" s="47">
        <f t="shared" si="9"/>
        <v>0</v>
      </c>
    </row>
    <row r="54" spans="1:21" x14ac:dyDescent="0.25">
      <c r="B54" s="45">
        <f>SUM(B4:B53)</f>
        <v>0</v>
      </c>
      <c r="D54" s="45">
        <f>SUM(D4:D53)</f>
        <v>0</v>
      </c>
      <c r="F54" s="45">
        <f>SUM(F4:F53)</f>
        <v>0</v>
      </c>
      <c r="H54" s="45">
        <f>SUM(H4:H53)</f>
        <v>0</v>
      </c>
      <c r="J54" s="45">
        <f>SUM(J4:J53)</f>
        <v>0</v>
      </c>
      <c r="L54" s="45">
        <f>SUM(L4:L53)</f>
        <v>0</v>
      </c>
      <c r="N54" s="45">
        <f>SUM(N4:N53)</f>
        <v>0</v>
      </c>
      <c r="P54" s="45">
        <f>SUM(P4:P53)</f>
        <v>0</v>
      </c>
      <c r="R54" s="45">
        <f>SUM(R4:R53)</f>
        <v>0</v>
      </c>
      <c r="T54" s="45">
        <f>SUM(T4:T53)</f>
        <v>0</v>
      </c>
    </row>
  </sheetData>
  <mergeCells count="12">
    <mergeCell ref="P2:Q2"/>
    <mergeCell ref="R2:S2"/>
    <mergeCell ref="T2:U2"/>
    <mergeCell ref="B1:K1"/>
    <mergeCell ref="B2:C2"/>
    <mergeCell ref="D2:E2"/>
    <mergeCell ref="F2:G2"/>
    <mergeCell ref="H2:I2"/>
    <mergeCell ref="J2:K2"/>
    <mergeCell ref="L1:U1"/>
    <mergeCell ref="L2:M2"/>
    <mergeCell ref="N2:O2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4"/>
  <sheetViews>
    <sheetView topLeftCell="B1" zoomScale="85" zoomScaleNormal="85" workbookViewId="0">
      <selection activeCell="B2" sqref="B2:DB2"/>
    </sheetView>
  </sheetViews>
  <sheetFormatPr defaultRowHeight="15" x14ac:dyDescent="0.25"/>
  <cols>
    <col min="1" max="1" width="36.140625" style="39" customWidth="1"/>
    <col min="2" max="16384" width="9.140625" style="39"/>
  </cols>
  <sheetData>
    <row r="1" spans="1:21" ht="15.75" thickBot="1" x14ac:dyDescent="0.3">
      <c r="B1" s="66" t="s">
        <v>36</v>
      </c>
      <c r="C1" s="67"/>
      <c r="D1" s="67"/>
      <c r="E1" s="67"/>
      <c r="F1" s="67"/>
      <c r="G1" s="67"/>
      <c r="H1" s="67"/>
      <c r="I1" s="67"/>
      <c r="J1" s="67"/>
      <c r="K1" s="68"/>
      <c r="L1" s="66" t="s">
        <v>52</v>
      </c>
      <c r="M1" s="67"/>
      <c r="N1" s="67"/>
      <c r="O1" s="67"/>
      <c r="P1" s="67"/>
      <c r="Q1" s="67"/>
      <c r="R1" s="67"/>
      <c r="S1" s="67"/>
      <c r="T1" s="67"/>
      <c r="U1" s="68"/>
    </row>
    <row r="2" spans="1:21" x14ac:dyDescent="0.25">
      <c r="B2" s="64">
        <f ca="1">SunDates!$H1</f>
        <v>43435</v>
      </c>
      <c r="C2" s="65"/>
      <c r="D2" s="64">
        <f ca="1">SunDates!$H2</f>
        <v>43442</v>
      </c>
      <c r="E2" s="65"/>
      <c r="F2" s="64">
        <f ca="1">SunDates!$H3</f>
        <v>43449</v>
      </c>
      <c r="G2" s="65"/>
      <c r="H2" s="64">
        <f ca="1">SunDates!$H4</f>
        <v>43456</v>
      </c>
      <c r="I2" s="65"/>
      <c r="J2" s="64">
        <f ca="1">SunDates!$H5</f>
        <v>43463</v>
      </c>
      <c r="K2" s="65"/>
      <c r="L2" s="64">
        <f ca="1">SunDates!$H1</f>
        <v>43435</v>
      </c>
      <c r="M2" s="65"/>
      <c r="N2" s="64">
        <f ca="1">SunDates!$H2</f>
        <v>43442</v>
      </c>
      <c r="O2" s="65"/>
      <c r="P2" s="64">
        <f ca="1">SunDates!$H3</f>
        <v>43449</v>
      </c>
      <c r="Q2" s="65"/>
      <c r="R2" s="64">
        <f ca="1">SunDates!$H4</f>
        <v>43456</v>
      </c>
      <c r="S2" s="65"/>
      <c r="T2" s="64">
        <f ca="1">SunDates!$H5</f>
        <v>43463</v>
      </c>
      <c r="U2" s="65"/>
    </row>
    <row r="3" spans="1:21" ht="15.75" thickBot="1" x14ac:dyDescent="0.3">
      <c r="B3" s="42" t="s">
        <v>195</v>
      </c>
      <c r="C3" s="43" t="s">
        <v>196</v>
      </c>
      <c r="D3" s="43" t="s">
        <v>195</v>
      </c>
      <c r="E3" s="43" t="s">
        <v>196</v>
      </c>
      <c r="F3" s="43" t="s">
        <v>195</v>
      </c>
      <c r="G3" s="43" t="s">
        <v>196</v>
      </c>
      <c r="H3" s="43" t="s">
        <v>195</v>
      </c>
      <c r="I3" s="43" t="s">
        <v>196</v>
      </c>
      <c r="J3" s="43" t="s">
        <v>195</v>
      </c>
      <c r="K3" s="44" t="s">
        <v>196</v>
      </c>
      <c r="L3" s="42" t="s">
        <v>195</v>
      </c>
      <c r="M3" s="43" t="s">
        <v>196</v>
      </c>
      <c r="N3" s="43" t="s">
        <v>195</v>
      </c>
      <c r="O3" s="43" t="s">
        <v>196</v>
      </c>
      <c r="P3" s="43" t="s">
        <v>195</v>
      </c>
      <c r="Q3" s="43" t="s">
        <v>196</v>
      </c>
      <c r="R3" s="43" t="s">
        <v>195</v>
      </c>
      <c r="S3" s="43" t="s">
        <v>196</v>
      </c>
      <c r="T3" s="43" t="s">
        <v>195</v>
      </c>
      <c r="U3" s="44" t="s">
        <v>196</v>
      </c>
    </row>
    <row r="4" spans="1:21" x14ac:dyDescent="0.25">
      <c r="A4" s="31" t="s">
        <v>87</v>
      </c>
      <c r="B4" s="16"/>
      <c r="C4" s="47">
        <f>IFERROR(B4/B$54,0%)</f>
        <v>0</v>
      </c>
      <c r="D4" s="16"/>
      <c r="E4" s="47">
        <f>IFERROR(D4/D$54,0%)</f>
        <v>0</v>
      </c>
      <c r="F4" s="16"/>
      <c r="G4" s="47">
        <f>IFERROR(F4/F$54,0%)</f>
        <v>0</v>
      </c>
      <c r="H4" s="16"/>
      <c r="I4" s="47">
        <f>IFERROR(H4/H$54,0%)</f>
        <v>0</v>
      </c>
      <c r="J4" s="16"/>
      <c r="K4" s="47">
        <f>IFERROR(J4/J$54,0%)</f>
        <v>0</v>
      </c>
      <c r="L4" s="16"/>
      <c r="M4" s="47">
        <f>IFERROR(L4/L$54,0%)</f>
        <v>0</v>
      </c>
      <c r="N4" s="16"/>
      <c r="O4" s="47">
        <f>IFERROR(N4/N$54,0%)</f>
        <v>0</v>
      </c>
      <c r="P4" s="16"/>
      <c r="Q4" s="47">
        <f>IFERROR(P4/P$54,0%)</f>
        <v>0</v>
      </c>
      <c r="R4" s="16"/>
      <c r="S4" s="47">
        <f>IFERROR(R4/R$54,0%)</f>
        <v>0</v>
      </c>
      <c r="T4" s="16"/>
      <c r="U4" s="47">
        <f>IFERROR(T4/T$54,0%)</f>
        <v>0</v>
      </c>
    </row>
    <row r="5" spans="1:21" x14ac:dyDescent="0.25">
      <c r="A5" s="31" t="s">
        <v>88</v>
      </c>
      <c r="B5" s="16"/>
      <c r="C5" s="47">
        <f t="shared" ref="C5:E53" si="0">IFERROR(B5/B$54,0%)</f>
        <v>0</v>
      </c>
      <c r="D5" s="16"/>
      <c r="E5" s="47">
        <f t="shared" si="0"/>
        <v>0</v>
      </c>
      <c r="F5" s="16"/>
      <c r="G5" s="47">
        <f t="shared" ref="G5" si="1">IFERROR(F5/F$54,0%)</f>
        <v>0</v>
      </c>
      <c r="H5" s="16"/>
      <c r="I5" s="47">
        <f t="shared" ref="I5" si="2">IFERROR(H5/H$54,0%)</f>
        <v>0</v>
      </c>
      <c r="J5" s="16"/>
      <c r="K5" s="47">
        <f t="shared" ref="K5" si="3">IFERROR(J5/J$54,0%)</f>
        <v>0</v>
      </c>
      <c r="L5" s="16"/>
      <c r="M5" s="47">
        <f t="shared" ref="M5" si="4">IFERROR(L5/L$54,0%)</f>
        <v>0</v>
      </c>
      <c r="N5" s="16"/>
      <c r="O5" s="47">
        <f t="shared" ref="O5" si="5">IFERROR(N5/N$54,0%)</f>
        <v>0</v>
      </c>
      <c r="P5" s="16"/>
      <c r="Q5" s="47">
        <f t="shared" ref="Q5:Q53" si="6">IFERROR(P5/P$54,0%)</f>
        <v>0</v>
      </c>
      <c r="R5" s="16"/>
      <c r="S5" s="47">
        <f t="shared" ref="S5:S53" si="7">IFERROR(R5/R$54,0%)</f>
        <v>0</v>
      </c>
      <c r="T5" s="16"/>
      <c r="U5" s="47">
        <f t="shared" ref="U5:U53" si="8">IFERROR(T5/T$54,0%)</f>
        <v>0</v>
      </c>
    </row>
    <row r="6" spans="1:21" x14ac:dyDescent="0.25">
      <c r="A6" s="31" t="s">
        <v>89</v>
      </c>
      <c r="B6" s="16"/>
      <c r="C6" s="47">
        <f t="shared" si="0"/>
        <v>0</v>
      </c>
      <c r="D6" s="16"/>
      <c r="E6" s="47">
        <f t="shared" si="0"/>
        <v>0</v>
      </c>
      <c r="F6" s="16"/>
      <c r="G6" s="47">
        <f t="shared" ref="G6" si="9">IFERROR(F6/F$54,0%)</f>
        <v>0</v>
      </c>
      <c r="H6" s="16"/>
      <c r="I6" s="47">
        <f t="shared" ref="I6" si="10">IFERROR(H6/H$54,0%)</f>
        <v>0</v>
      </c>
      <c r="J6" s="16"/>
      <c r="K6" s="47">
        <f t="shared" ref="K6" si="11">IFERROR(J6/J$54,0%)</f>
        <v>0</v>
      </c>
      <c r="L6" s="16"/>
      <c r="M6" s="47">
        <f t="shared" ref="M6" si="12">IFERROR(L6/L$54,0%)</f>
        <v>0</v>
      </c>
      <c r="N6" s="16"/>
      <c r="O6" s="47">
        <f t="shared" ref="O6" si="13">IFERROR(N6/N$54,0%)</f>
        <v>0</v>
      </c>
      <c r="P6" s="16"/>
      <c r="Q6" s="47">
        <f t="shared" si="6"/>
        <v>0</v>
      </c>
      <c r="R6" s="16"/>
      <c r="S6" s="47">
        <f t="shared" si="7"/>
        <v>0</v>
      </c>
      <c r="T6" s="16"/>
      <c r="U6" s="47">
        <f t="shared" si="8"/>
        <v>0</v>
      </c>
    </row>
    <row r="7" spans="1:21" x14ac:dyDescent="0.25">
      <c r="A7" s="31" t="s">
        <v>90</v>
      </c>
      <c r="B7" s="16"/>
      <c r="C7" s="47">
        <f t="shared" si="0"/>
        <v>0</v>
      </c>
      <c r="D7" s="16"/>
      <c r="E7" s="47">
        <f t="shared" si="0"/>
        <v>0</v>
      </c>
      <c r="F7" s="16"/>
      <c r="G7" s="47">
        <f t="shared" ref="G7" si="14">IFERROR(F7/F$54,0%)</f>
        <v>0</v>
      </c>
      <c r="H7" s="16"/>
      <c r="I7" s="47">
        <f t="shared" ref="I7" si="15">IFERROR(H7/H$54,0%)</f>
        <v>0</v>
      </c>
      <c r="J7" s="16"/>
      <c r="K7" s="47">
        <f t="shared" ref="K7" si="16">IFERROR(J7/J$54,0%)</f>
        <v>0</v>
      </c>
      <c r="L7" s="16"/>
      <c r="M7" s="47">
        <f t="shared" ref="M7" si="17">IFERROR(L7/L$54,0%)</f>
        <v>0</v>
      </c>
      <c r="N7" s="16"/>
      <c r="O7" s="47">
        <f t="shared" ref="O7" si="18">IFERROR(N7/N$54,0%)</f>
        <v>0</v>
      </c>
      <c r="P7" s="16"/>
      <c r="Q7" s="47">
        <f t="shared" si="6"/>
        <v>0</v>
      </c>
      <c r="R7" s="16"/>
      <c r="S7" s="47">
        <f t="shared" si="7"/>
        <v>0</v>
      </c>
      <c r="T7" s="16"/>
      <c r="U7" s="47">
        <f t="shared" si="8"/>
        <v>0</v>
      </c>
    </row>
    <row r="8" spans="1:21" x14ac:dyDescent="0.25">
      <c r="A8" s="31" t="s">
        <v>91</v>
      </c>
      <c r="B8" s="16"/>
      <c r="C8" s="47">
        <f t="shared" si="0"/>
        <v>0</v>
      </c>
      <c r="D8" s="16"/>
      <c r="E8" s="47">
        <f t="shared" si="0"/>
        <v>0</v>
      </c>
      <c r="F8" s="16"/>
      <c r="G8" s="47">
        <f t="shared" ref="G8" si="19">IFERROR(F8/F$54,0%)</f>
        <v>0</v>
      </c>
      <c r="H8" s="16"/>
      <c r="I8" s="47">
        <f t="shared" ref="I8" si="20">IFERROR(H8/H$54,0%)</f>
        <v>0</v>
      </c>
      <c r="J8" s="16"/>
      <c r="K8" s="47">
        <f t="shared" ref="K8" si="21">IFERROR(J8/J$54,0%)</f>
        <v>0</v>
      </c>
      <c r="L8" s="16"/>
      <c r="M8" s="47">
        <f t="shared" ref="M8" si="22">IFERROR(L8/L$54,0%)</f>
        <v>0</v>
      </c>
      <c r="N8" s="16"/>
      <c r="O8" s="47">
        <f t="shared" ref="O8" si="23">IFERROR(N8/N$54,0%)</f>
        <v>0</v>
      </c>
      <c r="P8" s="16"/>
      <c r="Q8" s="47">
        <f t="shared" si="6"/>
        <v>0</v>
      </c>
      <c r="R8" s="16"/>
      <c r="S8" s="47">
        <f t="shared" si="7"/>
        <v>0</v>
      </c>
      <c r="T8" s="16"/>
      <c r="U8" s="47">
        <f t="shared" si="8"/>
        <v>0</v>
      </c>
    </row>
    <row r="9" spans="1:21" x14ac:dyDescent="0.25">
      <c r="A9" s="31" t="s">
        <v>92</v>
      </c>
      <c r="B9" s="16"/>
      <c r="C9" s="47">
        <f t="shared" si="0"/>
        <v>0</v>
      </c>
      <c r="D9" s="16"/>
      <c r="E9" s="47">
        <f t="shared" si="0"/>
        <v>0</v>
      </c>
      <c r="F9" s="16"/>
      <c r="G9" s="47">
        <f t="shared" ref="G9" si="24">IFERROR(F9/F$54,0%)</f>
        <v>0</v>
      </c>
      <c r="H9" s="16"/>
      <c r="I9" s="47">
        <f t="shared" ref="I9" si="25">IFERROR(H9/H$54,0%)</f>
        <v>0</v>
      </c>
      <c r="J9" s="16"/>
      <c r="K9" s="47">
        <f t="shared" ref="K9" si="26">IFERROR(J9/J$54,0%)</f>
        <v>0</v>
      </c>
      <c r="L9" s="16"/>
      <c r="M9" s="47">
        <f t="shared" ref="M9" si="27">IFERROR(L9/L$54,0%)</f>
        <v>0</v>
      </c>
      <c r="N9" s="16"/>
      <c r="O9" s="47">
        <f t="shared" ref="O9" si="28">IFERROR(N9/N$54,0%)</f>
        <v>0</v>
      </c>
      <c r="P9" s="16"/>
      <c r="Q9" s="47">
        <f t="shared" si="6"/>
        <v>0</v>
      </c>
      <c r="R9" s="16"/>
      <c r="S9" s="47">
        <f t="shared" si="7"/>
        <v>0</v>
      </c>
      <c r="T9" s="16"/>
      <c r="U9" s="47">
        <f t="shared" si="8"/>
        <v>0</v>
      </c>
    </row>
    <row r="10" spans="1:21" x14ac:dyDescent="0.25">
      <c r="A10" s="31" t="s">
        <v>93</v>
      </c>
      <c r="B10" s="16"/>
      <c r="C10" s="47">
        <f t="shared" si="0"/>
        <v>0</v>
      </c>
      <c r="D10" s="16"/>
      <c r="E10" s="47">
        <f t="shared" si="0"/>
        <v>0</v>
      </c>
      <c r="F10" s="16"/>
      <c r="G10" s="47">
        <f t="shared" ref="G10" si="29">IFERROR(F10/F$54,0%)</f>
        <v>0</v>
      </c>
      <c r="H10" s="16"/>
      <c r="I10" s="47">
        <f t="shared" ref="I10" si="30">IFERROR(H10/H$54,0%)</f>
        <v>0</v>
      </c>
      <c r="J10" s="16"/>
      <c r="K10" s="47">
        <f t="shared" ref="K10" si="31">IFERROR(J10/J$54,0%)</f>
        <v>0</v>
      </c>
      <c r="L10" s="16"/>
      <c r="M10" s="47">
        <f t="shared" ref="M10" si="32">IFERROR(L10/L$54,0%)</f>
        <v>0</v>
      </c>
      <c r="N10" s="16"/>
      <c r="O10" s="47">
        <f t="shared" ref="O10" si="33">IFERROR(N10/N$54,0%)</f>
        <v>0</v>
      </c>
      <c r="P10" s="16"/>
      <c r="Q10" s="47">
        <f t="shared" si="6"/>
        <v>0</v>
      </c>
      <c r="R10" s="16"/>
      <c r="S10" s="47">
        <f t="shared" si="7"/>
        <v>0</v>
      </c>
      <c r="T10" s="16"/>
      <c r="U10" s="47">
        <f t="shared" si="8"/>
        <v>0</v>
      </c>
    </row>
    <row r="11" spans="1:21" x14ac:dyDescent="0.25">
      <c r="A11" s="31" t="s">
        <v>94</v>
      </c>
      <c r="B11" s="16"/>
      <c r="C11" s="47">
        <f t="shared" si="0"/>
        <v>0</v>
      </c>
      <c r="D11" s="16"/>
      <c r="E11" s="47">
        <f t="shared" si="0"/>
        <v>0</v>
      </c>
      <c r="F11" s="16"/>
      <c r="G11" s="47">
        <f t="shared" ref="G11" si="34">IFERROR(F11/F$54,0%)</f>
        <v>0</v>
      </c>
      <c r="H11" s="16"/>
      <c r="I11" s="47">
        <f t="shared" ref="I11" si="35">IFERROR(H11/H$54,0%)</f>
        <v>0</v>
      </c>
      <c r="J11" s="16"/>
      <c r="K11" s="47">
        <f t="shared" ref="K11" si="36">IFERROR(J11/J$54,0%)</f>
        <v>0</v>
      </c>
      <c r="L11" s="16"/>
      <c r="M11" s="47">
        <f t="shared" ref="M11" si="37">IFERROR(L11/L$54,0%)</f>
        <v>0</v>
      </c>
      <c r="N11" s="16"/>
      <c r="O11" s="47">
        <f t="shared" ref="O11" si="38">IFERROR(N11/N$54,0%)</f>
        <v>0</v>
      </c>
      <c r="P11" s="16"/>
      <c r="Q11" s="47">
        <f t="shared" si="6"/>
        <v>0</v>
      </c>
      <c r="R11" s="16"/>
      <c r="S11" s="47">
        <f t="shared" si="7"/>
        <v>0</v>
      </c>
      <c r="T11" s="16"/>
      <c r="U11" s="47">
        <f t="shared" si="8"/>
        <v>0</v>
      </c>
    </row>
    <row r="12" spans="1:21" x14ac:dyDescent="0.25">
      <c r="A12" s="31" t="s">
        <v>95</v>
      </c>
      <c r="B12" s="16"/>
      <c r="C12" s="47">
        <f t="shared" si="0"/>
        <v>0</v>
      </c>
      <c r="D12" s="16"/>
      <c r="E12" s="47">
        <f t="shared" si="0"/>
        <v>0</v>
      </c>
      <c r="F12" s="16"/>
      <c r="G12" s="47">
        <f t="shared" ref="G12" si="39">IFERROR(F12/F$54,0%)</f>
        <v>0</v>
      </c>
      <c r="H12" s="16"/>
      <c r="I12" s="47">
        <f t="shared" ref="I12" si="40">IFERROR(H12/H$54,0%)</f>
        <v>0</v>
      </c>
      <c r="J12" s="16"/>
      <c r="K12" s="47">
        <f t="shared" ref="K12" si="41">IFERROR(J12/J$54,0%)</f>
        <v>0</v>
      </c>
      <c r="L12" s="16"/>
      <c r="M12" s="47">
        <f t="shared" ref="M12" si="42">IFERROR(L12/L$54,0%)</f>
        <v>0</v>
      </c>
      <c r="N12" s="16"/>
      <c r="O12" s="47">
        <f t="shared" ref="O12" si="43">IFERROR(N12/N$54,0%)</f>
        <v>0</v>
      </c>
      <c r="P12" s="16"/>
      <c r="Q12" s="47">
        <f t="shared" si="6"/>
        <v>0</v>
      </c>
      <c r="R12" s="16"/>
      <c r="S12" s="47">
        <f t="shared" si="7"/>
        <v>0</v>
      </c>
      <c r="T12" s="16"/>
      <c r="U12" s="47">
        <f t="shared" si="8"/>
        <v>0</v>
      </c>
    </row>
    <row r="13" spans="1:21" x14ac:dyDescent="0.25">
      <c r="A13" s="31" t="s">
        <v>96</v>
      </c>
      <c r="B13" s="16"/>
      <c r="C13" s="47">
        <f t="shared" si="0"/>
        <v>0</v>
      </c>
      <c r="D13" s="16"/>
      <c r="E13" s="47">
        <f t="shared" si="0"/>
        <v>0</v>
      </c>
      <c r="F13" s="16"/>
      <c r="G13" s="47">
        <f t="shared" ref="G13" si="44">IFERROR(F13/F$54,0%)</f>
        <v>0</v>
      </c>
      <c r="H13" s="16"/>
      <c r="I13" s="47">
        <f t="shared" ref="I13" si="45">IFERROR(H13/H$54,0%)</f>
        <v>0</v>
      </c>
      <c r="J13" s="16"/>
      <c r="K13" s="47">
        <f t="shared" ref="K13" si="46">IFERROR(J13/J$54,0%)</f>
        <v>0</v>
      </c>
      <c r="L13" s="16"/>
      <c r="M13" s="47">
        <f t="shared" ref="M13" si="47">IFERROR(L13/L$54,0%)</f>
        <v>0</v>
      </c>
      <c r="N13" s="16"/>
      <c r="O13" s="47">
        <f t="shared" ref="O13" si="48">IFERROR(N13/N$54,0%)</f>
        <v>0</v>
      </c>
      <c r="P13" s="16"/>
      <c r="Q13" s="47">
        <f t="shared" si="6"/>
        <v>0</v>
      </c>
      <c r="R13" s="16"/>
      <c r="S13" s="47">
        <f t="shared" si="7"/>
        <v>0</v>
      </c>
      <c r="T13" s="16"/>
      <c r="U13" s="47">
        <f t="shared" si="8"/>
        <v>0</v>
      </c>
    </row>
    <row r="14" spans="1:21" x14ac:dyDescent="0.25">
      <c r="A14" s="31" t="s">
        <v>97</v>
      </c>
      <c r="B14" s="16"/>
      <c r="C14" s="47">
        <f t="shared" si="0"/>
        <v>0</v>
      </c>
      <c r="D14" s="16"/>
      <c r="E14" s="47">
        <f t="shared" si="0"/>
        <v>0</v>
      </c>
      <c r="F14" s="16"/>
      <c r="G14" s="47">
        <f t="shared" ref="G14" si="49">IFERROR(F14/F$54,0%)</f>
        <v>0</v>
      </c>
      <c r="H14" s="16"/>
      <c r="I14" s="47">
        <f t="shared" ref="I14" si="50">IFERROR(H14/H$54,0%)</f>
        <v>0</v>
      </c>
      <c r="J14" s="16"/>
      <c r="K14" s="47">
        <f t="shared" ref="K14" si="51">IFERROR(J14/J$54,0%)</f>
        <v>0</v>
      </c>
      <c r="L14" s="16"/>
      <c r="M14" s="47">
        <f t="shared" ref="M14" si="52">IFERROR(L14/L$54,0%)</f>
        <v>0</v>
      </c>
      <c r="N14" s="16"/>
      <c r="O14" s="47">
        <f t="shared" ref="O14" si="53">IFERROR(N14/N$54,0%)</f>
        <v>0</v>
      </c>
      <c r="P14" s="16"/>
      <c r="Q14" s="47">
        <f t="shared" si="6"/>
        <v>0</v>
      </c>
      <c r="R14" s="16"/>
      <c r="S14" s="47">
        <f t="shared" si="7"/>
        <v>0</v>
      </c>
      <c r="T14" s="16"/>
      <c r="U14" s="47">
        <f t="shared" si="8"/>
        <v>0</v>
      </c>
    </row>
    <row r="15" spans="1:21" x14ac:dyDescent="0.25">
      <c r="A15" s="31" t="s">
        <v>98</v>
      </c>
      <c r="B15" s="16"/>
      <c r="C15" s="47">
        <f t="shared" si="0"/>
        <v>0</v>
      </c>
      <c r="D15" s="16"/>
      <c r="E15" s="47">
        <f t="shared" si="0"/>
        <v>0</v>
      </c>
      <c r="F15" s="16"/>
      <c r="G15" s="47">
        <f t="shared" ref="G15" si="54">IFERROR(F15/F$54,0%)</f>
        <v>0</v>
      </c>
      <c r="H15" s="16"/>
      <c r="I15" s="47">
        <f t="shared" ref="I15" si="55">IFERROR(H15/H$54,0%)</f>
        <v>0</v>
      </c>
      <c r="J15" s="16"/>
      <c r="K15" s="47">
        <f t="shared" ref="K15" si="56">IFERROR(J15/J$54,0%)</f>
        <v>0</v>
      </c>
      <c r="L15" s="16"/>
      <c r="M15" s="47">
        <f t="shared" ref="M15" si="57">IFERROR(L15/L$54,0%)</f>
        <v>0</v>
      </c>
      <c r="N15" s="16"/>
      <c r="O15" s="47">
        <f t="shared" ref="O15" si="58">IFERROR(N15/N$54,0%)</f>
        <v>0</v>
      </c>
      <c r="P15" s="16"/>
      <c r="Q15" s="47">
        <f t="shared" si="6"/>
        <v>0</v>
      </c>
      <c r="R15" s="16"/>
      <c r="S15" s="47">
        <f t="shared" si="7"/>
        <v>0</v>
      </c>
      <c r="T15" s="16"/>
      <c r="U15" s="47">
        <f t="shared" si="8"/>
        <v>0</v>
      </c>
    </row>
    <row r="16" spans="1:21" x14ac:dyDescent="0.25">
      <c r="A16" s="31" t="s">
        <v>99</v>
      </c>
      <c r="B16" s="16"/>
      <c r="C16" s="47">
        <f t="shared" si="0"/>
        <v>0</v>
      </c>
      <c r="D16" s="16"/>
      <c r="E16" s="47">
        <f t="shared" si="0"/>
        <v>0</v>
      </c>
      <c r="F16" s="16"/>
      <c r="G16" s="47">
        <f t="shared" ref="G16" si="59">IFERROR(F16/F$54,0%)</f>
        <v>0</v>
      </c>
      <c r="H16" s="16"/>
      <c r="I16" s="47">
        <f t="shared" ref="I16" si="60">IFERROR(H16/H$54,0%)</f>
        <v>0</v>
      </c>
      <c r="J16" s="16"/>
      <c r="K16" s="47">
        <f t="shared" ref="K16" si="61">IFERROR(J16/J$54,0%)</f>
        <v>0</v>
      </c>
      <c r="L16" s="16"/>
      <c r="M16" s="47">
        <f t="shared" ref="M16" si="62">IFERROR(L16/L$54,0%)</f>
        <v>0</v>
      </c>
      <c r="N16" s="16"/>
      <c r="O16" s="47">
        <f t="shared" ref="O16" si="63">IFERROR(N16/N$54,0%)</f>
        <v>0</v>
      </c>
      <c r="P16" s="16"/>
      <c r="Q16" s="47">
        <f t="shared" si="6"/>
        <v>0</v>
      </c>
      <c r="R16" s="16"/>
      <c r="S16" s="47">
        <f t="shared" si="7"/>
        <v>0</v>
      </c>
      <c r="T16" s="16"/>
      <c r="U16" s="47">
        <f t="shared" si="8"/>
        <v>0</v>
      </c>
    </row>
    <row r="17" spans="1:21" x14ac:dyDescent="0.25">
      <c r="A17" s="31" t="s">
        <v>100</v>
      </c>
      <c r="B17" s="16"/>
      <c r="C17" s="47">
        <f t="shared" si="0"/>
        <v>0</v>
      </c>
      <c r="D17" s="16"/>
      <c r="E17" s="47">
        <f t="shared" si="0"/>
        <v>0</v>
      </c>
      <c r="F17" s="16"/>
      <c r="G17" s="47">
        <f t="shared" ref="G17" si="64">IFERROR(F17/F$54,0%)</f>
        <v>0</v>
      </c>
      <c r="H17" s="16"/>
      <c r="I17" s="47">
        <f t="shared" ref="I17" si="65">IFERROR(H17/H$54,0%)</f>
        <v>0</v>
      </c>
      <c r="J17" s="16"/>
      <c r="K17" s="47">
        <f t="shared" ref="K17" si="66">IFERROR(J17/J$54,0%)</f>
        <v>0</v>
      </c>
      <c r="L17" s="16"/>
      <c r="M17" s="47">
        <f t="shared" ref="M17" si="67">IFERROR(L17/L$54,0%)</f>
        <v>0</v>
      </c>
      <c r="N17" s="16"/>
      <c r="O17" s="47">
        <f t="shared" ref="O17" si="68">IFERROR(N17/N$54,0%)</f>
        <v>0</v>
      </c>
      <c r="P17" s="16"/>
      <c r="Q17" s="47">
        <f t="shared" si="6"/>
        <v>0</v>
      </c>
      <c r="R17" s="16"/>
      <c r="S17" s="47">
        <f t="shared" si="7"/>
        <v>0</v>
      </c>
      <c r="T17" s="16"/>
      <c r="U17" s="47">
        <f t="shared" si="8"/>
        <v>0</v>
      </c>
    </row>
    <row r="18" spans="1:21" x14ac:dyDescent="0.25">
      <c r="A18" s="31" t="s">
        <v>101</v>
      </c>
      <c r="B18" s="16"/>
      <c r="C18" s="47">
        <f t="shared" si="0"/>
        <v>0</v>
      </c>
      <c r="D18" s="16"/>
      <c r="E18" s="47">
        <f t="shared" si="0"/>
        <v>0</v>
      </c>
      <c r="F18" s="16"/>
      <c r="G18" s="47">
        <f t="shared" ref="G18" si="69">IFERROR(F18/F$54,0%)</f>
        <v>0</v>
      </c>
      <c r="H18" s="16"/>
      <c r="I18" s="47">
        <f t="shared" ref="I18" si="70">IFERROR(H18/H$54,0%)</f>
        <v>0</v>
      </c>
      <c r="J18" s="16"/>
      <c r="K18" s="47">
        <f t="shared" ref="K18" si="71">IFERROR(J18/J$54,0%)</f>
        <v>0</v>
      </c>
      <c r="L18" s="16"/>
      <c r="M18" s="47">
        <f t="shared" ref="M18" si="72">IFERROR(L18/L$54,0%)</f>
        <v>0</v>
      </c>
      <c r="N18" s="16"/>
      <c r="O18" s="47">
        <f t="shared" ref="O18" si="73">IFERROR(N18/N$54,0%)</f>
        <v>0</v>
      </c>
      <c r="P18" s="16"/>
      <c r="Q18" s="47">
        <f t="shared" si="6"/>
        <v>0</v>
      </c>
      <c r="R18" s="16"/>
      <c r="S18" s="47">
        <f t="shared" si="7"/>
        <v>0</v>
      </c>
      <c r="T18" s="16"/>
      <c r="U18" s="47">
        <f t="shared" si="8"/>
        <v>0</v>
      </c>
    </row>
    <row r="19" spans="1:21" x14ac:dyDescent="0.25">
      <c r="A19" s="31" t="s">
        <v>102</v>
      </c>
      <c r="B19" s="16"/>
      <c r="C19" s="47">
        <f t="shared" si="0"/>
        <v>0</v>
      </c>
      <c r="D19" s="16"/>
      <c r="E19" s="47">
        <f t="shared" si="0"/>
        <v>0</v>
      </c>
      <c r="F19" s="16"/>
      <c r="G19" s="47">
        <f t="shared" ref="G19" si="74">IFERROR(F19/F$54,0%)</f>
        <v>0</v>
      </c>
      <c r="H19" s="16"/>
      <c r="I19" s="47">
        <f t="shared" ref="I19" si="75">IFERROR(H19/H$54,0%)</f>
        <v>0</v>
      </c>
      <c r="J19" s="16"/>
      <c r="K19" s="47">
        <f t="shared" ref="K19" si="76">IFERROR(J19/J$54,0%)</f>
        <v>0</v>
      </c>
      <c r="L19" s="16"/>
      <c r="M19" s="47">
        <f t="shared" ref="M19" si="77">IFERROR(L19/L$54,0%)</f>
        <v>0</v>
      </c>
      <c r="N19" s="16"/>
      <c r="O19" s="47">
        <f t="shared" ref="O19" si="78">IFERROR(N19/N$54,0%)</f>
        <v>0</v>
      </c>
      <c r="P19" s="16"/>
      <c r="Q19" s="47">
        <f t="shared" si="6"/>
        <v>0</v>
      </c>
      <c r="R19" s="16"/>
      <c r="S19" s="47">
        <f t="shared" si="7"/>
        <v>0</v>
      </c>
      <c r="T19" s="16"/>
      <c r="U19" s="47">
        <f t="shared" si="8"/>
        <v>0</v>
      </c>
    </row>
    <row r="20" spans="1:21" x14ac:dyDescent="0.25">
      <c r="A20" s="31" t="s">
        <v>103</v>
      </c>
      <c r="B20" s="16"/>
      <c r="C20" s="47">
        <f t="shared" si="0"/>
        <v>0</v>
      </c>
      <c r="D20" s="16"/>
      <c r="E20" s="47">
        <f t="shared" si="0"/>
        <v>0</v>
      </c>
      <c r="F20" s="16"/>
      <c r="G20" s="47">
        <f t="shared" ref="G20" si="79">IFERROR(F20/F$54,0%)</f>
        <v>0</v>
      </c>
      <c r="H20" s="16"/>
      <c r="I20" s="47">
        <f t="shared" ref="I20" si="80">IFERROR(H20/H$54,0%)</f>
        <v>0</v>
      </c>
      <c r="J20" s="16"/>
      <c r="K20" s="47">
        <f t="shared" ref="K20" si="81">IFERROR(J20/J$54,0%)</f>
        <v>0</v>
      </c>
      <c r="L20" s="16"/>
      <c r="M20" s="47">
        <f t="shared" ref="M20" si="82">IFERROR(L20/L$54,0%)</f>
        <v>0</v>
      </c>
      <c r="N20" s="16"/>
      <c r="O20" s="47">
        <f t="shared" ref="O20" si="83">IFERROR(N20/N$54,0%)</f>
        <v>0</v>
      </c>
      <c r="P20" s="16"/>
      <c r="Q20" s="47">
        <f t="shared" si="6"/>
        <v>0</v>
      </c>
      <c r="R20" s="16"/>
      <c r="S20" s="47">
        <f t="shared" si="7"/>
        <v>0</v>
      </c>
      <c r="T20" s="16"/>
      <c r="U20" s="47">
        <f t="shared" si="8"/>
        <v>0</v>
      </c>
    </row>
    <row r="21" spans="1:21" x14ac:dyDescent="0.25">
      <c r="A21" s="32" t="s">
        <v>174</v>
      </c>
      <c r="B21" s="16"/>
      <c r="C21" s="47">
        <f t="shared" si="0"/>
        <v>0</v>
      </c>
      <c r="D21" s="16"/>
      <c r="E21" s="47">
        <f t="shared" si="0"/>
        <v>0</v>
      </c>
      <c r="F21" s="16"/>
      <c r="G21" s="47">
        <f t="shared" ref="G21" si="84">IFERROR(F21/F$54,0%)</f>
        <v>0</v>
      </c>
      <c r="H21" s="16"/>
      <c r="I21" s="47">
        <f t="shared" ref="I21" si="85">IFERROR(H21/H$54,0%)</f>
        <v>0</v>
      </c>
      <c r="J21" s="16"/>
      <c r="K21" s="47">
        <f t="shared" ref="K21" si="86">IFERROR(J21/J$54,0%)</f>
        <v>0</v>
      </c>
      <c r="L21" s="16"/>
      <c r="M21" s="47">
        <f t="shared" ref="M21" si="87">IFERROR(L21/L$54,0%)</f>
        <v>0</v>
      </c>
      <c r="N21" s="16"/>
      <c r="O21" s="47">
        <f t="shared" ref="O21" si="88">IFERROR(N21/N$54,0%)</f>
        <v>0</v>
      </c>
      <c r="P21" s="16"/>
      <c r="Q21" s="47">
        <f t="shared" si="6"/>
        <v>0</v>
      </c>
      <c r="R21" s="16"/>
      <c r="S21" s="47">
        <f t="shared" si="7"/>
        <v>0</v>
      </c>
      <c r="T21" s="16"/>
      <c r="U21" s="47">
        <f t="shared" si="8"/>
        <v>0</v>
      </c>
    </row>
    <row r="22" spans="1:21" x14ac:dyDescent="0.25">
      <c r="A22" s="32" t="s">
        <v>175</v>
      </c>
      <c r="B22" s="16"/>
      <c r="C22" s="47">
        <f t="shared" si="0"/>
        <v>0</v>
      </c>
      <c r="D22" s="16"/>
      <c r="E22" s="47">
        <f t="shared" si="0"/>
        <v>0</v>
      </c>
      <c r="F22" s="16"/>
      <c r="G22" s="47">
        <f t="shared" ref="G22" si="89">IFERROR(F22/F$54,0%)</f>
        <v>0</v>
      </c>
      <c r="H22" s="16"/>
      <c r="I22" s="47">
        <f t="shared" ref="I22" si="90">IFERROR(H22/H$54,0%)</f>
        <v>0</v>
      </c>
      <c r="J22" s="16"/>
      <c r="K22" s="47">
        <f t="shared" ref="K22" si="91">IFERROR(J22/J$54,0%)</f>
        <v>0</v>
      </c>
      <c r="L22" s="16"/>
      <c r="M22" s="47">
        <f t="shared" ref="M22" si="92">IFERROR(L22/L$54,0%)</f>
        <v>0</v>
      </c>
      <c r="N22" s="16"/>
      <c r="O22" s="47">
        <f t="shared" ref="O22" si="93">IFERROR(N22/N$54,0%)</f>
        <v>0</v>
      </c>
      <c r="P22" s="16"/>
      <c r="Q22" s="47">
        <f t="shared" si="6"/>
        <v>0</v>
      </c>
      <c r="R22" s="16"/>
      <c r="S22" s="47">
        <f t="shared" si="7"/>
        <v>0</v>
      </c>
      <c r="T22" s="16"/>
      <c r="U22" s="47">
        <f t="shared" si="8"/>
        <v>0</v>
      </c>
    </row>
    <row r="23" spans="1:21" x14ac:dyDescent="0.25">
      <c r="A23" s="32" t="s">
        <v>176</v>
      </c>
      <c r="B23" s="16"/>
      <c r="C23" s="47">
        <f t="shared" si="0"/>
        <v>0</v>
      </c>
      <c r="D23" s="16"/>
      <c r="E23" s="47">
        <f t="shared" si="0"/>
        <v>0</v>
      </c>
      <c r="F23" s="16"/>
      <c r="G23" s="47">
        <f t="shared" ref="G23" si="94">IFERROR(F23/F$54,0%)</f>
        <v>0</v>
      </c>
      <c r="H23" s="16"/>
      <c r="I23" s="47">
        <f t="shared" ref="I23" si="95">IFERROR(H23/H$54,0%)</f>
        <v>0</v>
      </c>
      <c r="J23" s="16"/>
      <c r="K23" s="47">
        <f t="shared" ref="K23" si="96">IFERROR(J23/J$54,0%)</f>
        <v>0</v>
      </c>
      <c r="L23" s="16"/>
      <c r="M23" s="47">
        <f t="shared" ref="M23" si="97">IFERROR(L23/L$54,0%)</f>
        <v>0</v>
      </c>
      <c r="N23" s="16"/>
      <c r="O23" s="47">
        <f t="shared" ref="O23" si="98">IFERROR(N23/N$54,0%)</f>
        <v>0</v>
      </c>
      <c r="P23" s="16"/>
      <c r="Q23" s="47">
        <f t="shared" si="6"/>
        <v>0</v>
      </c>
      <c r="R23" s="16"/>
      <c r="S23" s="47">
        <f t="shared" si="7"/>
        <v>0</v>
      </c>
      <c r="T23" s="16"/>
      <c r="U23" s="47">
        <f t="shared" si="8"/>
        <v>0</v>
      </c>
    </row>
    <row r="24" spans="1:21" x14ac:dyDescent="0.25">
      <c r="A24" s="32" t="s">
        <v>177</v>
      </c>
      <c r="B24" s="16"/>
      <c r="C24" s="47">
        <f t="shared" si="0"/>
        <v>0</v>
      </c>
      <c r="D24" s="16"/>
      <c r="E24" s="47">
        <f t="shared" si="0"/>
        <v>0</v>
      </c>
      <c r="F24" s="16"/>
      <c r="G24" s="47">
        <f t="shared" ref="G24" si="99">IFERROR(F24/F$54,0%)</f>
        <v>0</v>
      </c>
      <c r="H24" s="16"/>
      <c r="I24" s="47">
        <f t="shared" ref="I24" si="100">IFERROR(H24/H$54,0%)</f>
        <v>0</v>
      </c>
      <c r="J24" s="16"/>
      <c r="K24" s="47">
        <f t="shared" ref="K24" si="101">IFERROR(J24/J$54,0%)</f>
        <v>0</v>
      </c>
      <c r="L24" s="16"/>
      <c r="M24" s="47">
        <f t="shared" ref="M24" si="102">IFERROR(L24/L$54,0%)</f>
        <v>0</v>
      </c>
      <c r="N24" s="16"/>
      <c r="O24" s="47">
        <f t="shared" ref="O24" si="103">IFERROR(N24/N$54,0%)</f>
        <v>0</v>
      </c>
      <c r="P24" s="16"/>
      <c r="Q24" s="47">
        <f t="shared" si="6"/>
        <v>0</v>
      </c>
      <c r="R24" s="16"/>
      <c r="S24" s="47">
        <f t="shared" si="7"/>
        <v>0</v>
      </c>
      <c r="T24" s="16"/>
      <c r="U24" s="47">
        <f t="shared" si="8"/>
        <v>0</v>
      </c>
    </row>
    <row r="25" spans="1:21" x14ac:dyDescent="0.25">
      <c r="A25" s="32" t="s">
        <v>178</v>
      </c>
      <c r="B25" s="16"/>
      <c r="C25" s="47">
        <f t="shared" si="0"/>
        <v>0</v>
      </c>
      <c r="D25" s="16"/>
      <c r="E25" s="47">
        <f t="shared" si="0"/>
        <v>0</v>
      </c>
      <c r="F25" s="16"/>
      <c r="G25" s="47">
        <f t="shared" ref="G25" si="104">IFERROR(F25/F$54,0%)</f>
        <v>0</v>
      </c>
      <c r="H25" s="16"/>
      <c r="I25" s="47">
        <f t="shared" ref="I25" si="105">IFERROR(H25/H$54,0%)</f>
        <v>0</v>
      </c>
      <c r="J25" s="16"/>
      <c r="K25" s="47">
        <f t="shared" ref="K25" si="106">IFERROR(J25/J$54,0%)</f>
        <v>0</v>
      </c>
      <c r="L25" s="16"/>
      <c r="M25" s="47">
        <f t="shared" ref="M25" si="107">IFERROR(L25/L$54,0%)</f>
        <v>0</v>
      </c>
      <c r="N25" s="16"/>
      <c r="O25" s="47">
        <f t="shared" ref="O25" si="108">IFERROR(N25/N$54,0%)</f>
        <v>0</v>
      </c>
      <c r="P25" s="16"/>
      <c r="Q25" s="47">
        <f t="shared" si="6"/>
        <v>0</v>
      </c>
      <c r="R25" s="16"/>
      <c r="S25" s="47">
        <f t="shared" si="7"/>
        <v>0</v>
      </c>
      <c r="T25" s="16"/>
      <c r="U25" s="47">
        <f t="shared" si="8"/>
        <v>0</v>
      </c>
    </row>
    <row r="26" spans="1:21" x14ac:dyDescent="0.25">
      <c r="A26" s="33" t="s">
        <v>179</v>
      </c>
      <c r="B26" s="16"/>
      <c r="C26" s="47">
        <f t="shared" si="0"/>
        <v>0</v>
      </c>
      <c r="D26" s="16"/>
      <c r="E26" s="47">
        <f t="shared" si="0"/>
        <v>0</v>
      </c>
      <c r="F26" s="16"/>
      <c r="G26" s="47">
        <f t="shared" ref="G26" si="109">IFERROR(F26/F$54,0%)</f>
        <v>0</v>
      </c>
      <c r="H26" s="16"/>
      <c r="I26" s="47">
        <f t="shared" ref="I26" si="110">IFERROR(H26/H$54,0%)</f>
        <v>0</v>
      </c>
      <c r="J26" s="16"/>
      <c r="K26" s="47">
        <f t="shared" ref="K26" si="111">IFERROR(J26/J$54,0%)</f>
        <v>0</v>
      </c>
      <c r="L26" s="16"/>
      <c r="M26" s="47">
        <f t="shared" ref="M26" si="112">IFERROR(L26/L$54,0%)</f>
        <v>0</v>
      </c>
      <c r="N26" s="16"/>
      <c r="O26" s="47">
        <f t="shared" ref="O26" si="113">IFERROR(N26/N$54,0%)</f>
        <v>0</v>
      </c>
      <c r="P26" s="16"/>
      <c r="Q26" s="47">
        <f t="shared" si="6"/>
        <v>0</v>
      </c>
      <c r="R26" s="16"/>
      <c r="S26" s="47">
        <f t="shared" si="7"/>
        <v>0</v>
      </c>
      <c r="T26" s="16"/>
      <c r="U26" s="47">
        <f t="shared" si="8"/>
        <v>0</v>
      </c>
    </row>
    <row r="27" spans="1:21" x14ac:dyDescent="0.25">
      <c r="A27" s="31" t="s">
        <v>104</v>
      </c>
      <c r="B27" s="16"/>
      <c r="C27" s="47">
        <f t="shared" si="0"/>
        <v>0</v>
      </c>
      <c r="D27" s="16"/>
      <c r="E27" s="47">
        <f t="shared" si="0"/>
        <v>0</v>
      </c>
      <c r="F27" s="16"/>
      <c r="G27" s="47">
        <f t="shared" ref="G27" si="114">IFERROR(F27/F$54,0%)</f>
        <v>0</v>
      </c>
      <c r="H27" s="16"/>
      <c r="I27" s="47">
        <f t="shared" ref="I27" si="115">IFERROR(H27/H$54,0%)</f>
        <v>0</v>
      </c>
      <c r="J27" s="16"/>
      <c r="K27" s="47">
        <f t="shared" ref="K27" si="116">IFERROR(J27/J$54,0%)</f>
        <v>0</v>
      </c>
      <c r="L27" s="16"/>
      <c r="M27" s="47">
        <f t="shared" ref="M27" si="117">IFERROR(L27/L$54,0%)</f>
        <v>0</v>
      </c>
      <c r="N27" s="16"/>
      <c r="O27" s="47">
        <f t="shared" ref="O27" si="118">IFERROR(N27/N$54,0%)</f>
        <v>0</v>
      </c>
      <c r="P27" s="16"/>
      <c r="Q27" s="47">
        <f t="shared" si="6"/>
        <v>0</v>
      </c>
      <c r="R27" s="16"/>
      <c r="S27" s="47">
        <f t="shared" si="7"/>
        <v>0</v>
      </c>
      <c r="T27" s="16"/>
      <c r="U27" s="47">
        <f t="shared" si="8"/>
        <v>0</v>
      </c>
    </row>
    <row r="28" spans="1:21" x14ac:dyDescent="0.25">
      <c r="A28" s="31" t="s">
        <v>105</v>
      </c>
      <c r="B28" s="16"/>
      <c r="C28" s="47">
        <f t="shared" si="0"/>
        <v>0</v>
      </c>
      <c r="D28" s="16"/>
      <c r="E28" s="47">
        <f t="shared" si="0"/>
        <v>0</v>
      </c>
      <c r="F28" s="16"/>
      <c r="G28" s="47">
        <f t="shared" ref="G28" si="119">IFERROR(F28/F$54,0%)</f>
        <v>0</v>
      </c>
      <c r="H28" s="16"/>
      <c r="I28" s="47">
        <f t="shared" ref="I28" si="120">IFERROR(H28/H$54,0%)</f>
        <v>0</v>
      </c>
      <c r="J28" s="16"/>
      <c r="K28" s="47">
        <f t="shared" ref="K28" si="121">IFERROR(J28/J$54,0%)</f>
        <v>0</v>
      </c>
      <c r="L28" s="16"/>
      <c r="M28" s="47">
        <f t="shared" ref="M28" si="122">IFERROR(L28/L$54,0%)</f>
        <v>0</v>
      </c>
      <c r="N28" s="16"/>
      <c r="O28" s="47">
        <f t="shared" ref="O28" si="123">IFERROR(N28/N$54,0%)</f>
        <v>0</v>
      </c>
      <c r="P28" s="16"/>
      <c r="Q28" s="47">
        <f t="shared" si="6"/>
        <v>0</v>
      </c>
      <c r="R28" s="16"/>
      <c r="S28" s="47">
        <f t="shared" si="7"/>
        <v>0</v>
      </c>
      <c r="T28" s="16"/>
      <c r="U28" s="47">
        <f t="shared" si="8"/>
        <v>0</v>
      </c>
    </row>
    <row r="29" spans="1:21" x14ac:dyDescent="0.25">
      <c r="A29" s="32" t="s">
        <v>180</v>
      </c>
      <c r="B29" s="16"/>
      <c r="C29" s="47">
        <f t="shared" si="0"/>
        <v>0</v>
      </c>
      <c r="D29" s="16"/>
      <c r="E29" s="47">
        <f t="shared" si="0"/>
        <v>0</v>
      </c>
      <c r="F29" s="16"/>
      <c r="G29" s="47">
        <f t="shared" ref="G29" si="124">IFERROR(F29/F$54,0%)</f>
        <v>0</v>
      </c>
      <c r="H29" s="16"/>
      <c r="I29" s="47">
        <f t="shared" ref="I29" si="125">IFERROR(H29/H$54,0%)</f>
        <v>0</v>
      </c>
      <c r="J29" s="16"/>
      <c r="K29" s="47">
        <f t="shared" ref="K29" si="126">IFERROR(J29/J$54,0%)</f>
        <v>0</v>
      </c>
      <c r="L29" s="16"/>
      <c r="M29" s="47">
        <f t="shared" ref="M29" si="127">IFERROR(L29/L$54,0%)</f>
        <v>0</v>
      </c>
      <c r="N29" s="16"/>
      <c r="O29" s="47">
        <f t="shared" ref="O29" si="128">IFERROR(N29/N$54,0%)</f>
        <v>0</v>
      </c>
      <c r="P29" s="16"/>
      <c r="Q29" s="47">
        <f t="shared" si="6"/>
        <v>0</v>
      </c>
      <c r="R29" s="16"/>
      <c r="S29" s="47">
        <f t="shared" si="7"/>
        <v>0</v>
      </c>
      <c r="T29" s="16"/>
      <c r="U29" s="47">
        <f t="shared" si="8"/>
        <v>0</v>
      </c>
    </row>
    <row r="30" spans="1:21" x14ac:dyDescent="0.25">
      <c r="A30" s="32" t="s">
        <v>181</v>
      </c>
      <c r="B30" s="16"/>
      <c r="C30" s="47">
        <f t="shared" si="0"/>
        <v>0</v>
      </c>
      <c r="D30" s="16"/>
      <c r="E30" s="47">
        <f t="shared" si="0"/>
        <v>0</v>
      </c>
      <c r="F30" s="16"/>
      <c r="G30" s="47">
        <f t="shared" ref="G30" si="129">IFERROR(F30/F$54,0%)</f>
        <v>0</v>
      </c>
      <c r="H30" s="16"/>
      <c r="I30" s="47">
        <f t="shared" ref="I30" si="130">IFERROR(H30/H$54,0%)</f>
        <v>0</v>
      </c>
      <c r="J30" s="16"/>
      <c r="K30" s="47">
        <f t="shared" ref="K30" si="131">IFERROR(J30/J$54,0%)</f>
        <v>0</v>
      </c>
      <c r="L30" s="16"/>
      <c r="M30" s="47">
        <f t="shared" ref="M30" si="132">IFERROR(L30/L$54,0%)</f>
        <v>0</v>
      </c>
      <c r="N30" s="16"/>
      <c r="O30" s="47">
        <f t="shared" ref="O30" si="133">IFERROR(N30/N$54,0%)</f>
        <v>0</v>
      </c>
      <c r="P30" s="16"/>
      <c r="Q30" s="47">
        <f t="shared" si="6"/>
        <v>0</v>
      </c>
      <c r="R30" s="16"/>
      <c r="S30" s="47">
        <f t="shared" si="7"/>
        <v>0</v>
      </c>
      <c r="T30" s="16"/>
      <c r="U30" s="47">
        <f t="shared" si="8"/>
        <v>0</v>
      </c>
    </row>
    <row r="31" spans="1:21" x14ac:dyDescent="0.25">
      <c r="A31" s="32" t="s">
        <v>182</v>
      </c>
      <c r="B31" s="16"/>
      <c r="C31" s="47">
        <f t="shared" si="0"/>
        <v>0</v>
      </c>
      <c r="D31" s="16"/>
      <c r="E31" s="47">
        <f t="shared" si="0"/>
        <v>0</v>
      </c>
      <c r="F31" s="16"/>
      <c r="G31" s="47">
        <f t="shared" ref="G31" si="134">IFERROR(F31/F$54,0%)</f>
        <v>0</v>
      </c>
      <c r="H31" s="16"/>
      <c r="I31" s="47">
        <f t="shared" ref="I31" si="135">IFERROR(H31/H$54,0%)</f>
        <v>0</v>
      </c>
      <c r="J31" s="16"/>
      <c r="K31" s="47">
        <f t="shared" ref="K31" si="136">IFERROR(J31/J$54,0%)</f>
        <v>0</v>
      </c>
      <c r="L31" s="16"/>
      <c r="M31" s="47">
        <f t="shared" ref="M31" si="137">IFERROR(L31/L$54,0%)</f>
        <v>0</v>
      </c>
      <c r="N31" s="16"/>
      <c r="O31" s="47">
        <f t="shared" ref="O31" si="138">IFERROR(N31/N$54,0%)</f>
        <v>0</v>
      </c>
      <c r="P31" s="16"/>
      <c r="Q31" s="47">
        <f t="shared" si="6"/>
        <v>0</v>
      </c>
      <c r="R31" s="16"/>
      <c r="S31" s="47">
        <f t="shared" si="7"/>
        <v>0</v>
      </c>
      <c r="T31" s="16"/>
      <c r="U31" s="47">
        <f t="shared" si="8"/>
        <v>0</v>
      </c>
    </row>
    <row r="32" spans="1:21" x14ac:dyDescent="0.25">
      <c r="A32" s="32" t="s">
        <v>183</v>
      </c>
      <c r="B32" s="16"/>
      <c r="C32" s="47">
        <f t="shared" si="0"/>
        <v>0</v>
      </c>
      <c r="D32" s="16"/>
      <c r="E32" s="47">
        <f t="shared" si="0"/>
        <v>0</v>
      </c>
      <c r="F32" s="16"/>
      <c r="G32" s="47">
        <f t="shared" ref="G32" si="139">IFERROR(F32/F$54,0%)</f>
        <v>0</v>
      </c>
      <c r="H32" s="16"/>
      <c r="I32" s="47">
        <f t="shared" ref="I32" si="140">IFERROR(H32/H$54,0%)</f>
        <v>0</v>
      </c>
      <c r="J32" s="16"/>
      <c r="K32" s="47">
        <f t="shared" ref="K32" si="141">IFERROR(J32/J$54,0%)</f>
        <v>0</v>
      </c>
      <c r="L32" s="16"/>
      <c r="M32" s="47">
        <f t="shared" ref="M32" si="142">IFERROR(L32/L$54,0%)</f>
        <v>0</v>
      </c>
      <c r="N32" s="16"/>
      <c r="O32" s="47">
        <f t="shared" ref="O32" si="143">IFERROR(N32/N$54,0%)</f>
        <v>0</v>
      </c>
      <c r="P32" s="16"/>
      <c r="Q32" s="47">
        <f t="shared" si="6"/>
        <v>0</v>
      </c>
      <c r="R32" s="16"/>
      <c r="S32" s="47">
        <f t="shared" si="7"/>
        <v>0</v>
      </c>
      <c r="T32" s="16"/>
      <c r="U32" s="47">
        <f t="shared" si="8"/>
        <v>0</v>
      </c>
    </row>
    <row r="33" spans="1:21" x14ac:dyDescent="0.25">
      <c r="A33" s="32" t="s">
        <v>184</v>
      </c>
      <c r="B33" s="16"/>
      <c r="C33" s="47">
        <f t="shared" si="0"/>
        <v>0</v>
      </c>
      <c r="D33" s="16"/>
      <c r="E33" s="47">
        <f t="shared" si="0"/>
        <v>0</v>
      </c>
      <c r="F33" s="16"/>
      <c r="G33" s="47">
        <f t="shared" ref="G33" si="144">IFERROR(F33/F$54,0%)</f>
        <v>0</v>
      </c>
      <c r="H33" s="16"/>
      <c r="I33" s="47">
        <f t="shared" ref="I33" si="145">IFERROR(H33/H$54,0%)</f>
        <v>0</v>
      </c>
      <c r="J33" s="16"/>
      <c r="K33" s="47">
        <f t="shared" ref="K33" si="146">IFERROR(J33/J$54,0%)</f>
        <v>0</v>
      </c>
      <c r="L33" s="16"/>
      <c r="M33" s="47">
        <f t="shared" ref="M33" si="147">IFERROR(L33/L$54,0%)</f>
        <v>0</v>
      </c>
      <c r="N33" s="16"/>
      <c r="O33" s="47">
        <f t="shared" ref="O33" si="148">IFERROR(N33/N$54,0%)</f>
        <v>0</v>
      </c>
      <c r="P33" s="16"/>
      <c r="Q33" s="47">
        <f t="shared" si="6"/>
        <v>0</v>
      </c>
      <c r="R33" s="16"/>
      <c r="S33" s="47">
        <f t="shared" si="7"/>
        <v>0</v>
      </c>
      <c r="T33" s="16"/>
      <c r="U33" s="47">
        <f t="shared" si="8"/>
        <v>0</v>
      </c>
    </row>
    <row r="34" spans="1:21" x14ac:dyDescent="0.25">
      <c r="A34" s="31" t="s">
        <v>106</v>
      </c>
      <c r="B34" s="16"/>
      <c r="C34" s="47">
        <f t="shared" si="0"/>
        <v>0</v>
      </c>
      <c r="D34" s="16"/>
      <c r="E34" s="47">
        <f t="shared" si="0"/>
        <v>0</v>
      </c>
      <c r="F34" s="16"/>
      <c r="G34" s="47">
        <f t="shared" ref="G34" si="149">IFERROR(F34/F$54,0%)</f>
        <v>0</v>
      </c>
      <c r="H34" s="16"/>
      <c r="I34" s="47">
        <f t="shared" ref="I34" si="150">IFERROR(H34/H$54,0%)</f>
        <v>0</v>
      </c>
      <c r="J34" s="16"/>
      <c r="K34" s="47">
        <f t="shared" ref="K34" si="151">IFERROR(J34/J$54,0%)</f>
        <v>0</v>
      </c>
      <c r="L34" s="16"/>
      <c r="M34" s="47">
        <f t="shared" ref="M34" si="152">IFERROR(L34/L$54,0%)</f>
        <v>0</v>
      </c>
      <c r="N34" s="16"/>
      <c r="O34" s="47">
        <f t="shared" ref="O34" si="153">IFERROR(N34/N$54,0%)</f>
        <v>0</v>
      </c>
      <c r="P34" s="16"/>
      <c r="Q34" s="47">
        <f t="shared" si="6"/>
        <v>0</v>
      </c>
      <c r="R34" s="16"/>
      <c r="S34" s="47">
        <f t="shared" si="7"/>
        <v>0</v>
      </c>
      <c r="T34" s="16"/>
      <c r="U34" s="47">
        <f t="shared" si="8"/>
        <v>0</v>
      </c>
    </row>
    <row r="35" spans="1:21" x14ac:dyDescent="0.25">
      <c r="A35" s="31" t="s">
        <v>107</v>
      </c>
      <c r="B35" s="16"/>
      <c r="C35" s="47">
        <f t="shared" si="0"/>
        <v>0</v>
      </c>
      <c r="D35" s="16"/>
      <c r="E35" s="47">
        <f t="shared" si="0"/>
        <v>0</v>
      </c>
      <c r="F35" s="16"/>
      <c r="G35" s="47">
        <f t="shared" ref="G35" si="154">IFERROR(F35/F$54,0%)</f>
        <v>0</v>
      </c>
      <c r="H35" s="16"/>
      <c r="I35" s="47">
        <f t="shared" ref="I35" si="155">IFERROR(H35/H$54,0%)</f>
        <v>0</v>
      </c>
      <c r="J35" s="16"/>
      <c r="K35" s="47">
        <f t="shared" ref="K35" si="156">IFERROR(J35/J$54,0%)</f>
        <v>0</v>
      </c>
      <c r="L35" s="16"/>
      <c r="M35" s="47">
        <f t="shared" ref="M35" si="157">IFERROR(L35/L$54,0%)</f>
        <v>0</v>
      </c>
      <c r="N35" s="16"/>
      <c r="O35" s="47">
        <f t="shared" ref="O35" si="158">IFERROR(N35/N$54,0%)</f>
        <v>0</v>
      </c>
      <c r="P35" s="16"/>
      <c r="Q35" s="47">
        <f t="shared" si="6"/>
        <v>0</v>
      </c>
      <c r="R35" s="16"/>
      <c r="S35" s="47">
        <f t="shared" si="7"/>
        <v>0</v>
      </c>
      <c r="T35" s="16"/>
      <c r="U35" s="47">
        <f t="shared" si="8"/>
        <v>0</v>
      </c>
    </row>
    <row r="36" spans="1:21" x14ac:dyDescent="0.25">
      <c r="A36" s="31" t="s">
        <v>108</v>
      </c>
      <c r="B36" s="16"/>
      <c r="C36" s="47">
        <f t="shared" si="0"/>
        <v>0</v>
      </c>
      <c r="D36" s="16"/>
      <c r="E36" s="47">
        <f t="shared" si="0"/>
        <v>0</v>
      </c>
      <c r="F36" s="16"/>
      <c r="G36" s="47">
        <f t="shared" ref="G36" si="159">IFERROR(F36/F$54,0%)</f>
        <v>0</v>
      </c>
      <c r="H36" s="16"/>
      <c r="I36" s="47">
        <f t="shared" ref="I36" si="160">IFERROR(H36/H$54,0%)</f>
        <v>0</v>
      </c>
      <c r="J36" s="16"/>
      <c r="K36" s="47">
        <f t="shared" ref="K36" si="161">IFERROR(J36/J$54,0%)</f>
        <v>0</v>
      </c>
      <c r="L36" s="16"/>
      <c r="M36" s="47">
        <f t="shared" ref="M36" si="162">IFERROR(L36/L$54,0%)</f>
        <v>0</v>
      </c>
      <c r="N36" s="16"/>
      <c r="O36" s="47">
        <f t="shared" ref="O36" si="163">IFERROR(N36/N$54,0%)</f>
        <v>0</v>
      </c>
      <c r="P36" s="16"/>
      <c r="Q36" s="47">
        <f t="shared" si="6"/>
        <v>0</v>
      </c>
      <c r="R36" s="16"/>
      <c r="S36" s="47">
        <f t="shared" si="7"/>
        <v>0</v>
      </c>
      <c r="T36" s="16"/>
      <c r="U36" s="47">
        <f t="shared" si="8"/>
        <v>0</v>
      </c>
    </row>
    <row r="37" spans="1:21" x14ac:dyDescent="0.25">
      <c r="A37" s="31" t="s">
        <v>109</v>
      </c>
      <c r="B37" s="16"/>
      <c r="C37" s="47">
        <f t="shared" si="0"/>
        <v>0</v>
      </c>
      <c r="D37" s="16"/>
      <c r="E37" s="47">
        <f t="shared" si="0"/>
        <v>0</v>
      </c>
      <c r="F37" s="16"/>
      <c r="G37" s="47">
        <f t="shared" ref="G37" si="164">IFERROR(F37/F$54,0%)</f>
        <v>0</v>
      </c>
      <c r="H37" s="16"/>
      <c r="I37" s="47">
        <f t="shared" ref="I37" si="165">IFERROR(H37/H$54,0%)</f>
        <v>0</v>
      </c>
      <c r="J37" s="16"/>
      <c r="K37" s="47">
        <f t="shared" ref="K37" si="166">IFERROR(J37/J$54,0%)</f>
        <v>0</v>
      </c>
      <c r="L37" s="16"/>
      <c r="M37" s="47">
        <f t="shared" ref="M37" si="167">IFERROR(L37/L$54,0%)</f>
        <v>0</v>
      </c>
      <c r="N37" s="16"/>
      <c r="O37" s="47">
        <f t="shared" ref="O37" si="168">IFERROR(N37/N$54,0%)</f>
        <v>0</v>
      </c>
      <c r="P37" s="16"/>
      <c r="Q37" s="47">
        <f t="shared" si="6"/>
        <v>0</v>
      </c>
      <c r="R37" s="16"/>
      <c r="S37" s="47">
        <f t="shared" si="7"/>
        <v>0</v>
      </c>
      <c r="T37" s="16"/>
      <c r="U37" s="47">
        <f t="shared" si="8"/>
        <v>0</v>
      </c>
    </row>
    <row r="38" spans="1:21" x14ac:dyDescent="0.25">
      <c r="A38" s="31" t="s">
        <v>110</v>
      </c>
      <c r="B38" s="16"/>
      <c r="C38" s="47">
        <f t="shared" si="0"/>
        <v>0</v>
      </c>
      <c r="D38" s="16"/>
      <c r="E38" s="47">
        <f t="shared" si="0"/>
        <v>0</v>
      </c>
      <c r="F38" s="16"/>
      <c r="G38" s="47">
        <f t="shared" ref="G38" si="169">IFERROR(F38/F$54,0%)</f>
        <v>0</v>
      </c>
      <c r="H38" s="16"/>
      <c r="I38" s="47">
        <f t="shared" ref="I38" si="170">IFERROR(H38/H$54,0%)</f>
        <v>0</v>
      </c>
      <c r="J38" s="16"/>
      <c r="K38" s="47">
        <f t="shared" ref="K38" si="171">IFERROR(J38/J$54,0%)</f>
        <v>0</v>
      </c>
      <c r="L38" s="16"/>
      <c r="M38" s="47">
        <f t="shared" ref="M38" si="172">IFERROR(L38/L$54,0%)</f>
        <v>0</v>
      </c>
      <c r="N38" s="16"/>
      <c r="O38" s="47">
        <f t="shared" ref="O38" si="173">IFERROR(N38/N$54,0%)</f>
        <v>0</v>
      </c>
      <c r="P38" s="16"/>
      <c r="Q38" s="47">
        <f t="shared" si="6"/>
        <v>0</v>
      </c>
      <c r="R38" s="16"/>
      <c r="S38" s="47">
        <f t="shared" si="7"/>
        <v>0</v>
      </c>
      <c r="T38" s="16"/>
      <c r="U38" s="47">
        <f t="shared" si="8"/>
        <v>0</v>
      </c>
    </row>
    <row r="39" spans="1:21" x14ac:dyDescent="0.25">
      <c r="A39" s="34" t="s">
        <v>111</v>
      </c>
      <c r="B39" s="16"/>
      <c r="C39" s="47">
        <f t="shared" si="0"/>
        <v>0</v>
      </c>
      <c r="D39" s="16"/>
      <c r="E39" s="47">
        <f t="shared" si="0"/>
        <v>0</v>
      </c>
      <c r="F39" s="16"/>
      <c r="G39" s="47">
        <f t="shared" ref="G39" si="174">IFERROR(F39/F$54,0%)</f>
        <v>0</v>
      </c>
      <c r="H39" s="16"/>
      <c r="I39" s="47">
        <f t="shared" ref="I39" si="175">IFERROR(H39/H$54,0%)</f>
        <v>0</v>
      </c>
      <c r="J39" s="16"/>
      <c r="K39" s="47">
        <f t="shared" ref="K39" si="176">IFERROR(J39/J$54,0%)</f>
        <v>0</v>
      </c>
      <c r="L39" s="16"/>
      <c r="M39" s="47">
        <f t="shared" ref="M39" si="177">IFERROR(L39/L$54,0%)</f>
        <v>0</v>
      </c>
      <c r="N39" s="16"/>
      <c r="O39" s="47">
        <f t="shared" ref="O39" si="178">IFERROR(N39/N$54,0%)</f>
        <v>0</v>
      </c>
      <c r="P39" s="16"/>
      <c r="Q39" s="47">
        <f t="shared" si="6"/>
        <v>0</v>
      </c>
      <c r="R39" s="16"/>
      <c r="S39" s="47">
        <f t="shared" si="7"/>
        <v>0</v>
      </c>
      <c r="T39" s="16"/>
      <c r="U39" s="47">
        <f t="shared" si="8"/>
        <v>0</v>
      </c>
    </row>
    <row r="40" spans="1:21" x14ac:dyDescent="0.25">
      <c r="A40" s="34" t="s">
        <v>112</v>
      </c>
      <c r="B40" s="16"/>
      <c r="C40" s="47">
        <f t="shared" si="0"/>
        <v>0</v>
      </c>
      <c r="D40" s="16"/>
      <c r="E40" s="47">
        <f t="shared" si="0"/>
        <v>0</v>
      </c>
      <c r="F40" s="16"/>
      <c r="G40" s="47">
        <f t="shared" ref="G40" si="179">IFERROR(F40/F$54,0%)</f>
        <v>0</v>
      </c>
      <c r="H40" s="16"/>
      <c r="I40" s="47">
        <f t="shared" ref="I40" si="180">IFERROR(H40/H$54,0%)</f>
        <v>0</v>
      </c>
      <c r="J40" s="16"/>
      <c r="K40" s="47">
        <f t="shared" ref="K40" si="181">IFERROR(J40/J$54,0%)</f>
        <v>0</v>
      </c>
      <c r="L40" s="16"/>
      <c r="M40" s="47">
        <f t="shared" ref="M40" si="182">IFERROR(L40/L$54,0%)</f>
        <v>0</v>
      </c>
      <c r="N40" s="16"/>
      <c r="O40" s="47">
        <f t="shared" ref="O40" si="183">IFERROR(N40/N$54,0%)</f>
        <v>0</v>
      </c>
      <c r="P40" s="16"/>
      <c r="Q40" s="47">
        <f t="shared" si="6"/>
        <v>0</v>
      </c>
      <c r="R40" s="16"/>
      <c r="S40" s="47">
        <f t="shared" si="7"/>
        <v>0</v>
      </c>
      <c r="T40" s="16"/>
      <c r="U40" s="47">
        <f t="shared" si="8"/>
        <v>0</v>
      </c>
    </row>
    <row r="41" spans="1:21" x14ac:dyDescent="0.25">
      <c r="A41" s="34" t="s">
        <v>113</v>
      </c>
      <c r="B41" s="16"/>
      <c r="C41" s="47">
        <f t="shared" si="0"/>
        <v>0</v>
      </c>
      <c r="D41" s="16"/>
      <c r="E41" s="47">
        <f t="shared" si="0"/>
        <v>0</v>
      </c>
      <c r="F41" s="16"/>
      <c r="G41" s="47">
        <f t="shared" ref="G41" si="184">IFERROR(F41/F$54,0%)</f>
        <v>0</v>
      </c>
      <c r="H41" s="16"/>
      <c r="I41" s="47">
        <f t="shared" ref="I41" si="185">IFERROR(H41/H$54,0%)</f>
        <v>0</v>
      </c>
      <c r="J41" s="16"/>
      <c r="K41" s="47">
        <f t="shared" ref="K41" si="186">IFERROR(J41/J$54,0%)</f>
        <v>0</v>
      </c>
      <c r="L41" s="16"/>
      <c r="M41" s="47">
        <f t="shared" ref="M41" si="187">IFERROR(L41/L$54,0%)</f>
        <v>0</v>
      </c>
      <c r="N41" s="16"/>
      <c r="O41" s="47">
        <f t="shared" ref="O41" si="188">IFERROR(N41/N$54,0%)</f>
        <v>0</v>
      </c>
      <c r="P41" s="16"/>
      <c r="Q41" s="47">
        <f t="shared" si="6"/>
        <v>0</v>
      </c>
      <c r="R41" s="16"/>
      <c r="S41" s="47">
        <f t="shared" si="7"/>
        <v>0</v>
      </c>
      <c r="T41" s="16"/>
      <c r="U41" s="47">
        <f t="shared" si="8"/>
        <v>0</v>
      </c>
    </row>
    <row r="42" spans="1:21" x14ac:dyDescent="0.25">
      <c r="A42" s="34" t="s">
        <v>114</v>
      </c>
      <c r="B42" s="16"/>
      <c r="C42" s="47">
        <f t="shared" si="0"/>
        <v>0</v>
      </c>
      <c r="D42" s="16"/>
      <c r="E42" s="47">
        <f t="shared" si="0"/>
        <v>0</v>
      </c>
      <c r="F42" s="16"/>
      <c r="G42" s="47">
        <f t="shared" ref="G42" si="189">IFERROR(F42/F$54,0%)</f>
        <v>0</v>
      </c>
      <c r="H42" s="16"/>
      <c r="I42" s="47">
        <f t="shared" ref="I42" si="190">IFERROR(H42/H$54,0%)</f>
        <v>0</v>
      </c>
      <c r="J42" s="16"/>
      <c r="K42" s="47">
        <f t="shared" ref="K42" si="191">IFERROR(J42/J$54,0%)</f>
        <v>0</v>
      </c>
      <c r="L42" s="16"/>
      <c r="M42" s="47">
        <f t="shared" ref="M42" si="192">IFERROR(L42/L$54,0%)</f>
        <v>0</v>
      </c>
      <c r="N42" s="16"/>
      <c r="O42" s="47">
        <f t="shared" ref="O42" si="193">IFERROR(N42/N$54,0%)</f>
        <v>0</v>
      </c>
      <c r="P42" s="16"/>
      <c r="Q42" s="47">
        <f t="shared" si="6"/>
        <v>0</v>
      </c>
      <c r="R42" s="16"/>
      <c r="S42" s="47">
        <f t="shared" si="7"/>
        <v>0</v>
      </c>
      <c r="T42" s="16"/>
      <c r="U42" s="47">
        <f t="shared" si="8"/>
        <v>0</v>
      </c>
    </row>
    <row r="43" spans="1:21" x14ac:dyDescent="0.25">
      <c r="A43" s="34" t="s">
        <v>115</v>
      </c>
      <c r="B43" s="16"/>
      <c r="C43" s="47">
        <f t="shared" si="0"/>
        <v>0</v>
      </c>
      <c r="D43" s="16"/>
      <c r="E43" s="47">
        <f t="shared" si="0"/>
        <v>0</v>
      </c>
      <c r="F43" s="16"/>
      <c r="G43" s="47">
        <f t="shared" ref="G43" si="194">IFERROR(F43/F$54,0%)</f>
        <v>0</v>
      </c>
      <c r="H43" s="16"/>
      <c r="I43" s="47">
        <f t="shared" ref="I43" si="195">IFERROR(H43/H$54,0%)</f>
        <v>0</v>
      </c>
      <c r="J43" s="16"/>
      <c r="K43" s="47">
        <f t="shared" ref="K43" si="196">IFERROR(J43/J$54,0%)</f>
        <v>0</v>
      </c>
      <c r="L43" s="16"/>
      <c r="M43" s="47">
        <f t="shared" ref="M43" si="197">IFERROR(L43/L$54,0%)</f>
        <v>0</v>
      </c>
      <c r="N43" s="16"/>
      <c r="O43" s="47">
        <f t="shared" ref="O43" si="198">IFERROR(N43/N$54,0%)</f>
        <v>0</v>
      </c>
      <c r="P43" s="16"/>
      <c r="Q43" s="47">
        <f t="shared" si="6"/>
        <v>0</v>
      </c>
      <c r="R43" s="16"/>
      <c r="S43" s="47">
        <f t="shared" si="7"/>
        <v>0</v>
      </c>
      <c r="T43" s="16"/>
      <c r="U43" s="47">
        <f t="shared" si="8"/>
        <v>0</v>
      </c>
    </row>
    <row r="44" spans="1:21" x14ac:dyDescent="0.25">
      <c r="A44" s="34" t="s">
        <v>116</v>
      </c>
      <c r="B44" s="16"/>
      <c r="C44" s="47">
        <f t="shared" si="0"/>
        <v>0</v>
      </c>
      <c r="D44" s="16"/>
      <c r="E44" s="47">
        <f t="shared" si="0"/>
        <v>0</v>
      </c>
      <c r="F44" s="16"/>
      <c r="G44" s="47">
        <f t="shared" ref="G44" si="199">IFERROR(F44/F$54,0%)</f>
        <v>0</v>
      </c>
      <c r="H44" s="16"/>
      <c r="I44" s="47">
        <f t="shared" ref="I44" si="200">IFERROR(H44/H$54,0%)</f>
        <v>0</v>
      </c>
      <c r="J44" s="16"/>
      <c r="K44" s="47">
        <f t="shared" ref="K44" si="201">IFERROR(J44/J$54,0%)</f>
        <v>0</v>
      </c>
      <c r="L44" s="16"/>
      <c r="M44" s="47">
        <f t="shared" ref="M44" si="202">IFERROR(L44/L$54,0%)</f>
        <v>0</v>
      </c>
      <c r="N44" s="16"/>
      <c r="O44" s="47">
        <f t="shared" ref="O44" si="203">IFERROR(N44/N$54,0%)</f>
        <v>0</v>
      </c>
      <c r="P44" s="16"/>
      <c r="Q44" s="47">
        <f t="shared" si="6"/>
        <v>0</v>
      </c>
      <c r="R44" s="16"/>
      <c r="S44" s="47">
        <f t="shared" si="7"/>
        <v>0</v>
      </c>
      <c r="T44" s="16"/>
      <c r="U44" s="47">
        <f t="shared" si="8"/>
        <v>0</v>
      </c>
    </row>
    <row r="45" spans="1:21" x14ac:dyDescent="0.25">
      <c r="A45" s="34" t="s">
        <v>117</v>
      </c>
      <c r="B45" s="16"/>
      <c r="C45" s="47">
        <f t="shared" si="0"/>
        <v>0</v>
      </c>
      <c r="D45" s="16"/>
      <c r="E45" s="47">
        <f t="shared" si="0"/>
        <v>0</v>
      </c>
      <c r="F45" s="16"/>
      <c r="G45" s="47">
        <f t="shared" ref="G45" si="204">IFERROR(F45/F$54,0%)</f>
        <v>0</v>
      </c>
      <c r="H45" s="16"/>
      <c r="I45" s="47">
        <f t="shared" ref="I45" si="205">IFERROR(H45/H$54,0%)</f>
        <v>0</v>
      </c>
      <c r="J45" s="16"/>
      <c r="K45" s="47">
        <f t="shared" ref="K45" si="206">IFERROR(J45/J$54,0%)</f>
        <v>0</v>
      </c>
      <c r="L45" s="16"/>
      <c r="M45" s="47">
        <f t="shared" ref="M45" si="207">IFERROR(L45/L$54,0%)</f>
        <v>0</v>
      </c>
      <c r="N45" s="16"/>
      <c r="O45" s="47">
        <f t="shared" ref="O45" si="208">IFERROR(N45/N$54,0%)</f>
        <v>0</v>
      </c>
      <c r="P45" s="16"/>
      <c r="Q45" s="47">
        <f t="shared" si="6"/>
        <v>0</v>
      </c>
      <c r="R45" s="16"/>
      <c r="S45" s="47">
        <f t="shared" si="7"/>
        <v>0</v>
      </c>
      <c r="T45" s="16"/>
      <c r="U45" s="47">
        <f t="shared" si="8"/>
        <v>0</v>
      </c>
    </row>
    <row r="46" spans="1:21" x14ac:dyDescent="0.25">
      <c r="A46" s="34" t="s">
        <v>118</v>
      </c>
      <c r="B46" s="16"/>
      <c r="C46" s="47">
        <f t="shared" si="0"/>
        <v>0</v>
      </c>
      <c r="D46" s="16"/>
      <c r="E46" s="47">
        <f t="shared" si="0"/>
        <v>0</v>
      </c>
      <c r="F46" s="16"/>
      <c r="G46" s="47">
        <f t="shared" ref="G46" si="209">IFERROR(F46/F$54,0%)</f>
        <v>0</v>
      </c>
      <c r="H46" s="16"/>
      <c r="I46" s="47">
        <f t="shared" ref="I46" si="210">IFERROR(H46/H$54,0%)</f>
        <v>0</v>
      </c>
      <c r="J46" s="16"/>
      <c r="K46" s="47">
        <f t="shared" ref="K46" si="211">IFERROR(J46/J$54,0%)</f>
        <v>0</v>
      </c>
      <c r="L46" s="16"/>
      <c r="M46" s="47">
        <f t="shared" ref="M46" si="212">IFERROR(L46/L$54,0%)</f>
        <v>0</v>
      </c>
      <c r="N46" s="16"/>
      <c r="O46" s="47">
        <f t="shared" ref="O46" si="213">IFERROR(N46/N$54,0%)</f>
        <v>0</v>
      </c>
      <c r="P46" s="16"/>
      <c r="Q46" s="47">
        <f t="shared" si="6"/>
        <v>0</v>
      </c>
      <c r="R46" s="16"/>
      <c r="S46" s="47">
        <f t="shared" si="7"/>
        <v>0</v>
      </c>
      <c r="T46" s="16"/>
      <c r="U46" s="47">
        <f t="shared" si="8"/>
        <v>0</v>
      </c>
    </row>
    <row r="47" spans="1:21" x14ac:dyDescent="0.25">
      <c r="A47" s="31" t="s">
        <v>77</v>
      </c>
      <c r="B47" s="16"/>
      <c r="C47" s="47">
        <f t="shared" si="0"/>
        <v>0</v>
      </c>
      <c r="D47" s="16"/>
      <c r="E47" s="47">
        <f t="shared" si="0"/>
        <v>0</v>
      </c>
      <c r="F47" s="16"/>
      <c r="G47" s="47">
        <f t="shared" ref="G47" si="214">IFERROR(F47/F$54,0%)</f>
        <v>0</v>
      </c>
      <c r="H47" s="16"/>
      <c r="I47" s="47">
        <f t="shared" ref="I47" si="215">IFERROR(H47/H$54,0%)</f>
        <v>0</v>
      </c>
      <c r="J47" s="16"/>
      <c r="K47" s="47">
        <f t="shared" ref="K47" si="216">IFERROR(J47/J$54,0%)</f>
        <v>0</v>
      </c>
      <c r="L47" s="16"/>
      <c r="M47" s="47">
        <f t="shared" ref="M47" si="217">IFERROR(L47/L$54,0%)</f>
        <v>0</v>
      </c>
      <c r="N47" s="16"/>
      <c r="O47" s="47">
        <f t="shared" ref="O47" si="218">IFERROR(N47/N$54,0%)</f>
        <v>0</v>
      </c>
      <c r="P47" s="16"/>
      <c r="Q47" s="47">
        <f t="shared" si="6"/>
        <v>0</v>
      </c>
      <c r="R47" s="16"/>
      <c r="S47" s="47">
        <f t="shared" si="7"/>
        <v>0</v>
      </c>
      <c r="T47" s="16"/>
      <c r="U47" s="47">
        <f t="shared" si="8"/>
        <v>0</v>
      </c>
    </row>
    <row r="48" spans="1:21" x14ac:dyDescent="0.25">
      <c r="A48" s="31" t="s">
        <v>185</v>
      </c>
      <c r="B48" s="16"/>
      <c r="C48" s="47">
        <f t="shared" si="0"/>
        <v>0</v>
      </c>
      <c r="D48" s="16"/>
      <c r="E48" s="47">
        <f t="shared" si="0"/>
        <v>0</v>
      </c>
      <c r="F48" s="16"/>
      <c r="G48" s="47">
        <f t="shared" ref="G48" si="219">IFERROR(F48/F$54,0%)</f>
        <v>0</v>
      </c>
      <c r="H48" s="16"/>
      <c r="I48" s="47">
        <f t="shared" ref="I48" si="220">IFERROR(H48/H$54,0%)</f>
        <v>0</v>
      </c>
      <c r="J48" s="16"/>
      <c r="K48" s="47">
        <f t="shared" ref="K48" si="221">IFERROR(J48/J$54,0%)</f>
        <v>0</v>
      </c>
      <c r="L48" s="16"/>
      <c r="M48" s="47">
        <f t="shared" ref="M48" si="222">IFERROR(L48/L$54,0%)</f>
        <v>0</v>
      </c>
      <c r="N48" s="16"/>
      <c r="O48" s="47">
        <f t="shared" ref="O48" si="223">IFERROR(N48/N$54,0%)</f>
        <v>0</v>
      </c>
      <c r="P48" s="16"/>
      <c r="Q48" s="47">
        <f t="shared" si="6"/>
        <v>0</v>
      </c>
      <c r="R48" s="16"/>
      <c r="S48" s="47">
        <f t="shared" si="7"/>
        <v>0</v>
      </c>
      <c r="T48" s="16"/>
      <c r="U48" s="47">
        <f t="shared" si="8"/>
        <v>0</v>
      </c>
    </row>
    <row r="49" spans="1:21" x14ac:dyDescent="0.25">
      <c r="A49" s="46" t="s">
        <v>186</v>
      </c>
      <c r="B49" s="16"/>
      <c r="C49" s="47">
        <f t="shared" si="0"/>
        <v>0</v>
      </c>
      <c r="D49" s="16"/>
      <c r="E49" s="47">
        <f t="shared" si="0"/>
        <v>0</v>
      </c>
      <c r="F49" s="16"/>
      <c r="G49" s="47">
        <f t="shared" ref="G49" si="224">IFERROR(F49/F$54,0%)</f>
        <v>0</v>
      </c>
      <c r="H49" s="16"/>
      <c r="I49" s="47">
        <f t="shared" ref="I49" si="225">IFERROR(H49/H$54,0%)</f>
        <v>0</v>
      </c>
      <c r="J49" s="16"/>
      <c r="K49" s="47">
        <f t="shared" ref="K49" si="226">IFERROR(J49/J$54,0%)</f>
        <v>0</v>
      </c>
      <c r="L49" s="16"/>
      <c r="M49" s="47">
        <f t="shared" ref="M49" si="227">IFERROR(L49/L$54,0%)</f>
        <v>0</v>
      </c>
      <c r="N49" s="16"/>
      <c r="O49" s="47">
        <f t="shared" ref="O49" si="228">IFERROR(N49/N$54,0%)</f>
        <v>0</v>
      </c>
      <c r="P49" s="16"/>
      <c r="Q49" s="47">
        <f t="shared" si="6"/>
        <v>0</v>
      </c>
      <c r="R49" s="16"/>
      <c r="S49" s="47">
        <f t="shared" si="7"/>
        <v>0</v>
      </c>
      <c r="T49" s="16"/>
      <c r="U49" s="47">
        <f t="shared" si="8"/>
        <v>0</v>
      </c>
    </row>
    <row r="50" spans="1:21" x14ac:dyDescent="0.25">
      <c r="A50" s="46" t="s">
        <v>187</v>
      </c>
      <c r="B50" s="16"/>
      <c r="C50" s="47">
        <f t="shared" si="0"/>
        <v>0</v>
      </c>
      <c r="D50" s="16"/>
      <c r="E50" s="47">
        <f t="shared" si="0"/>
        <v>0</v>
      </c>
      <c r="F50" s="16"/>
      <c r="G50" s="47">
        <f t="shared" ref="G50" si="229">IFERROR(F50/F$54,0%)</f>
        <v>0</v>
      </c>
      <c r="H50" s="16"/>
      <c r="I50" s="47">
        <f t="shared" ref="I50" si="230">IFERROR(H50/H$54,0%)</f>
        <v>0</v>
      </c>
      <c r="J50" s="16"/>
      <c r="K50" s="47">
        <f t="shared" ref="K50" si="231">IFERROR(J50/J$54,0%)</f>
        <v>0</v>
      </c>
      <c r="L50" s="16"/>
      <c r="M50" s="47">
        <f t="shared" ref="M50" si="232">IFERROR(L50/L$54,0%)</f>
        <v>0</v>
      </c>
      <c r="N50" s="16"/>
      <c r="O50" s="47">
        <f t="shared" ref="O50" si="233">IFERROR(N50/N$54,0%)</f>
        <v>0</v>
      </c>
      <c r="P50" s="16"/>
      <c r="Q50" s="47">
        <f t="shared" si="6"/>
        <v>0</v>
      </c>
      <c r="R50" s="16"/>
      <c r="S50" s="47">
        <f t="shared" si="7"/>
        <v>0</v>
      </c>
      <c r="T50" s="16"/>
      <c r="U50" s="47">
        <f t="shared" si="8"/>
        <v>0</v>
      </c>
    </row>
    <row r="51" spans="1:21" x14ac:dyDescent="0.25">
      <c r="A51" s="46" t="s">
        <v>188</v>
      </c>
      <c r="B51" s="16"/>
      <c r="C51" s="47">
        <f t="shared" si="0"/>
        <v>0</v>
      </c>
      <c r="D51" s="16"/>
      <c r="E51" s="47">
        <f t="shared" si="0"/>
        <v>0</v>
      </c>
      <c r="F51" s="16"/>
      <c r="G51" s="47">
        <f t="shared" ref="G51" si="234">IFERROR(F51/F$54,0%)</f>
        <v>0</v>
      </c>
      <c r="H51" s="16"/>
      <c r="I51" s="47">
        <f t="shared" ref="I51" si="235">IFERROR(H51/H$54,0%)</f>
        <v>0</v>
      </c>
      <c r="J51" s="16"/>
      <c r="K51" s="47">
        <f t="shared" ref="K51" si="236">IFERROR(J51/J$54,0%)</f>
        <v>0</v>
      </c>
      <c r="L51" s="16"/>
      <c r="M51" s="47">
        <f t="shared" ref="M51" si="237">IFERROR(L51/L$54,0%)</f>
        <v>0</v>
      </c>
      <c r="N51" s="16"/>
      <c r="O51" s="47">
        <f t="shared" ref="O51" si="238">IFERROR(N51/N$54,0%)</f>
        <v>0</v>
      </c>
      <c r="P51" s="16"/>
      <c r="Q51" s="47">
        <f t="shared" si="6"/>
        <v>0</v>
      </c>
      <c r="R51" s="16"/>
      <c r="S51" s="47">
        <f t="shared" si="7"/>
        <v>0</v>
      </c>
      <c r="T51" s="16"/>
      <c r="U51" s="47">
        <f t="shared" si="8"/>
        <v>0</v>
      </c>
    </row>
    <row r="52" spans="1:21" x14ac:dyDescent="0.25">
      <c r="A52" s="38" t="s">
        <v>189</v>
      </c>
      <c r="B52" s="16"/>
      <c r="C52" s="47">
        <f t="shared" si="0"/>
        <v>0</v>
      </c>
      <c r="D52" s="16"/>
      <c r="E52" s="47">
        <f t="shared" si="0"/>
        <v>0</v>
      </c>
      <c r="F52" s="16"/>
      <c r="G52" s="47">
        <f t="shared" ref="G52" si="239">IFERROR(F52/F$54,0%)</f>
        <v>0</v>
      </c>
      <c r="H52" s="16"/>
      <c r="I52" s="47">
        <f t="shared" ref="I52" si="240">IFERROR(H52/H$54,0%)</f>
        <v>0</v>
      </c>
      <c r="J52" s="16"/>
      <c r="K52" s="47">
        <f t="shared" ref="K52" si="241">IFERROR(J52/J$54,0%)</f>
        <v>0</v>
      </c>
      <c r="L52" s="16"/>
      <c r="M52" s="47">
        <f t="shared" ref="M52" si="242">IFERROR(L52/L$54,0%)</f>
        <v>0</v>
      </c>
      <c r="N52" s="16"/>
      <c r="O52" s="47">
        <f t="shared" ref="O52" si="243">IFERROR(N52/N$54,0%)</f>
        <v>0</v>
      </c>
      <c r="P52" s="16"/>
      <c r="Q52" s="47">
        <f t="shared" si="6"/>
        <v>0</v>
      </c>
      <c r="R52" s="16"/>
      <c r="S52" s="47">
        <f t="shared" si="7"/>
        <v>0</v>
      </c>
      <c r="T52" s="16"/>
      <c r="U52" s="47">
        <f t="shared" si="8"/>
        <v>0</v>
      </c>
    </row>
    <row r="53" spans="1:21" x14ac:dyDescent="0.25">
      <c r="A53" s="31" t="s">
        <v>190</v>
      </c>
      <c r="B53" s="16"/>
      <c r="C53" s="47">
        <f t="shared" si="0"/>
        <v>0</v>
      </c>
      <c r="D53" s="16"/>
      <c r="E53" s="47">
        <f t="shared" si="0"/>
        <v>0</v>
      </c>
      <c r="F53" s="16"/>
      <c r="G53" s="47">
        <f t="shared" ref="G53" si="244">IFERROR(F53/F$54,0%)</f>
        <v>0</v>
      </c>
      <c r="H53" s="16"/>
      <c r="I53" s="47">
        <f t="shared" ref="I53" si="245">IFERROR(H53/H$54,0%)</f>
        <v>0</v>
      </c>
      <c r="J53" s="16"/>
      <c r="K53" s="47">
        <f t="shared" ref="K53" si="246">IFERROR(J53/J$54,0%)</f>
        <v>0</v>
      </c>
      <c r="L53" s="16"/>
      <c r="M53" s="47">
        <f t="shared" ref="M53" si="247">IFERROR(L53/L$54,0%)</f>
        <v>0</v>
      </c>
      <c r="N53" s="16"/>
      <c r="O53" s="47">
        <f t="shared" ref="O53" si="248">IFERROR(N53/N$54,0%)</f>
        <v>0</v>
      </c>
      <c r="P53" s="16"/>
      <c r="Q53" s="47">
        <f t="shared" si="6"/>
        <v>0</v>
      </c>
      <c r="R53" s="16"/>
      <c r="S53" s="47">
        <f t="shared" si="7"/>
        <v>0</v>
      </c>
      <c r="T53" s="16"/>
      <c r="U53" s="47">
        <f t="shared" si="8"/>
        <v>0</v>
      </c>
    </row>
    <row r="54" spans="1:21" x14ac:dyDescent="0.25">
      <c r="B54" s="45">
        <f>SUM(B4:B53)</f>
        <v>0</v>
      </c>
      <c r="D54" s="45">
        <f>SUM(D4:D53)</f>
        <v>0</v>
      </c>
      <c r="F54" s="45">
        <f>SUM(F4:F53)</f>
        <v>0</v>
      </c>
      <c r="H54" s="45">
        <f>SUM(H4:H53)</f>
        <v>0</v>
      </c>
      <c r="J54" s="45">
        <f>SUM(J4:J53)</f>
        <v>0</v>
      </c>
      <c r="L54" s="45">
        <f>SUM(L4:L53)</f>
        <v>0</v>
      </c>
      <c r="N54" s="45">
        <f>SUM(N4:N53)</f>
        <v>0</v>
      </c>
      <c r="P54" s="45">
        <f>SUM(P4:P53)</f>
        <v>0</v>
      </c>
      <c r="R54" s="45">
        <f>SUM(R4:R53)</f>
        <v>0</v>
      </c>
      <c r="T54" s="45">
        <f>SUM(T4:T53)</f>
        <v>0</v>
      </c>
    </row>
  </sheetData>
  <mergeCells count="12">
    <mergeCell ref="H2:I2"/>
    <mergeCell ref="J2:K2"/>
    <mergeCell ref="L1:U1"/>
    <mergeCell ref="L2:M2"/>
    <mergeCell ref="N2:O2"/>
    <mergeCell ref="P2:Q2"/>
    <mergeCell ref="R2:S2"/>
    <mergeCell ref="T2:U2"/>
    <mergeCell ref="B1:K1"/>
    <mergeCell ref="B2:C2"/>
    <mergeCell ref="D2:E2"/>
    <mergeCell ref="F2:G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B56"/>
  <sheetViews>
    <sheetView zoomScale="40" zoomScaleNormal="40" workbookViewId="0">
      <selection activeCell="B2" sqref="B2:DB2"/>
    </sheetView>
  </sheetViews>
  <sheetFormatPr defaultRowHeight="15" x14ac:dyDescent="0.25"/>
  <cols>
    <col min="1" max="1" width="36.140625" style="39" customWidth="1"/>
    <col min="2" max="16384" width="9.140625" style="39"/>
  </cols>
  <sheetData>
    <row r="1" spans="1:158" ht="15.75" thickBot="1" x14ac:dyDescent="0.3">
      <c r="B1" s="66" t="s">
        <v>33</v>
      </c>
      <c r="C1" s="67"/>
      <c r="D1" s="67"/>
      <c r="E1" s="67"/>
      <c r="F1" s="67"/>
      <c r="G1" s="67"/>
      <c r="H1" s="67"/>
      <c r="I1" s="67"/>
      <c r="J1" s="67"/>
      <c r="K1" s="68"/>
      <c r="L1" s="66" t="s">
        <v>37</v>
      </c>
      <c r="M1" s="67"/>
      <c r="N1" s="67"/>
      <c r="O1" s="67"/>
      <c r="P1" s="67"/>
      <c r="Q1" s="67"/>
      <c r="R1" s="67"/>
      <c r="S1" s="67"/>
      <c r="T1" s="67"/>
      <c r="U1" s="68"/>
      <c r="V1" s="66" t="s">
        <v>53</v>
      </c>
      <c r="W1" s="67"/>
      <c r="X1" s="67"/>
      <c r="Y1" s="67"/>
      <c r="Z1" s="67"/>
      <c r="AA1" s="67"/>
      <c r="AB1" s="67"/>
      <c r="AC1" s="67"/>
      <c r="AD1" s="67"/>
      <c r="AE1" s="68"/>
      <c r="AF1" s="66" t="s">
        <v>55</v>
      </c>
      <c r="AG1" s="67"/>
      <c r="AH1" s="67"/>
      <c r="AI1" s="67"/>
      <c r="AJ1" s="67"/>
      <c r="AK1" s="67"/>
      <c r="AL1" s="67"/>
      <c r="AM1" s="67"/>
      <c r="AN1" s="67"/>
      <c r="AO1" s="68"/>
    </row>
    <row r="2" spans="1:158" x14ac:dyDescent="0.25">
      <c r="B2" s="64">
        <f ca="1">SunDates!$H1</f>
        <v>43435</v>
      </c>
      <c r="C2" s="65"/>
      <c r="D2" s="64">
        <f ca="1">SunDates!$H2</f>
        <v>43442</v>
      </c>
      <c r="E2" s="65"/>
      <c r="F2" s="64">
        <f ca="1">SunDates!$H3</f>
        <v>43449</v>
      </c>
      <c r="G2" s="65"/>
      <c r="H2" s="64">
        <f ca="1">SunDates!$H4</f>
        <v>43456</v>
      </c>
      <c r="I2" s="65"/>
      <c r="J2" s="64">
        <f ca="1">SunDates!$H5</f>
        <v>43463</v>
      </c>
      <c r="K2" s="65"/>
      <c r="L2" s="64">
        <f ca="1">SunDates!$H1</f>
        <v>43435</v>
      </c>
      <c r="M2" s="65"/>
      <c r="N2" s="64">
        <f ca="1">SunDates!$H2</f>
        <v>43442</v>
      </c>
      <c r="O2" s="65"/>
      <c r="P2" s="64">
        <f ca="1">SunDates!$H3</f>
        <v>43449</v>
      </c>
      <c r="Q2" s="65"/>
      <c r="R2" s="64">
        <f ca="1">SunDates!$H4</f>
        <v>43456</v>
      </c>
      <c r="S2" s="65"/>
      <c r="T2" s="64">
        <f ca="1">SunDates!$H5</f>
        <v>43463</v>
      </c>
      <c r="U2" s="65"/>
      <c r="V2" s="64">
        <f ca="1">SunDates!$H1</f>
        <v>43435</v>
      </c>
      <c r="W2" s="65"/>
      <c r="X2" s="64">
        <f ca="1">SunDates!$H2</f>
        <v>43442</v>
      </c>
      <c r="Y2" s="65"/>
      <c r="Z2" s="64">
        <f ca="1">SunDates!$H3</f>
        <v>43449</v>
      </c>
      <c r="AA2" s="65"/>
      <c r="AB2" s="64">
        <f ca="1">SunDates!$H4</f>
        <v>43456</v>
      </c>
      <c r="AC2" s="65"/>
      <c r="AD2" s="64">
        <f ca="1">SunDates!$H5</f>
        <v>43463</v>
      </c>
      <c r="AE2" s="65"/>
      <c r="AF2" s="64">
        <f ca="1">SunDates!$H1</f>
        <v>43435</v>
      </c>
      <c r="AG2" s="65"/>
      <c r="AH2" s="64">
        <f ca="1">SunDates!$H2</f>
        <v>43442</v>
      </c>
      <c r="AI2" s="65"/>
      <c r="AJ2" s="64">
        <f ca="1">SunDates!$H3</f>
        <v>43449</v>
      </c>
      <c r="AK2" s="65"/>
      <c r="AL2" s="64">
        <f ca="1">SunDates!$H4</f>
        <v>43456</v>
      </c>
      <c r="AM2" s="65"/>
      <c r="AN2" s="64">
        <f ca="1">SunDates!$H5</f>
        <v>43463</v>
      </c>
      <c r="AO2" s="65"/>
      <c r="BB2" s="64">
        <f ca="1">SunDates!$H1</f>
        <v>43435</v>
      </c>
      <c r="BC2" s="65"/>
      <c r="BD2" s="64">
        <f ca="1">SunDates!$H2</f>
        <v>43442</v>
      </c>
      <c r="BE2" s="65"/>
      <c r="BF2" s="64">
        <f ca="1">SunDates!$H3</f>
        <v>43449</v>
      </c>
      <c r="BG2" s="65"/>
      <c r="BH2" s="64">
        <f ca="1">SunDates!$H4</f>
        <v>43456</v>
      </c>
      <c r="BI2" s="65"/>
      <c r="BJ2" s="64">
        <f ca="1">SunDates!$H5</f>
        <v>43463</v>
      </c>
      <c r="BK2" s="65"/>
      <c r="BL2" s="64">
        <f ca="1">SunDates!$H1</f>
        <v>43435</v>
      </c>
      <c r="BM2" s="65"/>
      <c r="BN2" s="64">
        <f ca="1">SunDates!$H2</f>
        <v>43442</v>
      </c>
      <c r="BO2" s="65"/>
      <c r="BP2" s="64">
        <f ca="1">SunDates!$H3</f>
        <v>43449</v>
      </c>
      <c r="BQ2" s="65"/>
      <c r="BR2" s="64">
        <f ca="1">SunDates!$H4</f>
        <v>43456</v>
      </c>
      <c r="BS2" s="65"/>
      <c r="BT2" s="64">
        <f ca="1">SunDates!$H5</f>
        <v>43463</v>
      </c>
      <c r="BU2" s="65"/>
      <c r="BV2" s="64">
        <f ca="1">SunDates!$H1</f>
        <v>43435</v>
      </c>
      <c r="BW2" s="65"/>
      <c r="BX2" s="64">
        <f ca="1">SunDates!$H2</f>
        <v>43442</v>
      </c>
      <c r="BY2" s="65"/>
      <c r="BZ2" s="64">
        <f ca="1">SunDates!$H3</f>
        <v>43449</v>
      </c>
      <c r="CA2" s="65"/>
      <c r="CB2" s="64">
        <f ca="1">SunDates!$H4</f>
        <v>43456</v>
      </c>
      <c r="CC2" s="65"/>
      <c r="CD2" s="64">
        <f ca="1">SunDates!$H5</f>
        <v>43463</v>
      </c>
      <c r="CE2" s="65"/>
      <c r="CF2" s="64">
        <f ca="1">SunDates!$H1</f>
        <v>43435</v>
      </c>
      <c r="CG2" s="65"/>
      <c r="CH2" s="64">
        <f ca="1">SunDates!$H2</f>
        <v>43442</v>
      </c>
      <c r="CI2" s="65"/>
      <c r="CJ2" s="64">
        <f ca="1">SunDates!$H3</f>
        <v>43449</v>
      </c>
      <c r="CK2" s="65"/>
      <c r="CL2" s="64">
        <f ca="1">SunDates!$H4</f>
        <v>43456</v>
      </c>
      <c r="CM2" s="65"/>
      <c r="CN2" s="64">
        <f ca="1">SunDates!$H5</f>
        <v>43463</v>
      </c>
      <c r="CO2" s="65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0"/>
      <c r="ED2" s="40"/>
      <c r="EE2" s="40"/>
      <c r="EF2" s="40"/>
      <c r="EG2" s="40"/>
      <c r="EH2" s="40"/>
      <c r="EI2" s="40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</row>
    <row r="3" spans="1:158" ht="15.75" thickBot="1" x14ac:dyDescent="0.3">
      <c r="B3" s="42" t="s">
        <v>195</v>
      </c>
      <c r="C3" s="43" t="s">
        <v>196</v>
      </c>
      <c r="D3" s="43" t="s">
        <v>195</v>
      </c>
      <c r="E3" s="43" t="s">
        <v>196</v>
      </c>
      <c r="F3" s="43" t="s">
        <v>195</v>
      </c>
      <c r="G3" s="43" t="s">
        <v>196</v>
      </c>
      <c r="H3" s="43" t="s">
        <v>195</v>
      </c>
      <c r="I3" s="43" t="s">
        <v>196</v>
      </c>
      <c r="J3" s="43" t="s">
        <v>195</v>
      </c>
      <c r="K3" s="44" t="s">
        <v>196</v>
      </c>
      <c r="L3" s="42" t="s">
        <v>195</v>
      </c>
      <c r="M3" s="43" t="s">
        <v>196</v>
      </c>
      <c r="N3" s="43" t="s">
        <v>195</v>
      </c>
      <c r="O3" s="43" t="s">
        <v>196</v>
      </c>
      <c r="P3" s="43" t="s">
        <v>195</v>
      </c>
      <c r="Q3" s="43" t="s">
        <v>196</v>
      </c>
      <c r="R3" s="43" t="s">
        <v>195</v>
      </c>
      <c r="S3" s="43" t="s">
        <v>196</v>
      </c>
      <c r="T3" s="43" t="s">
        <v>195</v>
      </c>
      <c r="U3" s="44" t="s">
        <v>196</v>
      </c>
      <c r="V3" s="42" t="s">
        <v>195</v>
      </c>
      <c r="W3" s="43" t="s">
        <v>196</v>
      </c>
      <c r="X3" s="43" t="s">
        <v>195</v>
      </c>
      <c r="Y3" s="43" t="s">
        <v>196</v>
      </c>
      <c r="Z3" s="43" t="s">
        <v>195</v>
      </c>
      <c r="AA3" s="43" t="s">
        <v>196</v>
      </c>
      <c r="AB3" s="43" t="s">
        <v>195</v>
      </c>
      <c r="AC3" s="43" t="s">
        <v>196</v>
      </c>
      <c r="AD3" s="43" t="s">
        <v>195</v>
      </c>
      <c r="AE3" s="44" t="s">
        <v>196</v>
      </c>
      <c r="AF3" s="42" t="s">
        <v>195</v>
      </c>
      <c r="AG3" s="43" t="s">
        <v>196</v>
      </c>
      <c r="AH3" s="43" t="s">
        <v>195</v>
      </c>
      <c r="AI3" s="43" t="s">
        <v>196</v>
      </c>
      <c r="AJ3" s="43" t="s">
        <v>195</v>
      </c>
      <c r="AK3" s="43" t="s">
        <v>196</v>
      </c>
      <c r="AL3" s="43" t="s">
        <v>195</v>
      </c>
      <c r="AM3" s="43" t="s">
        <v>196</v>
      </c>
      <c r="AN3" s="43" t="s">
        <v>195</v>
      </c>
      <c r="AO3" s="44" t="s">
        <v>196</v>
      </c>
    </row>
    <row r="4" spans="1:158" x14ac:dyDescent="0.25">
      <c r="A4" s="31" t="s">
        <v>87</v>
      </c>
      <c r="B4" s="16"/>
      <c r="C4" s="47">
        <f>IFERROR(B4/B$54,0%)</f>
        <v>0</v>
      </c>
      <c r="D4" s="16"/>
      <c r="E4" s="47">
        <f>IFERROR(D4/D$54,0%)</f>
        <v>0</v>
      </c>
      <c r="F4" s="16"/>
      <c r="G4" s="47">
        <f>IFERROR(F4/F$54,0%)</f>
        <v>0</v>
      </c>
      <c r="H4" s="16"/>
      <c r="I4" s="47">
        <f>IFERROR(H4/H$54,0%)</f>
        <v>0</v>
      </c>
      <c r="J4" s="16">
        <v>0.10555555555555629</v>
      </c>
      <c r="K4" s="47">
        <f>IFERROR(J4/J$54,0%)</f>
        <v>1.3927066153564326E-2</v>
      </c>
      <c r="L4" s="16"/>
      <c r="M4" s="47">
        <f>IFERROR(L4/L$54,0%)</f>
        <v>0</v>
      </c>
      <c r="N4" s="16"/>
      <c r="O4" s="47">
        <f>IFERROR(N4/N$54,0%)</f>
        <v>0</v>
      </c>
      <c r="P4" s="16"/>
      <c r="Q4" s="47">
        <f>IFERROR(P4/P$54,0%)</f>
        <v>0</v>
      </c>
      <c r="R4" s="16"/>
      <c r="S4" s="47">
        <f>IFERROR(R4/R$54,0%)</f>
        <v>0</v>
      </c>
      <c r="T4" s="16"/>
      <c r="U4" s="47">
        <f>IFERROR(T4/T$54,0%)</f>
        <v>0</v>
      </c>
      <c r="V4" s="16"/>
      <c r="W4" s="47">
        <f>IFERROR(V4/V$54,0%)</f>
        <v>0</v>
      </c>
      <c r="X4" s="16"/>
      <c r="Y4" s="47">
        <f>IFERROR(X4/X$54,0%)</f>
        <v>0</v>
      </c>
      <c r="Z4" s="16"/>
      <c r="AA4" s="47">
        <f>IFERROR(Z4/Z$54,0%)</f>
        <v>0</v>
      </c>
      <c r="AB4" s="16"/>
      <c r="AC4" s="47">
        <f>IFERROR(AB4/AB$54,0%)</f>
        <v>0</v>
      </c>
      <c r="AD4" s="16"/>
      <c r="AE4" s="47">
        <f>IFERROR(AD4/AD$54,0%)</f>
        <v>0</v>
      </c>
      <c r="AF4" s="16"/>
      <c r="AG4" s="47">
        <f>IFERROR(AF4/AF$54,0%)</f>
        <v>0</v>
      </c>
      <c r="AH4" s="16"/>
      <c r="AI4" s="47">
        <f>IFERROR(AH4/AH$54,0%)</f>
        <v>0</v>
      </c>
      <c r="AJ4" s="16"/>
      <c r="AK4" s="47">
        <f>IFERROR(AJ4/AJ$54,0%)</f>
        <v>0</v>
      </c>
      <c r="AL4" s="16"/>
      <c r="AM4" s="47">
        <f>IFERROR(AL4/AL$54,0%)</f>
        <v>0</v>
      </c>
      <c r="AN4" s="16"/>
      <c r="AO4" s="47">
        <f>IFERROR(AN4/AN$54,0%)</f>
        <v>0</v>
      </c>
    </row>
    <row r="5" spans="1:158" x14ac:dyDescent="0.25">
      <c r="A5" s="31" t="s">
        <v>88</v>
      </c>
      <c r="B5" s="16"/>
      <c r="C5" s="47">
        <f t="shared" ref="C5:E20" si="0">IFERROR(B5/B$54,0%)</f>
        <v>0</v>
      </c>
      <c r="D5" s="16"/>
      <c r="E5" s="47">
        <f t="shared" si="0"/>
        <v>0</v>
      </c>
      <c r="F5" s="16"/>
      <c r="G5" s="47">
        <f t="shared" ref="G5:G53" si="1">IFERROR(F5/F$54,0%)</f>
        <v>0</v>
      </c>
      <c r="H5" s="16"/>
      <c r="I5" s="47">
        <f t="shared" ref="I5:I53" si="2">IFERROR(H5/H$54,0%)</f>
        <v>0</v>
      </c>
      <c r="J5" s="16">
        <v>0.46041666666666647</v>
      </c>
      <c r="K5" s="47">
        <f t="shared" ref="K5:K53" si="3">IFERROR(J5/J$54,0%)</f>
        <v>6.0747663551401841E-2</v>
      </c>
      <c r="L5" s="16"/>
      <c r="M5" s="47">
        <f t="shared" ref="M5" si="4">IFERROR(L5/L$54,0%)</f>
        <v>0</v>
      </c>
      <c r="N5" s="16"/>
      <c r="O5" s="47">
        <f t="shared" ref="O5" si="5">IFERROR(N5/N$54,0%)</f>
        <v>0</v>
      </c>
      <c r="P5" s="16"/>
      <c r="Q5" s="47">
        <f t="shared" ref="Q5:Q53" si="6">IFERROR(P5/P$54,0%)</f>
        <v>0</v>
      </c>
      <c r="R5" s="16"/>
      <c r="S5" s="47">
        <f t="shared" ref="S5:S53" si="7">IFERROR(R5/R$54,0%)</f>
        <v>0</v>
      </c>
      <c r="T5" s="16"/>
      <c r="U5" s="47">
        <f t="shared" ref="U5:U53" si="8">IFERROR(T5/T$54,0%)</f>
        <v>0</v>
      </c>
      <c r="V5" s="16"/>
      <c r="W5" s="47">
        <f t="shared" ref="W5" si="9">IFERROR(V5/V$54,0%)</f>
        <v>0</v>
      </c>
      <c r="X5" s="16"/>
      <c r="Y5" s="47">
        <f t="shared" ref="Y5" si="10">IFERROR(X5/X$54,0%)</f>
        <v>0</v>
      </c>
      <c r="Z5" s="16"/>
      <c r="AA5" s="47">
        <f t="shared" ref="AA5:AA53" si="11">IFERROR(Z5/Z$54,0%)</f>
        <v>0</v>
      </c>
      <c r="AB5" s="16"/>
      <c r="AC5" s="47">
        <f t="shared" ref="AC5:AC53" si="12">IFERROR(AB5/AB$54,0%)</f>
        <v>0</v>
      </c>
      <c r="AD5" s="16"/>
      <c r="AE5" s="47">
        <f t="shared" ref="AE5:AE53" si="13">IFERROR(AD5/AD$54,0%)</f>
        <v>0</v>
      </c>
      <c r="AF5" s="16"/>
      <c r="AG5" s="47">
        <f t="shared" ref="AG5" si="14">IFERROR(AF5/AF$54,0%)</f>
        <v>0</v>
      </c>
      <c r="AH5" s="16"/>
      <c r="AI5" s="47">
        <f t="shared" ref="AI5" si="15">IFERROR(AH5/AH$54,0%)</f>
        <v>0</v>
      </c>
      <c r="AJ5" s="16"/>
      <c r="AK5" s="47">
        <f t="shared" ref="AK5:AK53" si="16">IFERROR(AJ5/AJ$54,0%)</f>
        <v>0</v>
      </c>
      <c r="AL5" s="16"/>
      <c r="AM5" s="47">
        <f t="shared" ref="AM5:AM53" si="17">IFERROR(AL5/AL$54,0%)</f>
        <v>0</v>
      </c>
      <c r="AN5" s="16"/>
      <c r="AO5" s="47">
        <f t="shared" ref="AO5:AO53" si="18">IFERROR(AN5/AN$54,0%)</f>
        <v>0</v>
      </c>
    </row>
    <row r="6" spans="1:158" x14ac:dyDescent="0.25">
      <c r="A6" s="31" t="s">
        <v>89</v>
      </c>
      <c r="B6" s="16"/>
      <c r="C6" s="47">
        <f t="shared" si="0"/>
        <v>0</v>
      </c>
      <c r="D6" s="16"/>
      <c r="E6" s="47">
        <f t="shared" si="0"/>
        <v>0</v>
      </c>
      <c r="F6" s="16"/>
      <c r="G6" s="47">
        <f t="shared" si="1"/>
        <v>0</v>
      </c>
      <c r="H6" s="16"/>
      <c r="I6" s="47">
        <f t="shared" si="2"/>
        <v>0</v>
      </c>
      <c r="J6" s="16">
        <v>0</v>
      </c>
      <c r="K6" s="47">
        <f t="shared" si="3"/>
        <v>0</v>
      </c>
      <c r="L6" s="16"/>
      <c r="M6" s="47">
        <f t="shared" ref="M6" si="19">IFERROR(L6/L$54,0%)</f>
        <v>0</v>
      </c>
      <c r="N6" s="16"/>
      <c r="O6" s="47">
        <f t="shared" ref="O6" si="20">IFERROR(N6/N$54,0%)</f>
        <v>0</v>
      </c>
      <c r="P6" s="16"/>
      <c r="Q6" s="47">
        <f t="shared" si="6"/>
        <v>0</v>
      </c>
      <c r="R6" s="16"/>
      <c r="S6" s="47">
        <f t="shared" si="7"/>
        <v>0</v>
      </c>
      <c r="T6" s="16"/>
      <c r="U6" s="47">
        <f t="shared" si="8"/>
        <v>0</v>
      </c>
      <c r="V6" s="16"/>
      <c r="W6" s="47">
        <f t="shared" ref="W6" si="21">IFERROR(V6/V$54,0%)</f>
        <v>0</v>
      </c>
      <c r="X6" s="16"/>
      <c r="Y6" s="47">
        <f t="shared" ref="Y6" si="22">IFERROR(X6/X$54,0%)</f>
        <v>0</v>
      </c>
      <c r="Z6" s="16"/>
      <c r="AA6" s="47">
        <f t="shared" si="11"/>
        <v>0</v>
      </c>
      <c r="AB6" s="16"/>
      <c r="AC6" s="47">
        <f t="shared" si="12"/>
        <v>0</v>
      </c>
      <c r="AD6" s="16"/>
      <c r="AE6" s="47">
        <f t="shared" si="13"/>
        <v>0</v>
      </c>
      <c r="AF6" s="16"/>
      <c r="AG6" s="47">
        <f t="shared" ref="AG6" si="23">IFERROR(AF6/AF$54,0%)</f>
        <v>0</v>
      </c>
      <c r="AH6" s="16"/>
      <c r="AI6" s="47">
        <f t="shared" ref="AI6" si="24">IFERROR(AH6/AH$54,0%)</f>
        <v>0</v>
      </c>
      <c r="AJ6" s="16"/>
      <c r="AK6" s="47">
        <f t="shared" si="16"/>
        <v>0</v>
      </c>
      <c r="AL6" s="16"/>
      <c r="AM6" s="47">
        <f t="shared" si="17"/>
        <v>0</v>
      </c>
      <c r="AN6" s="16"/>
      <c r="AO6" s="47">
        <f t="shared" si="18"/>
        <v>0</v>
      </c>
    </row>
    <row r="7" spans="1:158" x14ac:dyDescent="0.25">
      <c r="A7" s="31" t="s">
        <v>90</v>
      </c>
      <c r="B7" s="16"/>
      <c r="C7" s="47">
        <f t="shared" si="0"/>
        <v>0</v>
      </c>
      <c r="D7" s="16"/>
      <c r="E7" s="47">
        <f t="shared" si="0"/>
        <v>0</v>
      </c>
      <c r="F7" s="16"/>
      <c r="G7" s="47">
        <f t="shared" si="1"/>
        <v>0</v>
      </c>
      <c r="H7" s="16"/>
      <c r="I7" s="47">
        <f t="shared" si="2"/>
        <v>0</v>
      </c>
      <c r="J7" s="16">
        <v>0</v>
      </c>
      <c r="K7" s="47">
        <f t="shared" si="3"/>
        <v>0</v>
      </c>
      <c r="L7" s="16"/>
      <c r="M7" s="47">
        <f t="shared" ref="M7" si="25">IFERROR(L7/L$54,0%)</f>
        <v>0</v>
      </c>
      <c r="N7" s="16"/>
      <c r="O7" s="47">
        <f t="shared" ref="O7" si="26">IFERROR(N7/N$54,0%)</f>
        <v>0</v>
      </c>
      <c r="P7" s="16"/>
      <c r="Q7" s="47">
        <f t="shared" si="6"/>
        <v>0</v>
      </c>
      <c r="R7" s="16"/>
      <c r="S7" s="47">
        <f t="shared" si="7"/>
        <v>0</v>
      </c>
      <c r="T7" s="16"/>
      <c r="U7" s="47">
        <f t="shared" si="8"/>
        <v>0</v>
      </c>
      <c r="V7" s="16"/>
      <c r="W7" s="47">
        <f t="shared" ref="W7" si="27">IFERROR(V7/V$54,0%)</f>
        <v>0</v>
      </c>
      <c r="X7" s="16"/>
      <c r="Y7" s="47">
        <f t="shared" ref="Y7" si="28">IFERROR(X7/X$54,0%)</f>
        <v>0</v>
      </c>
      <c r="Z7" s="16"/>
      <c r="AA7" s="47">
        <f t="shared" si="11"/>
        <v>0</v>
      </c>
      <c r="AB7" s="16"/>
      <c r="AC7" s="47">
        <f t="shared" si="12"/>
        <v>0</v>
      </c>
      <c r="AD7" s="16"/>
      <c r="AE7" s="47">
        <f t="shared" si="13"/>
        <v>0</v>
      </c>
      <c r="AF7" s="16"/>
      <c r="AG7" s="47">
        <f t="shared" ref="AG7" si="29">IFERROR(AF7/AF$54,0%)</f>
        <v>0</v>
      </c>
      <c r="AH7" s="16"/>
      <c r="AI7" s="47">
        <f t="shared" ref="AI7" si="30">IFERROR(AH7/AH$54,0%)</f>
        <v>0</v>
      </c>
      <c r="AJ7" s="16"/>
      <c r="AK7" s="47">
        <f t="shared" si="16"/>
        <v>0</v>
      </c>
      <c r="AL7" s="16"/>
      <c r="AM7" s="47">
        <f t="shared" si="17"/>
        <v>0</v>
      </c>
      <c r="AN7" s="16"/>
      <c r="AO7" s="47">
        <f t="shared" si="18"/>
        <v>0</v>
      </c>
    </row>
    <row r="8" spans="1:158" x14ac:dyDescent="0.25">
      <c r="A8" s="31" t="s">
        <v>91</v>
      </c>
      <c r="B8" s="16"/>
      <c r="C8" s="47">
        <f t="shared" si="0"/>
        <v>0</v>
      </c>
      <c r="D8" s="16"/>
      <c r="E8" s="47">
        <f t="shared" si="0"/>
        <v>0</v>
      </c>
      <c r="F8" s="16"/>
      <c r="G8" s="47">
        <f t="shared" si="1"/>
        <v>0</v>
      </c>
      <c r="H8" s="16"/>
      <c r="I8" s="47">
        <f t="shared" si="2"/>
        <v>0</v>
      </c>
      <c r="J8" s="16">
        <v>0.5659722222222221</v>
      </c>
      <c r="K8" s="47">
        <f t="shared" si="3"/>
        <v>7.4674729704966081E-2</v>
      </c>
      <c r="L8" s="16"/>
      <c r="M8" s="47">
        <f t="shared" ref="M8" si="31">IFERROR(L8/L$54,0%)</f>
        <v>0</v>
      </c>
      <c r="N8" s="16"/>
      <c r="O8" s="47">
        <f t="shared" ref="O8" si="32">IFERROR(N8/N$54,0%)</f>
        <v>0</v>
      </c>
      <c r="P8" s="16"/>
      <c r="Q8" s="47">
        <f t="shared" si="6"/>
        <v>0</v>
      </c>
      <c r="R8" s="16"/>
      <c r="S8" s="47">
        <f t="shared" si="7"/>
        <v>0</v>
      </c>
      <c r="T8" s="16"/>
      <c r="U8" s="47">
        <f t="shared" si="8"/>
        <v>0</v>
      </c>
      <c r="V8" s="16"/>
      <c r="W8" s="47">
        <f t="shared" ref="W8" si="33">IFERROR(V8/V$54,0%)</f>
        <v>0</v>
      </c>
      <c r="X8" s="16"/>
      <c r="Y8" s="47">
        <f t="shared" ref="Y8" si="34">IFERROR(X8/X$54,0%)</f>
        <v>0</v>
      </c>
      <c r="Z8" s="16"/>
      <c r="AA8" s="47">
        <f t="shared" si="11"/>
        <v>0</v>
      </c>
      <c r="AB8" s="16"/>
      <c r="AC8" s="47">
        <f t="shared" si="12"/>
        <v>0</v>
      </c>
      <c r="AD8" s="16"/>
      <c r="AE8" s="47">
        <f t="shared" si="13"/>
        <v>0</v>
      </c>
      <c r="AF8" s="16"/>
      <c r="AG8" s="47">
        <f t="shared" ref="AG8" si="35">IFERROR(AF8/AF$54,0%)</f>
        <v>0</v>
      </c>
      <c r="AH8" s="16"/>
      <c r="AI8" s="47">
        <f t="shared" ref="AI8" si="36">IFERROR(AH8/AH$54,0%)</f>
        <v>0</v>
      </c>
      <c r="AJ8" s="16"/>
      <c r="AK8" s="47">
        <f t="shared" si="16"/>
        <v>0</v>
      </c>
      <c r="AL8" s="16"/>
      <c r="AM8" s="47">
        <f t="shared" si="17"/>
        <v>0</v>
      </c>
      <c r="AN8" s="16"/>
      <c r="AO8" s="47">
        <f t="shared" si="18"/>
        <v>0</v>
      </c>
    </row>
    <row r="9" spans="1:158" x14ac:dyDescent="0.25">
      <c r="A9" s="31" t="s">
        <v>92</v>
      </c>
      <c r="B9" s="16"/>
      <c r="C9" s="47">
        <f t="shared" si="0"/>
        <v>0</v>
      </c>
      <c r="D9" s="16"/>
      <c r="E9" s="47">
        <f t="shared" si="0"/>
        <v>0</v>
      </c>
      <c r="F9" s="16"/>
      <c r="G9" s="47">
        <f t="shared" si="1"/>
        <v>0</v>
      </c>
      <c r="H9" s="16"/>
      <c r="I9" s="47">
        <f t="shared" si="2"/>
        <v>0</v>
      </c>
      <c r="J9" s="16">
        <v>0.13541666666666674</v>
      </c>
      <c r="K9" s="47">
        <f t="shared" si="3"/>
        <v>1.7866959868059383E-2</v>
      </c>
      <c r="L9" s="16"/>
      <c r="M9" s="47">
        <f t="shared" ref="M9" si="37">IFERROR(L9/L$54,0%)</f>
        <v>0</v>
      </c>
      <c r="N9" s="16"/>
      <c r="O9" s="47">
        <f t="shared" ref="O9" si="38">IFERROR(N9/N$54,0%)</f>
        <v>0</v>
      </c>
      <c r="P9" s="16"/>
      <c r="Q9" s="47">
        <f t="shared" si="6"/>
        <v>0</v>
      </c>
      <c r="R9" s="16"/>
      <c r="S9" s="47">
        <f t="shared" si="7"/>
        <v>0</v>
      </c>
      <c r="T9" s="16"/>
      <c r="U9" s="47">
        <f t="shared" si="8"/>
        <v>0</v>
      </c>
      <c r="V9" s="16"/>
      <c r="W9" s="47">
        <f t="shared" ref="W9" si="39">IFERROR(V9/V$54,0%)</f>
        <v>0</v>
      </c>
      <c r="X9" s="16"/>
      <c r="Y9" s="47">
        <f t="shared" ref="Y9" si="40">IFERROR(X9/X$54,0%)</f>
        <v>0</v>
      </c>
      <c r="Z9" s="16"/>
      <c r="AA9" s="47">
        <f t="shared" si="11"/>
        <v>0</v>
      </c>
      <c r="AB9" s="16"/>
      <c r="AC9" s="47">
        <f t="shared" si="12"/>
        <v>0</v>
      </c>
      <c r="AD9" s="16"/>
      <c r="AE9" s="47">
        <f t="shared" si="13"/>
        <v>0</v>
      </c>
      <c r="AF9" s="16"/>
      <c r="AG9" s="47">
        <f t="shared" ref="AG9" si="41">IFERROR(AF9/AF$54,0%)</f>
        <v>0</v>
      </c>
      <c r="AH9" s="16"/>
      <c r="AI9" s="47">
        <f t="shared" ref="AI9" si="42">IFERROR(AH9/AH$54,0%)</f>
        <v>0</v>
      </c>
      <c r="AJ9" s="16"/>
      <c r="AK9" s="47">
        <f t="shared" si="16"/>
        <v>0</v>
      </c>
      <c r="AL9" s="16"/>
      <c r="AM9" s="47">
        <f t="shared" si="17"/>
        <v>0</v>
      </c>
      <c r="AN9" s="16"/>
      <c r="AO9" s="47">
        <f t="shared" si="18"/>
        <v>0</v>
      </c>
    </row>
    <row r="10" spans="1:158" x14ac:dyDescent="0.25">
      <c r="A10" s="31" t="s">
        <v>93</v>
      </c>
      <c r="B10" s="16"/>
      <c r="C10" s="47">
        <f t="shared" si="0"/>
        <v>0</v>
      </c>
      <c r="D10" s="16"/>
      <c r="E10" s="47">
        <f t="shared" si="0"/>
        <v>0</v>
      </c>
      <c r="F10" s="16"/>
      <c r="G10" s="47">
        <f t="shared" si="1"/>
        <v>0</v>
      </c>
      <c r="H10" s="16"/>
      <c r="I10" s="47">
        <f t="shared" si="2"/>
        <v>0</v>
      </c>
      <c r="J10" s="16">
        <v>1.2993055555555562</v>
      </c>
      <c r="K10" s="47">
        <f t="shared" si="3"/>
        <v>0.17143118929814924</v>
      </c>
      <c r="L10" s="16"/>
      <c r="M10" s="47">
        <f t="shared" ref="M10" si="43">IFERROR(L10/L$54,0%)</f>
        <v>0</v>
      </c>
      <c r="N10" s="16"/>
      <c r="O10" s="47">
        <f t="shared" ref="O10" si="44">IFERROR(N10/N$54,0%)</f>
        <v>0</v>
      </c>
      <c r="P10" s="16"/>
      <c r="Q10" s="47">
        <f t="shared" si="6"/>
        <v>0</v>
      </c>
      <c r="R10" s="16"/>
      <c r="S10" s="47">
        <f t="shared" si="7"/>
        <v>0</v>
      </c>
      <c r="T10" s="16"/>
      <c r="U10" s="47">
        <f t="shared" si="8"/>
        <v>0</v>
      </c>
      <c r="V10" s="16"/>
      <c r="W10" s="47">
        <f t="shared" ref="W10" si="45">IFERROR(V10/V$54,0%)</f>
        <v>0</v>
      </c>
      <c r="X10" s="16"/>
      <c r="Y10" s="47">
        <f t="shared" ref="Y10" si="46">IFERROR(X10/X$54,0%)</f>
        <v>0</v>
      </c>
      <c r="Z10" s="16"/>
      <c r="AA10" s="47">
        <f t="shared" si="11"/>
        <v>0</v>
      </c>
      <c r="AB10" s="16"/>
      <c r="AC10" s="47">
        <f t="shared" si="12"/>
        <v>0</v>
      </c>
      <c r="AD10" s="16"/>
      <c r="AE10" s="47">
        <f t="shared" si="13"/>
        <v>0</v>
      </c>
      <c r="AF10" s="16"/>
      <c r="AG10" s="47">
        <f t="shared" ref="AG10" si="47">IFERROR(AF10/AF$54,0%)</f>
        <v>0</v>
      </c>
      <c r="AH10" s="16"/>
      <c r="AI10" s="47">
        <f t="shared" ref="AI10" si="48">IFERROR(AH10/AH$54,0%)</f>
        <v>0</v>
      </c>
      <c r="AJ10" s="16"/>
      <c r="AK10" s="47">
        <f t="shared" si="16"/>
        <v>0</v>
      </c>
      <c r="AL10" s="16"/>
      <c r="AM10" s="47">
        <f t="shared" si="17"/>
        <v>0</v>
      </c>
      <c r="AN10" s="16"/>
      <c r="AO10" s="47">
        <f t="shared" si="18"/>
        <v>0</v>
      </c>
    </row>
    <row r="11" spans="1:158" x14ac:dyDescent="0.25">
      <c r="A11" s="31" t="s">
        <v>94</v>
      </c>
      <c r="B11" s="16"/>
      <c r="C11" s="47">
        <f t="shared" si="0"/>
        <v>0</v>
      </c>
      <c r="D11" s="16"/>
      <c r="E11" s="47">
        <f t="shared" si="0"/>
        <v>0</v>
      </c>
      <c r="F11" s="16"/>
      <c r="G11" s="47">
        <f t="shared" si="1"/>
        <v>0</v>
      </c>
      <c r="H11" s="16"/>
      <c r="I11" s="47">
        <f t="shared" si="2"/>
        <v>0</v>
      </c>
      <c r="J11" s="16">
        <v>0.43402777777777757</v>
      </c>
      <c r="K11" s="47">
        <f t="shared" si="3"/>
        <v>5.7265897013010783E-2</v>
      </c>
      <c r="L11" s="16"/>
      <c r="M11" s="47">
        <f t="shared" ref="M11" si="49">IFERROR(L11/L$54,0%)</f>
        <v>0</v>
      </c>
      <c r="N11" s="16"/>
      <c r="O11" s="47">
        <f t="shared" ref="O11" si="50">IFERROR(N11/N$54,0%)</f>
        <v>0</v>
      </c>
      <c r="P11" s="16"/>
      <c r="Q11" s="47">
        <f t="shared" si="6"/>
        <v>0</v>
      </c>
      <c r="R11" s="16"/>
      <c r="S11" s="47">
        <f t="shared" si="7"/>
        <v>0</v>
      </c>
      <c r="T11" s="16"/>
      <c r="U11" s="47">
        <f t="shared" si="8"/>
        <v>0</v>
      </c>
      <c r="V11" s="16"/>
      <c r="W11" s="47">
        <f t="shared" ref="W11" si="51">IFERROR(V11/V$54,0%)</f>
        <v>0</v>
      </c>
      <c r="X11" s="16"/>
      <c r="Y11" s="47">
        <f t="shared" ref="Y11" si="52">IFERROR(X11/X$54,0%)</f>
        <v>0</v>
      </c>
      <c r="Z11" s="16"/>
      <c r="AA11" s="47">
        <f t="shared" si="11"/>
        <v>0</v>
      </c>
      <c r="AB11" s="16"/>
      <c r="AC11" s="47">
        <f t="shared" si="12"/>
        <v>0</v>
      </c>
      <c r="AD11" s="16"/>
      <c r="AE11" s="47">
        <f t="shared" si="13"/>
        <v>0</v>
      </c>
      <c r="AF11" s="16"/>
      <c r="AG11" s="47">
        <f t="shared" ref="AG11" si="53">IFERROR(AF11/AF$54,0%)</f>
        <v>0</v>
      </c>
      <c r="AH11" s="16"/>
      <c r="AI11" s="47">
        <f t="shared" ref="AI11" si="54">IFERROR(AH11/AH$54,0%)</f>
        <v>0</v>
      </c>
      <c r="AJ11" s="16"/>
      <c r="AK11" s="47">
        <f t="shared" si="16"/>
        <v>0</v>
      </c>
      <c r="AL11" s="16"/>
      <c r="AM11" s="47">
        <f t="shared" si="17"/>
        <v>0</v>
      </c>
      <c r="AN11" s="16"/>
      <c r="AO11" s="47">
        <f t="shared" si="18"/>
        <v>0</v>
      </c>
    </row>
    <row r="12" spans="1:158" x14ac:dyDescent="0.25">
      <c r="A12" s="31" t="s">
        <v>95</v>
      </c>
      <c r="B12" s="16"/>
      <c r="C12" s="47">
        <f t="shared" si="0"/>
        <v>0</v>
      </c>
      <c r="D12" s="16"/>
      <c r="E12" s="47">
        <f t="shared" si="0"/>
        <v>0</v>
      </c>
      <c r="F12" s="16"/>
      <c r="G12" s="47">
        <f t="shared" si="1"/>
        <v>0</v>
      </c>
      <c r="H12" s="16"/>
      <c r="I12" s="47">
        <f t="shared" si="2"/>
        <v>0</v>
      </c>
      <c r="J12" s="16">
        <v>7.4305555555555514E-2</v>
      </c>
      <c r="K12" s="47">
        <f t="shared" si="3"/>
        <v>9.8039215686274456E-3</v>
      </c>
      <c r="L12" s="16"/>
      <c r="M12" s="47">
        <f t="shared" ref="M12" si="55">IFERROR(L12/L$54,0%)</f>
        <v>0</v>
      </c>
      <c r="N12" s="16"/>
      <c r="O12" s="47">
        <f t="shared" ref="O12" si="56">IFERROR(N12/N$54,0%)</f>
        <v>0</v>
      </c>
      <c r="P12" s="16"/>
      <c r="Q12" s="47">
        <f t="shared" si="6"/>
        <v>0</v>
      </c>
      <c r="R12" s="16"/>
      <c r="S12" s="47">
        <f t="shared" si="7"/>
        <v>0</v>
      </c>
      <c r="T12" s="16"/>
      <c r="U12" s="47">
        <f t="shared" si="8"/>
        <v>0</v>
      </c>
      <c r="V12" s="16"/>
      <c r="W12" s="47">
        <f t="shared" ref="W12" si="57">IFERROR(V12/V$54,0%)</f>
        <v>0</v>
      </c>
      <c r="X12" s="16"/>
      <c r="Y12" s="47">
        <f t="shared" ref="Y12" si="58">IFERROR(X12/X$54,0%)</f>
        <v>0</v>
      </c>
      <c r="Z12" s="16"/>
      <c r="AA12" s="47">
        <f t="shared" si="11"/>
        <v>0</v>
      </c>
      <c r="AB12" s="16"/>
      <c r="AC12" s="47">
        <f t="shared" si="12"/>
        <v>0</v>
      </c>
      <c r="AD12" s="16"/>
      <c r="AE12" s="47">
        <f t="shared" si="13"/>
        <v>0</v>
      </c>
      <c r="AF12" s="16"/>
      <c r="AG12" s="47">
        <f t="shared" ref="AG12" si="59">IFERROR(AF12/AF$54,0%)</f>
        <v>0</v>
      </c>
      <c r="AH12" s="16"/>
      <c r="AI12" s="47">
        <f t="shared" ref="AI12" si="60">IFERROR(AH12/AH$54,0%)</f>
        <v>0</v>
      </c>
      <c r="AJ12" s="16"/>
      <c r="AK12" s="47">
        <f t="shared" si="16"/>
        <v>0</v>
      </c>
      <c r="AL12" s="16"/>
      <c r="AM12" s="47">
        <f t="shared" si="17"/>
        <v>0</v>
      </c>
      <c r="AN12" s="16"/>
      <c r="AO12" s="47">
        <f t="shared" si="18"/>
        <v>0</v>
      </c>
    </row>
    <row r="13" spans="1:158" x14ac:dyDescent="0.25">
      <c r="A13" s="31" t="s">
        <v>96</v>
      </c>
      <c r="B13" s="16"/>
      <c r="C13" s="47">
        <f t="shared" si="0"/>
        <v>0</v>
      </c>
      <c r="D13" s="16"/>
      <c r="E13" s="47">
        <f t="shared" si="0"/>
        <v>0</v>
      </c>
      <c r="F13" s="16"/>
      <c r="G13" s="47">
        <f t="shared" si="1"/>
        <v>0</v>
      </c>
      <c r="H13" s="16"/>
      <c r="I13" s="47">
        <f t="shared" si="2"/>
        <v>0</v>
      </c>
      <c r="J13" s="16">
        <v>0</v>
      </c>
      <c r="K13" s="47">
        <f t="shared" si="3"/>
        <v>0</v>
      </c>
      <c r="L13" s="16"/>
      <c r="M13" s="47">
        <f t="shared" ref="M13" si="61">IFERROR(L13/L$54,0%)</f>
        <v>0</v>
      </c>
      <c r="N13" s="16"/>
      <c r="O13" s="47">
        <f t="shared" ref="O13" si="62">IFERROR(N13/N$54,0%)</f>
        <v>0</v>
      </c>
      <c r="P13" s="16"/>
      <c r="Q13" s="47">
        <f t="shared" si="6"/>
        <v>0</v>
      </c>
      <c r="R13" s="16"/>
      <c r="S13" s="47">
        <f t="shared" si="7"/>
        <v>0</v>
      </c>
      <c r="T13" s="16"/>
      <c r="U13" s="47">
        <f t="shared" si="8"/>
        <v>0</v>
      </c>
      <c r="V13" s="16"/>
      <c r="W13" s="47">
        <f t="shared" ref="W13" si="63">IFERROR(V13/V$54,0%)</f>
        <v>0</v>
      </c>
      <c r="X13" s="16"/>
      <c r="Y13" s="47">
        <f t="shared" ref="Y13" si="64">IFERROR(X13/X$54,0%)</f>
        <v>0</v>
      </c>
      <c r="Z13" s="16"/>
      <c r="AA13" s="47">
        <f t="shared" si="11"/>
        <v>0</v>
      </c>
      <c r="AB13" s="16"/>
      <c r="AC13" s="47">
        <f t="shared" si="12"/>
        <v>0</v>
      </c>
      <c r="AD13" s="16"/>
      <c r="AE13" s="47">
        <f t="shared" si="13"/>
        <v>0</v>
      </c>
      <c r="AF13" s="16"/>
      <c r="AG13" s="47">
        <f t="shared" ref="AG13" si="65">IFERROR(AF13/AF$54,0%)</f>
        <v>0</v>
      </c>
      <c r="AH13" s="16"/>
      <c r="AI13" s="47">
        <f t="shared" ref="AI13" si="66">IFERROR(AH13/AH$54,0%)</f>
        <v>0</v>
      </c>
      <c r="AJ13" s="16"/>
      <c r="AK13" s="47">
        <f t="shared" si="16"/>
        <v>0</v>
      </c>
      <c r="AL13" s="16"/>
      <c r="AM13" s="47">
        <f t="shared" si="17"/>
        <v>0</v>
      </c>
      <c r="AN13" s="16"/>
      <c r="AO13" s="47">
        <f t="shared" si="18"/>
        <v>0</v>
      </c>
    </row>
    <row r="14" spans="1:158" x14ac:dyDescent="0.25">
      <c r="A14" s="31" t="s">
        <v>97</v>
      </c>
      <c r="B14" s="16"/>
      <c r="C14" s="47">
        <f t="shared" si="0"/>
        <v>0</v>
      </c>
      <c r="D14" s="16"/>
      <c r="E14" s="47">
        <f t="shared" si="0"/>
        <v>0</v>
      </c>
      <c r="F14" s="16"/>
      <c r="G14" s="47">
        <f t="shared" si="1"/>
        <v>0</v>
      </c>
      <c r="H14" s="16"/>
      <c r="I14" s="47">
        <f t="shared" si="2"/>
        <v>0</v>
      </c>
      <c r="J14" s="16">
        <v>0</v>
      </c>
      <c r="K14" s="47">
        <f t="shared" si="3"/>
        <v>0</v>
      </c>
      <c r="L14" s="16"/>
      <c r="M14" s="47">
        <f t="shared" ref="M14" si="67">IFERROR(L14/L$54,0%)</f>
        <v>0</v>
      </c>
      <c r="N14" s="16"/>
      <c r="O14" s="47">
        <f t="shared" ref="O14" si="68">IFERROR(N14/N$54,0%)</f>
        <v>0</v>
      </c>
      <c r="P14" s="16"/>
      <c r="Q14" s="47">
        <f t="shared" si="6"/>
        <v>0</v>
      </c>
      <c r="R14" s="16"/>
      <c r="S14" s="47">
        <f t="shared" si="7"/>
        <v>0</v>
      </c>
      <c r="T14" s="16"/>
      <c r="U14" s="47">
        <f t="shared" si="8"/>
        <v>0</v>
      </c>
      <c r="V14" s="16"/>
      <c r="W14" s="47">
        <f t="shared" ref="W14" si="69">IFERROR(V14/V$54,0%)</f>
        <v>0</v>
      </c>
      <c r="X14" s="16"/>
      <c r="Y14" s="47">
        <f t="shared" ref="Y14" si="70">IFERROR(X14/X$54,0%)</f>
        <v>0</v>
      </c>
      <c r="Z14" s="16"/>
      <c r="AA14" s="47">
        <f t="shared" si="11"/>
        <v>0</v>
      </c>
      <c r="AB14" s="16"/>
      <c r="AC14" s="47">
        <f t="shared" si="12"/>
        <v>0</v>
      </c>
      <c r="AD14" s="16"/>
      <c r="AE14" s="47">
        <f t="shared" si="13"/>
        <v>0</v>
      </c>
      <c r="AF14" s="16"/>
      <c r="AG14" s="47">
        <f t="shared" ref="AG14" si="71">IFERROR(AF14/AF$54,0%)</f>
        <v>0</v>
      </c>
      <c r="AH14" s="16"/>
      <c r="AI14" s="47">
        <f t="shared" ref="AI14" si="72">IFERROR(AH14/AH$54,0%)</f>
        <v>0</v>
      </c>
      <c r="AJ14" s="16"/>
      <c r="AK14" s="47">
        <f t="shared" si="16"/>
        <v>0</v>
      </c>
      <c r="AL14" s="16"/>
      <c r="AM14" s="47">
        <f t="shared" si="17"/>
        <v>0</v>
      </c>
      <c r="AN14" s="16"/>
      <c r="AO14" s="47">
        <f t="shared" si="18"/>
        <v>0</v>
      </c>
    </row>
    <row r="15" spans="1:158" x14ac:dyDescent="0.25">
      <c r="A15" s="31" t="s">
        <v>98</v>
      </c>
      <c r="B15" s="16"/>
      <c r="C15" s="47">
        <f t="shared" si="0"/>
        <v>0</v>
      </c>
      <c r="D15" s="16"/>
      <c r="E15" s="47">
        <f t="shared" si="0"/>
        <v>0</v>
      </c>
      <c r="F15" s="16"/>
      <c r="G15" s="47">
        <f t="shared" si="1"/>
        <v>0</v>
      </c>
      <c r="H15" s="16"/>
      <c r="I15" s="47">
        <f t="shared" si="2"/>
        <v>0</v>
      </c>
      <c r="J15" s="16">
        <v>0</v>
      </c>
      <c r="K15" s="47">
        <f t="shared" si="3"/>
        <v>0</v>
      </c>
      <c r="L15" s="16"/>
      <c r="M15" s="47">
        <f t="shared" ref="M15" si="73">IFERROR(L15/L$54,0%)</f>
        <v>0</v>
      </c>
      <c r="N15" s="16"/>
      <c r="O15" s="47">
        <f t="shared" ref="O15" si="74">IFERROR(N15/N$54,0%)</f>
        <v>0</v>
      </c>
      <c r="P15" s="16"/>
      <c r="Q15" s="47">
        <f t="shared" si="6"/>
        <v>0</v>
      </c>
      <c r="R15" s="16"/>
      <c r="S15" s="47">
        <f t="shared" si="7"/>
        <v>0</v>
      </c>
      <c r="T15" s="16"/>
      <c r="U15" s="47">
        <f t="shared" si="8"/>
        <v>0</v>
      </c>
      <c r="V15" s="16"/>
      <c r="W15" s="47">
        <f t="shared" ref="W15" si="75">IFERROR(V15/V$54,0%)</f>
        <v>0</v>
      </c>
      <c r="X15" s="16"/>
      <c r="Y15" s="47">
        <f t="shared" ref="Y15" si="76">IFERROR(X15/X$54,0%)</f>
        <v>0</v>
      </c>
      <c r="Z15" s="16"/>
      <c r="AA15" s="47">
        <f t="shared" si="11"/>
        <v>0</v>
      </c>
      <c r="AB15" s="16"/>
      <c r="AC15" s="47">
        <f t="shared" si="12"/>
        <v>0</v>
      </c>
      <c r="AD15" s="16"/>
      <c r="AE15" s="47">
        <f t="shared" si="13"/>
        <v>0</v>
      </c>
      <c r="AF15" s="16"/>
      <c r="AG15" s="47">
        <f t="shared" ref="AG15" si="77">IFERROR(AF15/AF$54,0%)</f>
        <v>0</v>
      </c>
      <c r="AH15" s="16"/>
      <c r="AI15" s="47">
        <f t="shared" ref="AI15" si="78">IFERROR(AH15/AH$54,0%)</f>
        <v>0</v>
      </c>
      <c r="AJ15" s="16"/>
      <c r="AK15" s="47">
        <f t="shared" si="16"/>
        <v>0</v>
      </c>
      <c r="AL15" s="16"/>
      <c r="AM15" s="47">
        <f t="shared" si="17"/>
        <v>0</v>
      </c>
      <c r="AN15" s="16"/>
      <c r="AO15" s="47">
        <f t="shared" si="18"/>
        <v>0</v>
      </c>
    </row>
    <row r="16" spans="1:158" x14ac:dyDescent="0.25">
      <c r="A16" s="31" t="s">
        <v>99</v>
      </c>
      <c r="B16" s="16"/>
      <c r="C16" s="47">
        <f t="shared" si="0"/>
        <v>0</v>
      </c>
      <c r="D16" s="16"/>
      <c r="E16" s="47">
        <f t="shared" si="0"/>
        <v>0</v>
      </c>
      <c r="F16" s="16"/>
      <c r="G16" s="47">
        <f t="shared" si="1"/>
        <v>0</v>
      </c>
      <c r="H16" s="16"/>
      <c r="I16" s="47">
        <f t="shared" si="2"/>
        <v>0</v>
      </c>
      <c r="J16" s="16">
        <v>0</v>
      </c>
      <c r="K16" s="47">
        <f t="shared" si="3"/>
        <v>0</v>
      </c>
      <c r="L16" s="16"/>
      <c r="M16" s="47">
        <f t="shared" ref="M16" si="79">IFERROR(L16/L$54,0%)</f>
        <v>0</v>
      </c>
      <c r="N16" s="16"/>
      <c r="O16" s="47">
        <f t="shared" ref="O16" si="80">IFERROR(N16/N$54,0%)</f>
        <v>0</v>
      </c>
      <c r="P16" s="16"/>
      <c r="Q16" s="47">
        <f t="shared" si="6"/>
        <v>0</v>
      </c>
      <c r="R16" s="16"/>
      <c r="S16" s="47">
        <f t="shared" si="7"/>
        <v>0</v>
      </c>
      <c r="T16" s="16"/>
      <c r="U16" s="47">
        <f t="shared" si="8"/>
        <v>0</v>
      </c>
      <c r="V16" s="16"/>
      <c r="W16" s="47">
        <f t="shared" ref="W16" si="81">IFERROR(V16/V$54,0%)</f>
        <v>0</v>
      </c>
      <c r="X16" s="16"/>
      <c r="Y16" s="47">
        <f t="shared" ref="Y16" si="82">IFERROR(X16/X$54,0%)</f>
        <v>0</v>
      </c>
      <c r="Z16" s="16"/>
      <c r="AA16" s="47">
        <f t="shared" si="11"/>
        <v>0</v>
      </c>
      <c r="AB16" s="16"/>
      <c r="AC16" s="47">
        <f t="shared" si="12"/>
        <v>0</v>
      </c>
      <c r="AD16" s="16"/>
      <c r="AE16" s="47">
        <f t="shared" si="13"/>
        <v>0</v>
      </c>
      <c r="AF16" s="16"/>
      <c r="AG16" s="47">
        <f t="shared" ref="AG16" si="83">IFERROR(AF16/AF$54,0%)</f>
        <v>0</v>
      </c>
      <c r="AH16" s="16"/>
      <c r="AI16" s="47">
        <f t="shared" ref="AI16" si="84">IFERROR(AH16/AH$54,0%)</f>
        <v>0</v>
      </c>
      <c r="AJ16" s="16"/>
      <c r="AK16" s="47">
        <f t="shared" si="16"/>
        <v>0</v>
      </c>
      <c r="AL16" s="16"/>
      <c r="AM16" s="47">
        <f t="shared" si="17"/>
        <v>0</v>
      </c>
      <c r="AN16" s="16"/>
      <c r="AO16" s="47">
        <f t="shared" si="18"/>
        <v>0</v>
      </c>
    </row>
    <row r="17" spans="1:41" x14ac:dyDescent="0.25">
      <c r="A17" s="31" t="s">
        <v>100</v>
      </c>
      <c r="B17" s="16"/>
      <c r="C17" s="47">
        <f t="shared" si="0"/>
        <v>0</v>
      </c>
      <c r="D17" s="16"/>
      <c r="E17" s="47">
        <f t="shared" si="0"/>
        <v>0</v>
      </c>
      <c r="F17" s="16"/>
      <c r="G17" s="47">
        <f t="shared" si="1"/>
        <v>0</v>
      </c>
      <c r="H17" s="16"/>
      <c r="I17" s="47">
        <f t="shared" si="2"/>
        <v>0</v>
      </c>
      <c r="J17" s="16">
        <v>0</v>
      </c>
      <c r="K17" s="47">
        <f t="shared" si="3"/>
        <v>0</v>
      </c>
      <c r="L17" s="16"/>
      <c r="M17" s="47">
        <f t="shared" ref="M17" si="85">IFERROR(L17/L$54,0%)</f>
        <v>0</v>
      </c>
      <c r="N17" s="16"/>
      <c r="O17" s="47">
        <f t="shared" ref="O17" si="86">IFERROR(N17/N$54,0%)</f>
        <v>0</v>
      </c>
      <c r="P17" s="16"/>
      <c r="Q17" s="47">
        <f t="shared" si="6"/>
        <v>0</v>
      </c>
      <c r="R17" s="16"/>
      <c r="S17" s="47">
        <f t="shared" si="7"/>
        <v>0</v>
      </c>
      <c r="T17" s="16"/>
      <c r="U17" s="47">
        <f t="shared" si="8"/>
        <v>0</v>
      </c>
      <c r="V17" s="16"/>
      <c r="W17" s="47">
        <f t="shared" ref="W17" si="87">IFERROR(V17/V$54,0%)</f>
        <v>0</v>
      </c>
      <c r="X17" s="16"/>
      <c r="Y17" s="47">
        <f t="shared" ref="Y17" si="88">IFERROR(X17/X$54,0%)</f>
        <v>0</v>
      </c>
      <c r="Z17" s="16"/>
      <c r="AA17" s="47">
        <f t="shared" si="11"/>
        <v>0</v>
      </c>
      <c r="AB17" s="16"/>
      <c r="AC17" s="47">
        <f t="shared" si="12"/>
        <v>0</v>
      </c>
      <c r="AD17" s="16"/>
      <c r="AE17" s="47">
        <f t="shared" si="13"/>
        <v>0</v>
      </c>
      <c r="AF17" s="16"/>
      <c r="AG17" s="47">
        <f t="shared" ref="AG17" si="89">IFERROR(AF17/AF$54,0%)</f>
        <v>0</v>
      </c>
      <c r="AH17" s="16"/>
      <c r="AI17" s="47">
        <f t="shared" ref="AI17" si="90">IFERROR(AH17/AH$54,0%)</f>
        <v>0</v>
      </c>
      <c r="AJ17" s="16"/>
      <c r="AK17" s="47">
        <f t="shared" si="16"/>
        <v>0</v>
      </c>
      <c r="AL17" s="16"/>
      <c r="AM17" s="47">
        <f t="shared" si="17"/>
        <v>0</v>
      </c>
      <c r="AN17" s="16"/>
      <c r="AO17" s="47">
        <f t="shared" si="18"/>
        <v>0</v>
      </c>
    </row>
    <row r="18" spans="1:41" x14ac:dyDescent="0.25">
      <c r="A18" s="31" t="s">
        <v>101</v>
      </c>
      <c r="B18" s="16"/>
      <c r="C18" s="47">
        <f t="shared" si="0"/>
        <v>0</v>
      </c>
      <c r="D18" s="16"/>
      <c r="E18" s="47">
        <f t="shared" si="0"/>
        <v>0</v>
      </c>
      <c r="F18" s="16"/>
      <c r="G18" s="47">
        <f t="shared" si="1"/>
        <v>0</v>
      </c>
      <c r="H18" s="16"/>
      <c r="I18" s="47">
        <f t="shared" si="2"/>
        <v>0</v>
      </c>
      <c r="J18" s="16">
        <v>0</v>
      </c>
      <c r="K18" s="47">
        <f t="shared" si="3"/>
        <v>0</v>
      </c>
      <c r="L18" s="16"/>
      <c r="M18" s="47">
        <f t="shared" ref="M18" si="91">IFERROR(L18/L$54,0%)</f>
        <v>0</v>
      </c>
      <c r="N18" s="16"/>
      <c r="O18" s="47">
        <f t="shared" ref="O18" si="92">IFERROR(N18/N$54,0%)</f>
        <v>0</v>
      </c>
      <c r="P18" s="16"/>
      <c r="Q18" s="47">
        <f t="shared" si="6"/>
        <v>0</v>
      </c>
      <c r="R18" s="16"/>
      <c r="S18" s="47">
        <f t="shared" si="7"/>
        <v>0</v>
      </c>
      <c r="T18" s="16"/>
      <c r="U18" s="47">
        <f t="shared" si="8"/>
        <v>0</v>
      </c>
      <c r="V18" s="16"/>
      <c r="W18" s="47">
        <f t="shared" ref="W18" si="93">IFERROR(V18/V$54,0%)</f>
        <v>0</v>
      </c>
      <c r="X18" s="16"/>
      <c r="Y18" s="47">
        <f t="shared" ref="Y18" si="94">IFERROR(X18/X$54,0%)</f>
        <v>0</v>
      </c>
      <c r="Z18" s="16"/>
      <c r="AA18" s="47">
        <f t="shared" si="11"/>
        <v>0</v>
      </c>
      <c r="AB18" s="16"/>
      <c r="AC18" s="47">
        <f t="shared" si="12"/>
        <v>0</v>
      </c>
      <c r="AD18" s="16"/>
      <c r="AE18" s="47">
        <f t="shared" si="13"/>
        <v>0</v>
      </c>
      <c r="AF18" s="16"/>
      <c r="AG18" s="47">
        <f t="shared" ref="AG18" si="95">IFERROR(AF18/AF$54,0%)</f>
        <v>0</v>
      </c>
      <c r="AH18" s="16"/>
      <c r="AI18" s="47">
        <f t="shared" ref="AI18" si="96">IFERROR(AH18/AH$54,0%)</f>
        <v>0</v>
      </c>
      <c r="AJ18" s="16"/>
      <c r="AK18" s="47">
        <f t="shared" si="16"/>
        <v>0</v>
      </c>
      <c r="AL18" s="16"/>
      <c r="AM18" s="47">
        <f t="shared" si="17"/>
        <v>0</v>
      </c>
      <c r="AN18" s="16"/>
      <c r="AO18" s="47">
        <f t="shared" si="18"/>
        <v>0</v>
      </c>
    </row>
    <row r="19" spans="1:41" x14ac:dyDescent="0.25">
      <c r="A19" s="31" t="s">
        <v>102</v>
      </c>
      <c r="B19" s="16"/>
      <c r="C19" s="47">
        <f t="shared" si="0"/>
        <v>0</v>
      </c>
      <c r="D19" s="16"/>
      <c r="E19" s="47">
        <f t="shared" si="0"/>
        <v>0</v>
      </c>
      <c r="F19" s="16"/>
      <c r="G19" s="47">
        <f t="shared" si="1"/>
        <v>0</v>
      </c>
      <c r="H19" s="16"/>
      <c r="I19" s="47">
        <f t="shared" si="2"/>
        <v>0</v>
      </c>
      <c r="J19" s="16">
        <v>0</v>
      </c>
      <c r="K19" s="47">
        <f t="shared" si="3"/>
        <v>0</v>
      </c>
      <c r="L19" s="16"/>
      <c r="M19" s="47">
        <f t="shared" ref="M19" si="97">IFERROR(L19/L$54,0%)</f>
        <v>0</v>
      </c>
      <c r="N19" s="16"/>
      <c r="O19" s="47">
        <f t="shared" ref="O19" si="98">IFERROR(N19/N$54,0%)</f>
        <v>0</v>
      </c>
      <c r="P19" s="16"/>
      <c r="Q19" s="47">
        <f t="shared" si="6"/>
        <v>0</v>
      </c>
      <c r="R19" s="16"/>
      <c r="S19" s="47">
        <f t="shared" si="7"/>
        <v>0</v>
      </c>
      <c r="T19" s="16"/>
      <c r="U19" s="47">
        <f t="shared" si="8"/>
        <v>0</v>
      </c>
      <c r="V19" s="16"/>
      <c r="W19" s="47">
        <f t="shared" ref="W19" si="99">IFERROR(V19/V$54,0%)</f>
        <v>0</v>
      </c>
      <c r="X19" s="16"/>
      <c r="Y19" s="47">
        <f t="shared" ref="Y19" si="100">IFERROR(X19/X$54,0%)</f>
        <v>0</v>
      </c>
      <c r="Z19" s="16"/>
      <c r="AA19" s="47">
        <f t="shared" si="11"/>
        <v>0</v>
      </c>
      <c r="AB19" s="16"/>
      <c r="AC19" s="47">
        <f t="shared" si="12"/>
        <v>0</v>
      </c>
      <c r="AD19" s="16"/>
      <c r="AE19" s="47">
        <f t="shared" si="13"/>
        <v>0</v>
      </c>
      <c r="AF19" s="16"/>
      <c r="AG19" s="47">
        <f t="shared" ref="AG19" si="101">IFERROR(AF19/AF$54,0%)</f>
        <v>0</v>
      </c>
      <c r="AH19" s="16"/>
      <c r="AI19" s="47">
        <f t="shared" ref="AI19" si="102">IFERROR(AH19/AH$54,0%)</f>
        <v>0</v>
      </c>
      <c r="AJ19" s="16"/>
      <c r="AK19" s="47">
        <f t="shared" si="16"/>
        <v>0</v>
      </c>
      <c r="AL19" s="16"/>
      <c r="AM19" s="47">
        <f t="shared" si="17"/>
        <v>0</v>
      </c>
      <c r="AN19" s="16"/>
      <c r="AO19" s="47">
        <f t="shared" si="18"/>
        <v>0</v>
      </c>
    </row>
    <row r="20" spans="1:41" x14ac:dyDescent="0.25">
      <c r="A20" s="31" t="s">
        <v>103</v>
      </c>
      <c r="B20" s="16"/>
      <c r="C20" s="47">
        <f t="shared" si="0"/>
        <v>0</v>
      </c>
      <c r="D20" s="16"/>
      <c r="E20" s="47">
        <f t="shared" si="0"/>
        <v>0</v>
      </c>
      <c r="F20" s="16"/>
      <c r="G20" s="47">
        <f t="shared" si="1"/>
        <v>0</v>
      </c>
      <c r="H20" s="16"/>
      <c r="I20" s="47">
        <f t="shared" si="2"/>
        <v>0</v>
      </c>
      <c r="J20" s="16">
        <v>5.5555555555555358E-3</v>
      </c>
      <c r="K20" s="47">
        <f t="shared" si="3"/>
        <v>7.3300348176653582E-4</v>
      </c>
      <c r="L20" s="16"/>
      <c r="M20" s="47">
        <f t="shared" ref="M20" si="103">IFERROR(L20/L$54,0%)</f>
        <v>0</v>
      </c>
      <c r="N20" s="16"/>
      <c r="O20" s="47">
        <f t="shared" ref="O20" si="104">IFERROR(N20/N$54,0%)</f>
        <v>0</v>
      </c>
      <c r="P20" s="16"/>
      <c r="Q20" s="47">
        <f t="shared" si="6"/>
        <v>0</v>
      </c>
      <c r="R20" s="16"/>
      <c r="S20" s="47">
        <f t="shared" si="7"/>
        <v>0</v>
      </c>
      <c r="T20" s="16"/>
      <c r="U20" s="47">
        <f t="shared" si="8"/>
        <v>0</v>
      </c>
      <c r="V20" s="16"/>
      <c r="W20" s="47">
        <f t="shared" ref="W20" si="105">IFERROR(V20/V$54,0%)</f>
        <v>0</v>
      </c>
      <c r="X20" s="16"/>
      <c r="Y20" s="47">
        <f t="shared" ref="Y20" si="106">IFERROR(X20/X$54,0%)</f>
        <v>0</v>
      </c>
      <c r="Z20" s="16"/>
      <c r="AA20" s="47">
        <f t="shared" si="11"/>
        <v>0</v>
      </c>
      <c r="AB20" s="16"/>
      <c r="AC20" s="47">
        <f t="shared" si="12"/>
        <v>0</v>
      </c>
      <c r="AD20" s="16"/>
      <c r="AE20" s="47">
        <f t="shared" si="13"/>
        <v>0</v>
      </c>
      <c r="AF20" s="16"/>
      <c r="AG20" s="47">
        <f t="shared" ref="AG20" si="107">IFERROR(AF20/AF$54,0%)</f>
        <v>0</v>
      </c>
      <c r="AH20" s="16"/>
      <c r="AI20" s="47">
        <f t="shared" ref="AI20" si="108">IFERROR(AH20/AH$54,0%)</f>
        <v>0</v>
      </c>
      <c r="AJ20" s="16"/>
      <c r="AK20" s="47">
        <f t="shared" si="16"/>
        <v>0</v>
      </c>
      <c r="AL20" s="16"/>
      <c r="AM20" s="47">
        <f t="shared" si="17"/>
        <v>0</v>
      </c>
      <c r="AN20" s="16"/>
      <c r="AO20" s="47">
        <f t="shared" si="18"/>
        <v>0</v>
      </c>
    </row>
    <row r="21" spans="1:41" x14ac:dyDescent="0.25">
      <c r="A21" s="32" t="s">
        <v>174</v>
      </c>
      <c r="B21" s="16"/>
      <c r="C21" s="47">
        <f t="shared" ref="C21:E36" si="109">IFERROR(B21/B$54,0%)</f>
        <v>0</v>
      </c>
      <c r="D21" s="16"/>
      <c r="E21" s="47">
        <f t="shared" si="109"/>
        <v>0</v>
      </c>
      <c r="F21" s="16"/>
      <c r="G21" s="47">
        <f t="shared" si="1"/>
        <v>0</v>
      </c>
      <c r="H21" s="16"/>
      <c r="I21" s="47">
        <f t="shared" si="2"/>
        <v>0</v>
      </c>
      <c r="J21" s="16">
        <v>0</v>
      </c>
      <c r="K21" s="47">
        <f t="shared" si="3"/>
        <v>0</v>
      </c>
      <c r="L21" s="16"/>
      <c r="M21" s="47">
        <f t="shared" ref="M21" si="110">IFERROR(L21/L$54,0%)</f>
        <v>0</v>
      </c>
      <c r="N21" s="16"/>
      <c r="O21" s="47">
        <f t="shared" ref="O21" si="111">IFERROR(N21/N$54,0%)</f>
        <v>0</v>
      </c>
      <c r="P21" s="16"/>
      <c r="Q21" s="47">
        <f t="shared" si="6"/>
        <v>0</v>
      </c>
      <c r="R21" s="16"/>
      <c r="S21" s="47">
        <f t="shared" si="7"/>
        <v>0</v>
      </c>
      <c r="T21" s="16"/>
      <c r="U21" s="47">
        <f t="shared" si="8"/>
        <v>0</v>
      </c>
      <c r="V21" s="16"/>
      <c r="W21" s="47">
        <f t="shared" ref="W21" si="112">IFERROR(V21/V$54,0%)</f>
        <v>0</v>
      </c>
      <c r="X21" s="16"/>
      <c r="Y21" s="47">
        <f t="shared" ref="Y21" si="113">IFERROR(X21/X$54,0%)</f>
        <v>0</v>
      </c>
      <c r="Z21" s="16"/>
      <c r="AA21" s="47">
        <f t="shared" si="11"/>
        <v>0</v>
      </c>
      <c r="AB21" s="16"/>
      <c r="AC21" s="47">
        <f t="shared" si="12"/>
        <v>0</v>
      </c>
      <c r="AD21" s="16"/>
      <c r="AE21" s="47">
        <f t="shared" si="13"/>
        <v>0</v>
      </c>
      <c r="AF21" s="16"/>
      <c r="AG21" s="47">
        <f t="shared" ref="AG21" si="114">IFERROR(AF21/AF$54,0%)</f>
        <v>0</v>
      </c>
      <c r="AH21" s="16"/>
      <c r="AI21" s="47">
        <f t="shared" ref="AI21" si="115">IFERROR(AH21/AH$54,0%)</f>
        <v>0</v>
      </c>
      <c r="AJ21" s="16"/>
      <c r="AK21" s="47">
        <f t="shared" si="16"/>
        <v>0</v>
      </c>
      <c r="AL21" s="16"/>
      <c r="AM21" s="47">
        <f t="shared" si="17"/>
        <v>0</v>
      </c>
      <c r="AN21" s="16"/>
      <c r="AO21" s="47">
        <f t="shared" si="18"/>
        <v>0</v>
      </c>
    </row>
    <row r="22" spans="1:41" x14ac:dyDescent="0.25">
      <c r="A22" s="32" t="s">
        <v>175</v>
      </c>
      <c r="B22" s="16"/>
      <c r="C22" s="47">
        <f t="shared" si="109"/>
        <v>0</v>
      </c>
      <c r="D22" s="16"/>
      <c r="E22" s="47">
        <f t="shared" si="109"/>
        <v>0</v>
      </c>
      <c r="F22" s="16"/>
      <c r="G22" s="47">
        <f t="shared" si="1"/>
        <v>0</v>
      </c>
      <c r="H22" s="16"/>
      <c r="I22" s="47">
        <f t="shared" si="2"/>
        <v>0</v>
      </c>
      <c r="J22" s="16">
        <v>0</v>
      </c>
      <c r="K22" s="47">
        <f t="shared" si="3"/>
        <v>0</v>
      </c>
      <c r="L22" s="16"/>
      <c r="M22" s="47">
        <f t="shared" ref="M22" si="116">IFERROR(L22/L$54,0%)</f>
        <v>0</v>
      </c>
      <c r="N22" s="16"/>
      <c r="O22" s="47">
        <f t="shared" ref="O22" si="117">IFERROR(N22/N$54,0%)</f>
        <v>0</v>
      </c>
      <c r="P22" s="16"/>
      <c r="Q22" s="47">
        <f t="shared" si="6"/>
        <v>0</v>
      </c>
      <c r="R22" s="16"/>
      <c r="S22" s="47">
        <f t="shared" si="7"/>
        <v>0</v>
      </c>
      <c r="T22" s="16"/>
      <c r="U22" s="47">
        <f t="shared" si="8"/>
        <v>0</v>
      </c>
      <c r="V22" s="16"/>
      <c r="W22" s="47">
        <f t="shared" ref="W22" si="118">IFERROR(V22/V$54,0%)</f>
        <v>0</v>
      </c>
      <c r="X22" s="16"/>
      <c r="Y22" s="47">
        <f t="shared" ref="Y22" si="119">IFERROR(X22/X$54,0%)</f>
        <v>0</v>
      </c>
      <c r="Z22" s="16"/>
      <c r="AA22" s="47">
        <f t="shared" si="11"/>
        <v>0</v>
      </c>
      <c r="AB22" s="16"/>
      <c r="AC22" s="47">
        <f t="shared" si="12"/>
        <v>0</v>
      </c>
      <c r="AD22" s="16"/>
      <c r="AE22" s="47">
        <f t="shared" si="13"/>
        <v>0</v>
      </c>
      <c r="AF22" s="16"/>
      <c r="AG22" s="47">
        <f t="shared" ref="AG22" si="120">IFERROR(AF22/AF$54,0%)</f>
        <v>0</v>
      </c>
      <c r="AH22" s="16"/>
      <c r="AI22" s="47">
        <f t="shared" ref="AI22" si="121">IFERROR(AH22/AH$54,0%)</f>
        <v>0</v>
      </c>
      <c r="AJ22" s="16"/>
      <c r="AK22" s="47">
        <f t="shared" si="16"/>
        <v>0</v>
      </c>
      <c r="AL22" s="16"/>
      <c r="AM22" s="47">
        <f t="shared" si="17"/>
        <v>0</v>
      </c>
      <c r="AN22" s="16"/>
      <c r="AO22" s="47">
        <f t="shared" si="18"/>
        <v>0</v>
      </c>
    </row>
    <row r="23" spans="1:41" x14ac:dyDescent="0.25">
      <c r="A23" s="32" t="s">
        <v>176</v>
      </c>
      <c r="B23" s="16"/>
      <c r="C23" s="47">
        <f t="shared" si="109"/>
        <v>0</v>
      </c>
      <c r="D23" s="16"/>
      <c r="E23" s="47">
        <f t="shared" si="109"/>
        <v>0</v>
      </c>
      <c r="F23" s="16"/>
      <c r="G23" s="47">
        <f t="shared" si="1"/>
        <v>0</v>
      </c>
      <c r="H23" s="16"/>
      <c r="I23" s="47">
        <f t="shared" si="2"/>
        <v>0</v>
      </c>
      <c r="J23" s="16">
        <v>0</v>
      </c>
      <c r="K23" s="47">
        <f t="shared" si="3"/>
        <v>0</v>
      </c>
      <c r="L23" s="16"/>
      <c r="M23" s="47">
        <f t="shared" ref="M23" si="122">IFERROR(L23/L$54,0%)</f>
        <v>0</v>
      </c>
      <c r="N23" s="16"/>
      <c r="O23" s="47">
        <f t="shared" ref="O23" si="123">IFERROR(N23/N$54,0%)</f>
        <v>0</v>
      </c>
      <c r="P23" s="16"/>
      <c r="Q23" s="47">
        <f t="shared" si="6"/>
        <v>0</v>
      </c>
      <c r="R23" s="16"/>
      <c r="S23" s="47">
        <f t="shared" si="7"/>
        <v>0</v>
      </c>
      <c r="T23" s="16"/>
      <c r="U23" s="47">
        <f t="shared" si="8"/>
        <v>0</v>
      </c>
      <c r="V23" s="16"/>
      <c r="W23" s="47">
        <f t="shared" ref="W23" si="124">IFERROR(V23/V$54,0%)</f>
        <v>0</v>
      </c>
      <c r="X23" s="16"/>
      <c r="Y23" s="47">
        <f t="shared" ref="Y23" si="125">IFERROR(X23/X$54,0%)</f>
        <v>0</v>
      </c>
      <c r="Z23" s="16"/>
      <c r="AA23" s="47">
        <f t="shared" si="11"/>
        <v>0</v>
      </c>
      <c r="AB23" s="16"/>
      <c r="AC23" s="47">
        <f t="shared" si="12"/>
        <v>0</v>
      </c>
      <c r="AD23" s="16"/>
      <c r="AE23" s="47">
        <f t="shared" si="13"/>
        <v>0</v>
      </c>
      <c r="AF23" s="16"/>
      <c r="AG23" s="47">
        <f t="shared" ref="AG23" si="126">IFERROR(AF23/AF$54,0%)</f>
        <v>0</v>
      </c>
      <c r="AH23" s="16"/>
      <c r="AI23" s="47">
        <f t="shared" ref="AI23" si="127">IFERROR(AH23/AH$54,0%)</f>
        <v>0</v>
      </c>
      <c r="AJ23" s="16"/>
      <c r="AK23" s="47">
        <f t="shared" si="16"/>
        <v>0</v>
      </c>
      <c r="AL23" s="16"/>
      <c r="AM23" s="47">
        <f t="shared" si="17"/>
        <v>0</v>
      </c>
      <c r="AN23" s="16"/>
      <c r="AO23" s="47">
        <f t="shared" si="18"/>
        <v>0</v>
      </c>
    </row>
    <row r="24" spans="1:41" x14ac:dyDescent="0.25">
      <c r="A24" s="32" t="s">
        <v>177</v>
      </c>
      <c r="B24" s="16"/>
      <c r="C24" s="47">
        <f t="shared" si="109"/>
        <v>0</v>
      </c>
      <c r="D24" s="16"/>
      <c r="E24" s="47">
        <f t="shared" si="109"/>
        <v>0</v>
      </c>
      <c r="F24" s="16"/>
      <c r="G24" s="47">
        <f t="shared" si="1"/>
        <v>0</v>
      </c>
      <c r="H24" s="16"/>
      <c r="I24" s="47">
        <f t="shared" si="2"/>
        <v>0</v>
      </c>
      <c r="J24" s="16">
        <v>0</v>
      </c>
      <c r="K24" s="47">
        <f t="shared" si="3"/>
        <v>0</v>
      </c>
      <c r="L24" s="16"/>
      <c r="M24" s="47">
        <f t="shared" ref="M24" si="128">IFERROR(L24/L$54,0%)</f>
        <v>0</v>
      </c>
      <c r="N24" s="16"/>
      <c r="O24" s="47">
        <f t="shared" ref="O24" si="129">IFERROR(N24/N$54,0%)</f>
        <v>0</v>
      </c>
      <c r="P24" s="16"/>
      <c r="Q24" s="47">
        <f t="shared" si="6"/>
        <v>0</v>
      </c>
      <c r="R24" s="16"/>
      <c r="S24" s="47">
        <f t="shared" si="7"/>
        <v>0</v>
      </c>
      <c r="T24" s="16"/>
      <c r="U24" s="47">
        <f t="shared" si="8"/>
        <v>0</v>
      </c>
      <c r="V24" s="16"/>
      <c r="W24" s="47">
        <f t="shared" ref="W24" si="130">IFERROR(V24/V$54,0%)</f>
        <v>0</v>
      </c>
      <c r="X24" s="16"/>
      <c r="Y24" s="47">
        <f t="shared" ref="Y24" si="131">IFERROR(X24/X$54,0%)</f>
        <v>0</v>
      </c>
      <c r="Z24" s="16"/>
      <c r="AA24" s="47">
        <f t="shared" si="11"/>
        <v>0</v>
      </c>
      <c r="AB24" s="16"/>
      <c r="AC24" s="47">
        <f t="shared" si="12"/>
        <v>0</v>
      </c>
      <c r="AD24" s="16"/>
      <c r="AE24" s="47">
        <f t="shared" si="13"/>
        <v>0</v>
      </c>
      <c r="AF24" s="16"/>
      <c r="AG24" s="47">
        <f t="shared" ref="AG24" si="132">IFERROR(AF24/AF$54,0%)</f>
        <v>0</v>
      </c>
      <c r="AH24" s="16"/>
      <c r="AI24" s="47">
        <f t="shared" ref="AI24" si="133">IFERROR(AH24/AH$54,0%)</f>
        <v>0</v>
      </c>
      <c r="AJ24" s="16"/>
      <c r="AK24" s="47">
        <f t="shared" si="16"/>
        <v>0</v>
      </c>
      <c r="AL24" s="16"/>
      <c r="AM24" s="47">
        <f t="shared" si="17"/>
        <v>0</v>
      </c>
      <c r="AN24" s="16"/>
      <c r="AO24" s="47">
        <f t="shared" si="18"/>
        <v>0</v>
      </c>
    </row>
    <row r="25" spans="1:41" x14ac:dyDescent="0.25">
      <c r="A25" s="32" t="s">
        <v>178</v>
      </c>
      <c r="B25" s="16"/>
      <c r="C25" s="47">
        <f t="shared" si="109"/>
        <v>0</v>
      </c>
      <c r="D25" s="16"/>
      <c r="E25" s="47">
        <f t="shared" si="109"/>
        <v>0</v>
      </c>
      <c r="F25" s="16"/>
      <c r="G25" s="47">
        <f t="shared" si="1"/>
        <v>0</v>
      </c>
      <c r="H25" s="16"/>
      <c r="I25" s="47">
        <f t="shared" si="2"/>
        <v>0</v>
      </c>
      <c r="J25" s="16">
        <v>0</v>
      </c>
      <c r="K25" s="47">
        <f t="shared" si="3"/>
        <v>0</v>
      </c>
      <c r="L25" s="16"/>
      <c r="M25" s="47">
        <f t="shared" ref="M25" si="134">IFERROR(L25/L$54,0%)</f>
        <v>0</v>
      </c>
      <c r="N25" s="16"/>
      <c r="O25" s="47">
        <f t="shared" ref="O25" si="135">IFERROR(N25/N$54,0%)</f>
        <v>0</v>
      </c>
      <c r="P25" s="16"/>
      <c r="Q25" s="47">
        <f t="shared" si="6"/>
        <v>0</v>
      </c>
      <c r="R25" s="16"/>
      <c r="S25" s="47">
        <f t="shared" si="7"/>
        <v>0</v>
      </c>
      <c r="T25" s="16"/>
      <c r="U25" s="47">
        <f t="shared" si="8"/>
        <v>0</v>
      </c>
      <c r="V25" s="16"/>
      <c r="W25" s="47">
        <f t="shared" ref="W25" si="136">IFERROR(V25/V$54,0%)</f>
        <v>0</v>
      </c>
      <c r="X25" s="16"/>
      <c r="Y25" s="47">
        <f t="shared" ref="Y25" si="137">IFERROR(X25/X$54,0%)</f>
        <v>0</v>
      </c>
      <c r="Z25" s="16"/>
      <c r="AA25" s="47">
        <f t="shared" si="11"/>
        <v>0</v>
      </c>
      <c r="AB25" s="16"/>
      <c r="AC25" s="47">
        <f t="shared" si="12"/>
        <v>0</v>
      </c>
      <c r="AD25" s="16"/>
      <c r="AE25" s="47">
        <f t="shared" si="13"/>
        <v>0</v>
      </c>
      <c r="AF25" s="16"/>
      <c r="AG25" s="47">
        <f t="shared" ref="AG25" si="138">IFERROR(AF25/AF$54,0%)</f>
        <v>0</v>
      </c>
      <c r="AH25" s="16"/>
      <c r="AI25" s="47">
        <f t="shared" ref="AI25" si="139">IFERROR(AH25/AH$54,0%)</f>
        <v>0</v>
      </c>
      <c r="AJ25" s="16"/>
      <c r="AK25" s="47">
        <f t="shared" si="16"/>
        <v>0</v>
      </c>
      <c r="AL25" s="16"/>
      <c r="AM25" s="47">
        <f t="shared" si="17"/>
        <v>0</v>
      </c>
      <c r="AN25" s="16"/>
      <c r="AO25" s="47">
        <f t="shared" si="18"/>
        <v>0</v>
      </c>
    </row>
    <row r="26" spans="1:41" x14ac:dyDescent="0.25">
      <c r="A26" s="33" t="s">
        <v>179</v>
      </c>
      <c r="B26" s="16"/>
      <c r="C26" s="47">
        <f t="shared" si="109"/>
        <v>0</v>
      </c>
      <c r="D26" s="16"/>
      <c r="E26" s="47">
        <f t="shared" si="109"/>
        <v>0</v>
      </c>
      <c r="F26" s="16"/>
      <c r="G26" s="47">
        <f t="shared" si="1"/>
        <v>0</v>
      </c>
      <c r="H26" s="16"/>
      <c r="I26" s="47">
        <f t="shared" si="2"/>
        <v>0</v>
      </c>
      <c r="J26" s="16">
        <v>0</v>
      </c>
      <c r="K26" s="47">
        <f t="shared" si="3"/>
        <v>0</v>
      </c>
      <c r="L26" s="16"/>
      <c r="M26" s="47">
        <f t="shared" ref="M26" si="140">IFERROR(L26/L$54,0%)</f>
        <v>0</v>
      </c>
      <c r="N26" s="16"/>
      <c r="O26" s="47">
        <f t="shared" ref="O26" si="141">IFERROR(N26/N$54,0%)</f>
        <v>0</v>
      </c>
      <c r="P26" s="16"/>
      <c r="Q26" s="47">
        <f t="shared" si="6"/>
        <v>0</v>
      </c>
      <c r="R26" s="16"/>
      <c r="S26" s="47">
        <f t="shared" si="7"/>
        <v>0</v>
      </c>
      <c r="T26" s="16"/>
      <c r="U26" s="47">
        <f t="shared" si="8"/>
        <v>0</v>
      </c>
      <c r="V26" s="16"/>
      <c r="W26" s="47">
        <f t="shared" ref="W26" si="142">IFERROR(V26/V$54,0%)</f>
        <v>0</v>
      </c>
      <c r="X26" s="16"/>
      <c r="Y26" s="47">
        <f t="shared" ref="Y26" si="143">IFERROR(X26/X$54,0%)</f>
        <v>0</v>
      </c>
      <c r="Z26" s="16"/>
      <c r="AA26" s="47">
        <f t="shared" si="11"/>
        <v>0</v>
      </c>
      <c r="AB26" s="16"/>
      <c r="AC26" s="47">
        <f t="shared" si="12"/>
        <v>0</v>
      </c>
      <c r="AD26" s="16"/>
      <c r="AE26" s="47">
        <f t="shared" si="13"/>
        <v>0</v>
      </c>
      <c r="AF26" s="16"/>
      <c r="AG26" s="47">
        <f t="shared" ref="AG26" si="144">IFERROR(AF26/AF$54,0%)</f>
        <v>0</v>
      </c>
      <c r="AH26" s="16"/>
      <c r="AI26" s="47">
        <f t="shared" ref="AI26" si="145">IFERROR(AH26/AH$54,0%)</f>
        <v>0</v>
      </c>
      <c r="AJ26" s="16"/>
      <c r="AK26" s="47">
        <f t="shared" si="16"/>
        <v>0</v>
      </c>
      <c r="AL26" s="16"/>
      <c r="AM26" s="47">
        <f t="shared" si="17"/>
        <v>0</v>
      </c>
      <c r="AN26" s="16"/>
      <c r="AO26" s="47">
        <f t="shared" si="18"/>
        <v>0</v>
      </c>
    </row>
    <row r="27" spans="1:41" x14ac:dyDescent="0.25">
      <c r="A27" s="31" t="s">
        <v>104</v>
      </c>
      <c r="B27" s="16"/>
      <c r="C27" s="47">
        <f t="shared" si="109"/>
        <v>0</v>
      </c>
      <c r="D27" s="16"/>
      <c r="E27" s="47">
        <f t="shared" si="109"/>
        <v>0</v>
      </c>
      <c r="F27" s="16"/>
      <c r="G27" s="47">
        <f t="shared" si="1"/>
        <v>0</v>
      </c>
      <c r="H27" s="16"/>
      <c r="I27" s="47">
        <f t="shared" si="2"/>
        <v>0</v>
      </c>
      <c r="J27" s="16">
        <v>0</v>
      </c>
      <c r="K27" s="47">
        <f t="shared" si="3"/>
        <v>0</v>
      </c>
      <c r="L27" s="16"/>
      <c r="M27" s="47">
        <f t="shared" ref="M27" si="146">IFERROR(L27/L$54,0%)</f>
        <v>0</v>
      </c>
      <c r="N27" s="16"/>
      <c r="O27" s="47">
        <f t="shared" ref="O27" si="147">IFERROR(N27/N$54,0%)</f>
        <v>0</v>
      </c>
      <c r="P27" s="16"/>
      <c r="Q27" s="47">
        <f t="shared" si="6"/>
        <v>0</v>
      </c>
      <c r="R27" s="16"/>
      <c r="S27" s="47">
        <f t="shared" si="7"/>
        <v>0</v>
      </c>
      <c r="T27" s="16"/>
      <c r="U27" s="47">
        <f t="shared" si="8"/>
        <v>0</v>
      </c>
      <c r="V27" s="16"/>
      <c r="W27" s="47">
        <f t="shared" ref="W27" si="148">IFERROR(V27/V$54,0%)</f>
        <v>0</v>
      </c>
      <c r="X27" s="16"/>
      <c r="Y27" s="47">
        <f t="shared" ref="Y27" si="149">IFERROR(X27/X$54,0%)</f>
        <v>0</v>
      </c>
      <c r="Z27" s="16"/>
      <c r="AA27" s="47">
        <f t="shared" si="11"/>
        <v>0</v>
      </c>
      <c r="AB27" s="16"/>
      <c r="AC27" s="47">
        <f t="shared" si="12"/>
        <v>0</v>
      </c>
      <c r="AD27" s="16"/>
      <c r="AE27" s="47">
        <f t="shared" si="13"/>
        <v>0</v>
      </c>
      <c r="AF27" s="16"/>
      <c r="AG27" s="47">
        <f t="shared" ref="AG27" si="150">IFERROR(AF27/AF$54,0%)</f>
        <v>0</v>
      </c>
      <c r="AH27" s="16"/>
      <c r="AI27" s="47">
        <f t="shared" ref="AI27" si="151">IFERROR(AH27/AH$54,0%)</f>
        <v>0</v>
      </c>
      <c r="AJ27" s="16"/>
      <c r="AK27" s="47">
        <f t="shared" si="16"/>
        <v>0</v>
      </c>
      <c r="AL27" s="16"/>
      <c r="AM27" s="47">
        <f t="shared" si="17"/>
        <v>0</v>
      </c>
      <c r="AN27" s="16"/>
      <c r="AO27" s="47">
        <f t="shared" si="18"/>
        <v>0</v>
      </c>
    </row>
    <row r="28" spans="1:41" x14ac:dyDescent="0.25">
      <c r="A28" s="31" t="s">
        <v>105</v>
      </c>
      <c r="B28" s="16"/>
      <c r="C28" s="47">
        <f t="shared" si="109"/>
        <v>0</v>
      </c>
      <c r="D28" s="16"/>
      <c r="E28" s="47">
        <f t="shared" si="109"/>
        <v>0</v>
      </c>
      <c r="F28" s="16"/>
      <c r="G28" s="47">
        <f t="shared" si="1"/>
        <v>0</v>
      </c>
      <c r="H28" s="16"/>
      <c r="I28" s="47">
        <f t="shared" si="2"/>
        <v>0</v>
      </c>
      <c r="J28" s="16">
        <v>0</v>
      </c>
      <c r="K28" s="47">
        <f t="shared" si="3"/>
        <v>0</v>
      </c>
      <c r="L28" s="16"/>
      <c r="M28" s="47">
        <f t="shared" ref="M28" si="152">IFERROR(L28/L$54,0%)</f>
        <v>0</v>
      </c>
      <c r="N28" s="16"/>
      <c r="O28" s="47">
        <f t="shared" ref="O28" si="153">IFERROR(N28/N$54,0%)</f>
        <v>0</v>
      </c>
      <c r="P28" s="16"/>
      <c r="Q28" s="47">
        <f t="shared" si="6"/>
        <v>0</v>
      </c>
      <c r="R28" s="16"/>
      <c r="S28" s="47">
        <f t="shared" si="7"/>
        <v>0</v>
      </c>
      <c r="T28" s="16"/>
      <c r="U28" s="47">
        <f t="shared" si="8"/>
        <v>0</v>
      </c>
      <c r="V28" s="16"/>
      <c r="W28" s="47">
        <f t="shared" ref="W28" si="154">IFERROR(V28/V$54,0%)</f>
        <v>0</v>
      </c>
      <c r="X28" s="16"/>
      <c r="Y28" s="47">
        <f t="shared" ref="Y28" si="155">IFERROR(X28/X$54,0%)</f>
        <v>0</v>
      </c>
      <c r="Z28" s="16"/>
      <c r="AA28" s="47">
        <f t="shared" si="11"/>
        <v>0</v>
      </c>
      <c r="AB28" s="16"/>
      <c r="AC28" s="47">
        <f t="shared" si="12"/>
        <v>0</v>
      </c>
      <c r="AD28" s="16"/>
      <c r="AE28" s="47">
        <f t="shared" si="13"/>
        <v>0</v>
      </c>
      <c r="AF28" s="16"/>
      <c r="AG28" s="47">
        <f t="shared" ref="AG28" si="156">IFERROR(AF28/AF$54,0%)</f>
        <v>0</v>
      </c>
      <c r="AH28" s="16"/>
      <c r="AI28" s="47">
        <f t="shared" ref="AI28" si="157">IFERROR(AH28/AH$54,0%)</f>
        <v>0</v>
      </c>
      <c r="AJ28" s="16"/>
      <c r="AK28" s="47">
        <f t="shared" si="16"/>
        <v>0</v>
      </c>
      <c r="AL28" s="16"/>
      <c r="AM28" s="47">
        <f t="shared" si="17"/>
        <v>0</v>
      </c>
      <c r="AN28" s="16"/>
      <c r="AO28" s="47">
        <f t="shared" si="18"/>
        <v>0</v>
      </c>
    </row>
    <row r="29" spans="1:41" x14ac:dyDescent="0.25">
      <c r="A29" s="32" t="s">
        <v>180</v>
      </c>
      <c r="B29" s="16"/>
      <c r="C29" s="47">
        <f t="shared" si="109"/>
        <v>0</v>
      </c>
      <c r="D29" s="16"/>
      <c r="E29" s="47">
        <f t="shared" si="109"/>
        <v>0</v>
      </c>
      <c r="F29" s="16"/>
      <c r="G29" s="47">
        <f t="shared" si="1"/>
        <v>0</v>
      </c>
      <c r="H29" s="16"/>
      <c r="I29" s="47">
        <f t="shared" si="2"/>
        <v>0</v>
      </c>
      <c r="J29" s="16">
        <v>0</v>
      </c>
      <c r="K29" s="47">
        <f t="shared" si="3"/>
        <v>0</v>
      </c>
      <c r="L29" s="16"/>
      <c r="M29" s="47">
        <f t="shared" ref="M29" si="158">IFERROR(L29/L$54,0%)</f>
        <v>0</v>
      </c>
      <c r="N29" s="16"/>
      <c r="O29" s="47">
        <f t="shared" ref="O29" si="159">IFERROR(N29/N$54,0%)</f>
        <v>0</v>
      </c>
      <c r="P29" s="16"/>
      <c r="Q29" s="47">
        <f t="shared" si="6"/>
        <v>0</v>
      </c>
      <c r="R29" s="16"/>
      <c r="S29" s="47">
        <f t="shared" si="7"/>
        <v>0</v>
      </c>
      <c r="T29" s="16"/>
      <c r="U29" s="47">
        <f t="shared" si="8"/>
        <v>0</v>
      </c>
      <c r="V29" s="16"/>
      <c r="W29" s="47">
        <f t="shared" ref="W29" si="160">IFERROR(V29/V$54,0%)</f>
        <v>0</v>
      </c>
      <c r="X29" s="16"/>
      <c r="Y29" s="47">
        <f t="shared" ref="Y29" si="161">IFERROR(X29/X$54,0%)</f>
        <v>0</v>
      </c>
      <c r="Z29" s="16"/>
      <c r="AA29" s="47">
        <f t="shared" si="11"/>
        <v>0</v>
      </c>
      <c r="AB29" s="16"/>
      <c r="AC29" s="47">
        <f t="shared" si="12"/>
        <v>0</v>
      </c>
      <c r="AD29" s="16"/>
      <c r="AE29" s="47">
        <f t="shared" si="13"/>
        <v>0</v>
      </c>
      <c r="AF29" s="16"/>
      <c r="AG29" s="47">
        <f t="shared" ref="AG29" si="162">IFERROR(AF29/AF$54,0%)</f>
        <v>0</v>
      </c>
      <c r="AH29" s="16"/>
      <c r="AI29" s="47">
        <f t="shared" ref="AI29" si="163">IFERROR(AH29/AH$54,0%)</f>
        <v>0</v>
      </c>
      <c r="AJ29" s="16"/>
      <c r="AK29" s="47">
        <f t="shared" si="16"/>
        <v>0</v>
      </c>
      <c r="AL29" s="16"/>
      <c r="AM29" s="47">
        <f t="shared" si="17"/>
        <v>0</v>
      </c>
      <c r="AN29" s="16"/>
      <c r="AO29" s="47">
        <f t="shared" si="18"/>
        <v>0</v>
      </c>
    </row>
    <row r="30" spans="1:41" x14ac:dyDescent="0.25">
      <c r="A30" s="32" t="s">
        <v>181</v>
      </c>
      <c r="B30" s="16"/>
      <c r="C30" s="47">
        <f t="shared" si="109"/>
        <v>0</v>
      </c>
      <c r="D30" s="16"/>
      <c r="E30" s="47">
        <f t="shared" si="109"/>
        <v>0</v>
      </c>
      <c r="F30" s="16"/>
      <c r="G30" s="47">
        <f t="shared" si="1"/>
        <v>0</v>
      </c>
      <c r="H30" s="16"/>
      <c r="I30" s="47">
        <f t="shared" si="2"/>
        <v>0</v>
      </c>
      <c r="J30" s="16">
        <v>0</v>
      </c>
      <c r="K30" s="47">
        <f t="shared" si="3"/>
        <v>0</v>
      </c>
      <c r="L30" s="16"/>
      <c r="M30" s="47">
        <f t="shared" ref="M30" si="164">IFERROR(L30/L$54,0%)</f>
        <v>0</v>
      </c>
      <c r="N30" s="16"/>
      <c r="O30" s="47">
        <f t="shared" ref="O30" si="165">IFERROR(N30/N$54,0%)</f>
        <v>0</v>
      </c>
      <c r="P30" s="16"/>
      <c r="Q30" s="47">
        <f t="shared" si="6"/>
        <v>0</v>
      </c>
      <c r="R30" s="16"/>
      <c r="S30" s="47">
        <f t="shared" si="7"/>
        <v>0</v>
      </c>
      <c r="T30" s="16"/>
      <c r="U30" s="47">
        <f t="shared" si="8"/>
        <v>0</v>
      </c>
      <c r="V30" s="16"/>
      <c r="W30" s="47">
        <f t="shared" ref="W30" si="166">IFERROR(V30/V$54,0%)</f>
        <v>0</v>
      </c>
      <c r="X30" s="16"/>
      <c r="Y30" s="47">
        <f t="shared" ref="Y30" si="167">IFERROR(X30/X$54,0%)</f>
        <v>0</v>
      </c>
      <c r="Z30" s="16"/>
      <c r="AA30" s="47">
        <f t="shared" si="11"/>
        <v>0</v>
      </c>
      <c r="AB30" s="16"/>
      <c r="AC30" s="47">
        <f t="shared" si="12"/>
        <v>0</v>
      </c>
      <c r="AD30" s="16"/>
      <c r="AE30" s="47">
        <f t="shared" si="13"/>
        <v>0</v>
      </c>
      <c r="AF30" s="16"/>
      <c r="AG30" s="47">
        <f t="shared" ref="AG30" si="168">IFERROR(AF30/AF$54,0%)</f>
        <v>0</v>
      </c>
      <c r="AH30" s="16"/>
      <c r="AI30" s="47">
        <f t="shared" ref="AI30" si="169">IFERROR(AH30/AH$54,0%)</f>
        <v>0</v>
      </c>
      <c r="AJ30" s="16"/>
      <c r="AK30" s="47">
        <f t="shared" si="16"/>
        <v>0</v>
      </c>
      <c r="AL30" s="16"/>
      <c r="AM30" s="47">
        <f t="shared" si="17"/>
        <v>0</v>
      </c>
      <c r="AN30" s="16"/>
      <c r="AO30" s="47">
        <f t="shared" si="18"/>
        <v>0</v>
      </c>
    </row>
    <row r="31" spans="1:41" x14ac:dyDescent="0.25">
      <c r="A31" s="32" t="s">
        <v>182</v>
      </c>
      <c r="B31" s="16"/>
      <c r="C31" s="47">
        <f t="shared" si="109"/>
        <v>0</v>
      </c>
      <c r="D31" s="16"/>
      <c r="E31" s="47">
        <f t="shared" si="109"/>
        <v>0</v>
      </c>
      <c r="F31" s="16"/>
      <c r="G31" s="47">
        <f t="shared" si="1"/>
        <v>0</v>
      </c>
      <c r="H31" s="16"/>
      <c r="I31" s="47">
        <f t="shared" si="2"/>
        <v>0</v>
      </c>
      <c r="J31" s="16">
        <v>0</v>
      </c>
      <c r="K31" s="47">
        <f t="shared" si="3"/>
        <v>0</v>
      </c>
      <c r="L31" s="16"/>
      <c r="M31" s="47">
        <f t="shared" ref="M31" si="170">IFERROR(L31/L$54,0%)</f>
        <v>0</v>
      </c>
      <c r="N31" s="16"/>
      <c r="O31" s="47">
        <f t="shared" ref="O31" si="171">IFERROR(N31/N$54,0%)</f>
        <v>0</v>
      </c>
      <c r="P31" s="16"/>
      <c r="Q31" s="47">
        <f t="shared" si="6"/>
        <v>0</v>
      </c>
      <c r="R31" s="16"/>
      <c r="S31" s="47">
        <f t="shared" si="7"/>
        <v>0</v>
      </c>
      <c r="T31" s="16"/>
      <c r="U31" s="47">
        <f t="shared" si="8"/>
        <v>0</v>
      </c>
      <c r="V31" s="16"/>
      <c r="W31" s="47">
        <f t="shared" ref="W31" si="172">IFERROR(V31/V$54,0%)</f>
        <v>0</v>
      </c>
      <c r="X31" s="16"/>
      <c r="Y31" s="47">
        <f t="shared" ref="Y31" si="173">IFERROR(X31/X$54,0%)</f>
        <v>0</v>
      </c>
      <c r="Z31" s="16"/>
      <c r="AA31" s="47">
        <f t="shared" si="11"/>
        <v>0</v>
      </c>
      <c r="AB31" s="16"/>
      <c r="AC31" s="47">
        <f t="shared" si="12"/>
        <v>0</v>
      </c>
      <c r="AD31" s="16"/>
      <c r="AE31" s="47">
        <f t="shared" si="13"/>
        <v>0</v>
      </c>
      <c r="AF31" s="16"/>
      <c r="AG31" s="47">
        <f t="shared" ref="AG31" si="174">IFERROR(AF31/AF$54,0%)</f>
        <v>0</v>
      </c>
      <c r="AH31" s="16"/>
      <c r="AI31" s="47">
        <f t="shared" ref="AI31" si="175">IFERROR(AH31/AH$54,0%)</f>
        <v>0</v>
      </c>
      <c r="AJ31" s="16"/>
      <c r="AK31" s="47">
        <f t="shared" si="16"/>
        <v>0</v>
      </c>
      <c r="AL31" s="16"/>
      <c r="AM31" s="47">
        <f t="shared" si="17"/>
        <v>0</v>
      </c>
      <c r="AN31" s="16"/>
      <c r="AO31" s="47">
        <f t="shared" si="18"/>
        <v>0</v>
      </c>
    </row>
    <row r="32" spans="1:41" x14ac:dyDescent="0.25">
      <c r="A32" s="32" t="s">
        <v>183</v>
      </c>
      <c r="B32" s="16"/>
      <c r="C32" s="47">
        <f t="shared" si="109"/>
        <v>0</v>
      </c>
      <c r="D32" s="16"/>
      <c r="E32" s="47">
        <f t="shared" si="109"/>
        <v>0</v>
      </c>
      <c r="F32" s="16"/>
      <c r="G32" s="47">
        <f t="shared" si="1"/>
        <v>0</v>
      </c>
      <c r="H32" s="16"/>
      <c r="I32" s="47">
        <f t="shared" si="2"/>
        <v>0</v>
      </c>
      <c r="J32" s="16">
        <v>0</v>
      </c>
      <c r="K32" s="47">
        <f t="shared" si="3"/>
        <v>0</v>
      </c>
      <c r="L32" s="16"/>
      <c r="M32" s="47">
        <f t="shared" ref="M32" si="176">IFERROR(L32/L$54,0%)</f>
        <v>0</v>
      </c>
      <c r="N32" s="16"/>
      <c r="O32" s="47">
        <f t="shared" ref="O32" si="177">IFERROR(N32/N$54,0%)</f>
        <v>0</v>
      </c>
      <c r="P32" s="16"/>
      <c r="Q32" s="47">
        <f t="shared" si="6"/>
        <v>0</v>
      </c>
      <c r="R32" s="16"/>
      <c r="S32" s="47">
        <f t="shared" si="7"/>
        <v>0</v>
      </c>
      <c r="T32" s="16"/>
      <c r="U32" s="47">
        <f t="shared" si="8"/>
        <v>0</v>
      </c>
      <c r="V32" s="16"/>
      <c r="W32" s="47">
        <f t="shared" ref="W32" si="178">IFERROR(V32/V$54,0%)</f>
        <v>0</v>
      </c>
      <c r="X32" s="16"/>
      <c r="Y32" s="47">
        <f t="shared" ref="Y32" si="179">IFERROR(X32/X$54,0%)</f>
        <v>0</v>
      </c>
      <c r="Z32" s="16"/>
      <c r="AA32" s="47">
        <f t="shared" si="11"/>
        <v>0</v>
      </c>
      <c r="AB32" s="16"/>
      <c r="AC32" s="47">
        <f t="shared" si="12"/>
        <v>0</v>
      </c>
      <c r="AD32" s="16"/>
      <c r="AE32" s="47">
        <f t="shared" si="13"/>
        <v>0</v>
      </c>
      <c r="AF32" s="16"/>
      <c r="AG32" s="47">
        <f t="shared" ref="AG32" si="180">IFERROR(AF32/AF$54,0%)</f>
        <v>0</v>
      </c>
      <c r="AH32" s="16"/>
      <c r="AI32" s="47">
        <f t="shared" ref="AI32" si="181">IFERROR(AH32/AH$54,0%)</f>
        <v>0</v>
      </c>
      <c r="AJ32" s="16"/>
      <c r="AK32" s="47">
        <f t="shared" si="16"/>
        <v>0</v>
      </c>
      <c r="AL32" s="16"/>
      <c r="AM32" s="47">
        <f t="shared" si="17"/>
        <v>0</v>
      </c>
      <c r="AN32" s="16"/>
      <c r="AO32" s="47">
        <f t="shared" si="18"/>
        <v>0</v>
      </c>
    </row>
    <row r="33" spans="1:41" x14ac:dyDescent="0.25">
      <c r="A33" s="32" t="s">
        <v>184</v>
      </c>
      <c r="B33" s="16"/>
      <c r="C33" s="47">
        <f t="shared" si="109"/>
        <v>0</v>
      </c>
      <c r="D33" s="16"/>
      <c r="E33" s="47">
        <f t="shared" si="109"/>
        <v>0</v>
      </c>
      <c r="F33" s="16"/>
      <c r="G33" s="47">
        <f t="shared" si="1"/>
        <v>0</v>
      </c>
      <c r="H33" s="16"/>
      <c r="I33" s="47">
        <f t="shared" si="2"/>
        <v>0</v>
      </c>
      <c r="J33" s="16">
        <v>0.21944444444444433</v>
      </c>
      <c r="K33" s="47">
        <f t="shared" si="3"/>
        <v>2.8953637529778253E-2</v>
      </c>
      <c r="L33" s="16"/>
      <c r="M33" s="47">
        <f t="shared" ref="M33" si="182">IFERROR(L33/L$54,0%)</f>
        <v>0</v>
      </c>
      <c r="N33" s="16"/>
      <c r="O33" s="47">
        <f t="shared" ref="O33" si="183">IFERROR(N33/N$54,0%)</f>
        <v>0</v>
      </c>
      <c r="P33" s="16"/>
      <c r="Q33" s="47">
        <f t="shared" si="6"/>
        <v>0</v>
      </c>
      <c r="R33" s="16"/>
      <c r="S33" s="47">
        <f t="shared" si="7"/>
        <v>0</v>
      </c>
      <c r="T33" s="16"/>
      <c r="U33" s="47">
        <f t="shared" si="8"/>
        <v>0</v>
      </c>
      <c r="V33" s="16"/>
      <c r="W33" s="47">
        <f t="shared" ref="W33" si="184">IFERROR(V33/V$54,0%)</f>
        <v>0</v>
      </c>
      <c r="X33" s="16"/>
      <c r="Y33" s="47">
        <f t="shared" ref="Y33" si="185">IFERROR(X33/X$54,0%)</f>
        <v>0</v>
      </c>
      <c r="Z33" s="16"/>
      <c r="AA33" s="47">
        <f t="shared" si="11"/>
        <v>0</v>
      </c>
      <c r="AB33" s="16"/>
      <c r="AC33" s="47">
        <f t="shared" si="12"/>
        <v>0</v>
      </c>
      <c r="AD33" s="16"/>
      <c r="AE33" s="47">
        <f t="shared" si="13"/>
        <v>0</v>
      </c>
      <c r="AF33" s="16"/>
      <c r="AG33" s="47">
        <f t="shared" ref="AG33" si="186">IFERROR(AF33/AF$54,0%)</f>
        <v>0</v>
      </c>
      <c r="AH33" s="16"/>
      <c r="AI33" s="47">
        <f t="shared" ref="AI33" si="187">IFERROR(AH33/AH$54,0%)</f>
        <v>0</v>
      </c>
      <c r="AJ33" s="16"/>
      <c r="AK33" s="47">
        <f t="shared" si="16"/>
        <v>0</v>
      </c>
      <c r="AL33" s="16"/>
      <c r="AM33" s="47">
        <f t="shared" si="17"/>
        <v>0</v>
      </c>
      <c r="AN33" s="16"/>
      <c r="AO33" s="47">
        <f t="shared" si="18"/>
        <v>0</v>
      </c>
    </row>
    <row r="34" spans="1:41" x14ac:dyDescent="0.25">
      <c r="A34" s="31" t="s">
        <v>106</v>
      </c>
      <c r="B34" s="16"/>
      <c r="C34" s="47">
        <f t="shared" si="109"/>
        <v>0</v>
      </c>
      <c r="D34" s="16"/>
      <c r="E34" s="47">
        <f t="shared" si="109"/>
        <v>0</v>
      </c>
      <c r="F34" s="16"/>
      <c r="G34" s="47">
        <f t="shared" si="1"/>
        <v>0</v>
      </c>
      <c r="H34" s="16"/>
      <c r="I34" s="47">
        <f t="shared" si="2"/>
        <v>0</v>
      </c>
      <c r="J34" s="16">
        <v>0</v>
      </c>
      <c r="K34" s="47">
        <f t="shared" si="3"/>
        <v>0</v>
      </c>
      <c r="L34" s="16"/>
      <c r="M34" s="47">
        <f t="shared" ref="M34" si="188">IFERROR(L34/L$54,0%)</f>
        <v>0</v>
      </c>
      <c r="N34" s="16"/>
      <c r="O34" s="47">
        <f t="shared" ref="O34" si="189">IFERROR(N34/N$54,0%)</f>
        <v>0</v>
      </c>
      <c r="P34" s="16"/>
      <c r="Q34" s="47">
        <f t="shared" si="6"/>
        <v>0</v>
      </c>
      <c r="R34" s="16"/>
      <c r="S34" s="47">
        <f t="shared" si="7"/>
        <v>0</v>
      </c>
      <c r="T34" s="16"/>
      <c r="U34" s="47">
        <f t="shared" si="8"/>
        <v>0</v>
      </c>
      <c r="V34" s="16"/>
      <c r="W34" s="47">
        <f t="shared" ref="W34" si="190">IFERROR(V34/V$54,0%)</f>
        <v>0</v>
      </c>
      <c r="X34" s="16"/>
      <c r="Y34" s="47">
        <f t="shared" ref="Y34" si="191">IFERROR(X34/X$54,0%)</f>
        <v>0</v>
      </c>
      <c r="Z34" s="16"/>
      <c r="AA34" s="47">
        <f t="shared" si="11"/>
        <v>0</v>
      </c>
      <c r="AB34" s="16"/>
      <c r="AC34" s="47">
        <f t="shared" si="12"/>
        <v>0</v>
      </c>
      <c r="AD34" s="16"/>
      <c r="AE34" s="47">
        <f t="shared" si="13"/>
        <v>0</v>
      </c>
      <c r="AF34" s="16"/>
      <c r="AG34" s="47">
        <f t="shared" ref="AG34" si="192">IFERROR(AF34/AF$54,0%)</f>
        <v>0</v>
      </c>
      <c r="AH34" s="16"/>
      <c r="AI34" s="47">
        <f t="shared" ref="AI34" si="193">IFERROR(AH34/AH$54,0%)</f>
        <v>0</v>
      </c>
      <c r="AJ34" s="16"/>
      <c r="AK34" s="47">
        <f t="shared" si="16"/>
        <v>0</v>
      </c>
      <c r="AL34" s="16"/>
      <c r="AM34" s="47">
        <f t="shared" si="17"/>
        <v>0</v>
      </c>
      <c r="AN34" s="16"/>
      <c r="AO34" s="47">
        <f t="shared" si="18"/>
        <v>0</v>
      </c>
    </row>
    <row r="35" spans="1:41" x14ac:dyDescent="0.25">
      <c r="A35" s="31" t="s">
        <v>107</v>
      </c>
      <c r="B35" s="16"/>
      <c r="C35" s="47">
        <f t="shared" si="109"/>
        <v>0</v>
      </c>
      <c r="D35" s="16"/>
      <c r="E35" s="47">
        <f t="shared" si="109"/>
        <v>0</v>
      </c>
      <c r="F35" s="16"/>
      <c r="G35" s="47">
        <f t="shared" si="1"/>
        <v>0</v>
      </c>
      <c r="H35" s="16"/>
      <c r="I35" s="47">
        <f t="shared" si="2"/>
        <v>0</v>
      </c>
      <c r="J35" s="16">
        <v>0</v>
      </c>
      <c r="K35" s="47">
        <f t="shared" si="3"/>
        <v>0</v>
      </c>
      <c r="L35" s="16"/>
      <c r="M35" s="47">
        <f t="shared" ref="M35" si="194">IFERROR(L35/L$54,0%)</f>
        <v>0</v>
      </c>
      <c r="N35" s="16"/>
      <c r="O35" s="47">
        <f t="shared" ref="O35" si="195">IFERROR(N35/N$54,0%)</f>
        <v>0</v>
      </c>
      <c r="P35" s="16"/>
      <c r="Q35" s="47">
        <f t="shared" si="6"/>
        <v>0</v>
      </c>
      <c r="R35" s="16"/>
      <c r="S35" s="47">
        <f t="shared" si="7"/>
        <v>0</v>
      </c>
      <c r="T35" s="16"/>
      <c r="U35" s="47">
        <f t="shared" si="8"/>
        <v>0</v>
      </c>
      <c r="V35" s="16"/>
      <c r="W35" s="47">
        <f t="shared" ref="W35" si="196">IFERROR(V35/V$54,0%)</f>
        <v>0</v>
      </c>
      <c r="X35" s="16"/>
      <c r="Y35" s="47">
        <f t="shared" ref="Y35" si="197">IFERROR(X35/X$54,0%)</f>
        <v>0</v>
      </c>
      <c r="Z35" s="16"/>
      <c r="AA35" s="47">
        <f t="shared" si="11"/>
        <v>0</v>
      </c>
      <c r="AB35" s="16"/>
      <c r="AC35" s="47">
        <f t="shared" si="12"/>
        <v>0</v>
      </c>
      <c r="AD35" s="16"/>
      <c r="AE35" s="47">
        <f t="shared" si="13"/>
        <v>0</v>
      </c>
      <c r="AF35" s="16"/>
      <c r="AG35" s="47">
        <f t="shared" ref="AG35" si="198">IFERROR(AF35/AF$54,0%)</f>
        <v>0</v>
      </c>
      <c r="AH35" s="16"/>
      <c r="AI35" s="47">
        <f t="shared" ref="AI35" si="199">IFERROR(AH35/AH$54,0%)</f>
        <v>0</v>
      </c>
      <c r="AJ35" s="16"/>
      <c r="AK35" s="47">
        <f t="shared" si="16"/>
        <v>0</v>
      </c>
      <c r="AL35" s="16"/>
      <c r="AM35" s="47">
        <f t="shared" si="17"/>
        <v>0</v>
      </c>
      <c r="AN35" s="16"/>
      <c r="AO35" s="47">
        <f t="shared" si="18"/>
        <v>0</v>
      </c>
    </row>
    <row r="36" spans="1:41" x14ac:dyDescent="0.25">
      <c r="A36" s="31" t="s">
        <v>108</v>
      </c>
      <c r="B36" s="16"/>
      <c r="C36" s="47">
        <f t="shared" si="109"/>
        <v>0</v>
      </c>
      <c r="D36" s="16"/>
      <c r="E36" s="47">
        <f t="shared" si="109"/>
        <v>0</v>
      </c>
      <c r="F36" s="16"/>
      <c r="G36" s="47">
        <f t="shared" si="1"/>
        <v>0</v>
      </c>
      <c r="H36" s="16"/>
      <c r="I36" s="47">
        <f t="shared" si="2"/>
        <v>0</v>
      </c>
      <c r="J36" s="16">
        <v>0</v>
      </c>
      <c r="K36" s="47">
        <f t="shared" si="3"/>
        <v>0</v>
      </c>
      <c r="L36" s="16"/>
      <c r="M36" s="47">
        <f t="shared" ref="M36" si="200">IFERROR(L36/L$54,0%)</f>
        <v>0</v>
      </c>
      <c r="N36" s="16"/>
      <c r="O36" s="47">
        <f t="shared" ref="O36" si="201">IFERROR(N36/N$54,0%)</f>
        <v>0</v>
      </c>
      <c r="P36" s="16"/>
      <c r="Q36" s="47">
        <f t="shared" si="6"/>
        <v>0</v>
      </c>
      <c r="R36" s="16"/>
      <c r="S36" s="47">
        <f t="shared" si="7"/>
        <v>0</v>
      </c>
      <c r="T36" s="16"/>
      <c r="U36" s="47">
        <f t="shared" si="8"/>
        <v>0</v>
      </c>
      <c r="V36" s="16"/>
      <c r="W36" s="47">
        <f t="shared" ref="W36" si="202">IFERROR(V36/V$54,0%)</f>
        <v>0</v>
      </c>
      <c r="X36" s="16"/>
      <c r="Y36" s="47">
        <f t="shared" ref="Y36" si="203">IFERROR(X36/X$54,0%)</f>
        <v>0</v>
      </c>
      <c r="Z36" s="16"/>
      <c r="AA36" s="47">
        <f t="shared" si="11"/>
        <v>0</v>
      </c>
      <c r="AB36" s="16"/>
      <c r="AC36" s="47">
        <f t="shared" si="12"/>
        <v>0</v>
      </c>
      <c r="AD36" s="16"/>
      <c r="AE36" s="47">
        <f t="shared" si="13"/>
        <v>0</v>
      </c>
      <c r="AF36" s="16"/>
      <c r="AG36" s="47">
        <f t="shared" ref="AG36" si="204">IFERROR(AF36/AF$54,0%)</f>
        <v>0</v>
      </c>
      <c r="AH36" s="16"/>
      <c r="AI36" s="47">
        <f t="shared" ref="AI36" si="205">IFERROR(AH36/AH$54,0%)</f>
        <v>0</v>
      </c>
      <c r="AJ36" s="16"/>
      <c r="AK36" s="47">
        <f t="shared" si="16"/>
        <v>0</v>
      </c>
      <c r="AL36" s="16"/>
      <c r="AM36" s="47">
        <f t="shared" si="17"/>
        <v>0</v>
      </c>
      <c r="AN36" s="16"/>
      <c r="AO36" s="47">
        <f t="shared" si="18"/>
        <v>0</v>
      </c>
    </row>
    <row r="37" spans="1:41" x14ac:dyDescent="0.25">
      <c r="A37" s="31" t="s">
        <v>109</v>
      </c>
      <c r="B37" s="16"/>
      <c r="C37" s="47">
        <f t="shared" ref="C37:E52" si="206">IFERROR(B37/B$54,0%)</f>
        <v>0</v>
      </c>
      <c r="D37" s="16"/>
      <c r="E37" s="47">
        <f t="shared" si="206"/>
        <v>0</v>
      </c>
      <c r="F37" s="16"/>
      <c r="G37" s="47">
        <f t="shared" si="1"/>
        <v>0</v>
      </c>
      <c r="H37" s="16"/>
      <c r="I37" s="47">
        <f t="shared" si="2"/>
        <v>0</v>
      </c>
      <c r="J37" s="16">
        <v>1.8090277777777779</v>
      </c>
      <c r="K37" s="47">
        <f t="shared" si="3"/>
        <v>0.23868425875022908</v>
      </c>
      <c r="L37" s="16"/>
      <c r="M37" s="47">
        <f t="shared" ref="M37" si="207">IFERROR(L37/L$54,0%)</f>
        <v>0</v>
      </c>
      <c r="N37" s="16"/>
      <c r="O37" s="47">
        <f t="shared" ref="O37" si="208">IFERROR(N37/N$54,0%)</f>
        <v>0</v>
      </c>
      <c r="P37" s="16"/>
      <c r="Q37" s="47">
        <f t="shared" si="6"/>
        <v>0</v>
      </c>
      <c r="R37" s="16"/>
      <c r="S37" s="47">
        <f t="shared" si="7"/>
        <v>0</v>
      </c>
      <c r="T37" s="16"/>
      <c r="U37" s="47">
        <f t="shared" si="8"/>
        <v>0</v>
      </c>
      <c r="V37" s="16"/>
      <c r="W37" s="47">
        <f t="shared" ref="W37" si="209">IFERROR(V37/V$54,0%)</f>
        <v>0</v>
      </c>
      <c r="X37" s="16"/>
      <c r="Y37" s="47">
        <f t="shared" ref="Y37" si="210">IFERROR(X37/X$54,0%)</f>
        <v>0</v>
      </c>
      <c r="Z37" s="16"/>
      <c r="AA37" s="47">
        <f t="shared" si="11"/>
        <v>0</v>
      </c>
      <c r="AB37" s="16"/>
      <c r="AC37" s="47">
        <f t="shared" si="12"/>
        <v>0</v>
      </c>
      <c r="AD37" s="16"/>
      <c r="AE37" s="47">
        <f t="shared" si="13"/>
        <v>0</v>
      </c>
      <c r="AF37" s="16"/>
      <c r="AG37" s="47">
        <f t="shared" ref="AG37" si="211">IFERROR(AF37/AF$54,0%)</f>
        <v>0</v>
      </c>
      <c r="AH37" s="16"/>
      <c r="AI37" s="47">
        <f t="shared" ref="AI37" si="212">IFERROR(AH37/AH$54,0%)</f>
        <v>0</v>
      </c>
      <c r="AJ37" s="16"/>
      <c r="AK37" s="47">
        <f t="shared" si="16"/>
        <v>0</v>
      </c>
      <c r="AL37" s="16"/>
      <c r="AM37" s="47">
        <f t="shared" si="17"/>
        <v>0</v>
      </c>
      <c r="AN37" s="16"/>
      <c r="AO37" s="47">
        <f t="shared" si="18"/>
        <v>0</v>
      </c>
    </row>
    <row r="38" spans="1:41" x14ac:dyDescent="0.25">
      <c r="A38" s="31" t="s">
        <v>110</v>
      </c>
      <c r="B38" s="16"/>
      <c r="C38" s="47">
        <f t="shared" si="206"/>
        <v>0</v>
      </c>
      <c r="D38" s="16"/>
      <c r="E38" s="47">
        <f t="shared" si="206"/>
        <v>0</v>
      </c>
      <c r="F38" s="16"/>
      <c r="G38" s="47">
        <f t="shared" si="1"/>
        <v>0</v>
      </c>
      <c r="H38" s="16"/>
      <c r="I38" s="47">
        <f t="shared" si="2"/>
        <v>0</v>
      </c>
      <c r="J38" s="16">
        <v>0.45208333333333328</v>
      </c>
      <c r="K38" s="47">
        <f t="shared" si="3"/>
        <v>5.9648158328752053E-2</v>
      </c>
      <c r="L38" s="16"/>
      <c r="M38" s="47">
        <f t="shared" ref="M38" si="213">IFERROR(L38/L$54,0%)</f>
        <v>0</v>
      </c>
      <c r="N38" s="16"/>
      <c r="O38" s="47">
        <f t="shared" ref="O38" si="214">IFERROR(N38/N$54,0%)</f>
        <v>0</v>
      </c>
      <c r="P38" s="16"/>
      <c r="Q38" s="47">
        <f t="shared" si="6"/>
        <v>0</v>
      </c>
      <c r="R38" s="16"/>
      <c r="S38" s="47">
        <f t="shared" si="7"/>
        <v>0</v>
      </c>
      <c r="T38" s="16"/>
      <c r="U38" s="47">
        <f t="shared" si="8"/>
        <v>0</v>
      </c>
      <c r="V38" s="16"/>
      <c r="W38" s="47">
        <f t="shared" ref="W38" si="215">IFERROR(V38/V$54,0%)</f>
        <v>0</v>
      </c>
      <c r="X38" s="16"/>
      <c r="Y38" s="47">
        <f t="shared" ref="Y38" si="216">IFERROR(X38/X$54,0%)</f>
        <v>0</v>
      </c>
      <c r="Z38" s="16"/>
      <c r="AA38" s="47">
        <f t="shared" si="11"/>
        <v>0</v>
      </c>
      <c r="AB38" s="16"/>
      <c r="AC38" s="47">
        <f t="shared" si="12"/>
        <v>0</v>
      </c>
      <c r="AD38" s="16"/>
      <c r="AE38" s="47">
        <f t="shared" si="13"/>
        <v>0</v>
      </c>
      <c r="AF38" s="16"/>
      <c r="AG38" s="47">
        <f t="shared" ref="AG38" si="217">IFERROR(AF38/AF$54,0%)</f>
        <v>0</v>
      </c>
      <c r="AH38" s="16"/>
      <c r="AI38" s="47">
        <f t="shared" ref="AI38" si="218">IFERROR(AH38/AH$54,0%)</f>
        <v>0</v>
      </c>
      <c r="AJ38" s="16"/>
      <c r="AK38" s="47">
        <f t="shared" si="16"/>
        <v>0</v>
      </c>
      <c r="AL38" s="16"/>
      <c r="AM38" s="47">
        <f t="shared" si="17"/>
        <v>0</v>
      </c>
      <c r="AN38" s="16"/>
      <c r="AO38" s="47">
        <f t="shared" si="18"/>
        <v>0</v>
      </c>
    </row>
    <row r="39" spans="1:41" x14ac:dyDescent="0.25">
      <c r="A39" s="34" t="s">
        <v>111</v>
      </c>
      <c r="B39" s="16"/>
      <c r="C39" s="47">
        <f t="shared" si="206"/>
        <v>0</v>
      </c>
      <c r="D39" s="16"/>
      <c r="E39" s="47">
        <f t="shared" si="206"/>
        <v>0</v>
      </c>
      <c r="F39" s="16"/>
      <c r="G39" s="47">
        <f t="shared" si="1"/>
        <v>0</v>
      </c>
      <c r="H39" s="16"/>
      <c r="I39" s="47">
        <f t="shared" si="2"/>
        <v>0</v>
      </c>
      <c r="J39" s="16">
        <v>0.21874999999999989</v>
      </c>
      <c r="K39" s="47">
        <f t="shared" si="3"/>
        <v>2.8862012094557434E-2</v>
      </c>
      <c r="L39" s="16"/>
      <c r="M39" s="47">
        <f t="shared" ref="M39" si="219">IFERROR(L39/L$54,0%)</f>
        <v>0</v>
      </c>
      <c r="N39" s="16"/>
      <c r="O39" s="47">
        <f t="shared" ref="O39" si="220">IFERROR(N39/N$54,0%)</f>
        <v>0</v>
      </c>
      <c r="P39" s="16"/>
      <c r="Q39" s="47">
        <f t="shared" si="6"/>
        <v>0</v>
      </c>
      <c r="R39" s="16"/>
      <c r="S39" s="47">
        <f t="shared" si="7"/>
        <v>0</v>
      </c>
      <c r="T39" s="16"/>
      <c r="U39" s="47">
        <f t="shared" si="8"/>
        <v>0</v>
      </c>
      <c r="V39" s="16"/>
      <c r="W39" s="47">
        <f t="shared" ref="W39" si="221">IFERROR(V39/V$54,0%)</f>
        <v>0</v>
      </c>
      <c r="X39" s="16"/>
      <c r="Y39" s="47">
        <f t="shared" ref="Y39" si="222">IFERROR(X39/X$54,0%)</f>
        <v>0</v>
      </c>
      <c r="Z39" s="16"/>
      <c r="AA39" s="47">
        <f t="shared" si="11"/>
        <v>0</v>
      </c>
      <c r="AB39" s="16"/>
      <c r="AC39" s="47">
        <f t="shared" si="12"/>
        <v>0</v>
      </c>
      <c r="AD39" s="16"/>
      <c r="AE39" s="47">
        <f t="shared" si="13"/>
        <v>0</v>
      </c>
      <c r="AF39" s="16"/>
      <c r="AG39" s="47">
        <f t="shared" ref="AG39" si="223">IFERROR(AF39/AF$54,0%)</f>
        <v>0</v>
      </c>
      <c r="AH39" s="16"/>
      <c r="AI39" s="47">
        <f t="shared" ref="AI39" si="224">IFERROR(AH39/AH$54,0%)</f>
        <v>0</v>
      </c>
      <c r="AJ39" s="16"/>
      <c r="AK39" s="47">
        <f t="shared" si="16"/>
        <v>0</v>
      </c>
      <c r="AL39" s="16"/>
      <c r="AM39" s="47">
        <f t="shared" si="17"/>
        <v>0</v>
      </c>
      <c r="AN39" s="16"/>
      <c r="AO39" s="47">
        <f t="shared" si="18"/>
        <v>0</v>
      </c>
    </row>
    <row r="40" spans="1:41" x14ac:dyDescent="0.25">
      <c r="A40" s="34" t="s">
        <v>112</v>
      </c>
      <c r="B40" s="16"/>
      <c r="C40" s="47">
        <f t="shared" si="206"/>
        <v>0</v>
      </c>
      <c r="D40" s="16"/>
      <c r="E40" s="47">
        <f t="shared" si="206"/>
        <v>0</v>
      </c>
      <c r="F40" s="16"/>
      <c r="G40" s="47">
        <f t="shared" si="1"/>
        <v>0</v>
      </c>
      <c r="H40" s="16"/>
      <c r="I40" s="47">
        <f t="shared" si="2"/>
        <v>0</v>
      </c>
      <c r="J40" s="16">
        <v>0</v>
      </c>
      <c r="K40" s="47">
        <f t="shared" si="3"/>
        <v>0</v>
      </c>
      <c r="L40" s="16"/>
      <c r="M40" s="47">
        <f t="shared" ref="M40" si="225">IFERROR(L40/L$54,0%)</f>
        <v>0</v>
      </c>
      <c r="N40" s="16"/>
      <c r="O40" s="47">
        <f t="shared" ref="O40" si="226">IFERROR(N40/N$54,0%)</f>
        <v>0</v>
      </c>
      <c r="P40" s="16"/>
      <c r="Q40" s="47">
        <f t="shared" si="6"/>
        <v>0</v>
      </c>
      <c r="R40" s="16"/>
      <c r="S40" s="47">
        <f t="shared" si="7"/>
        <v>0</v>
      </c>
      <c r="T40" s="16"/>
      <c r="U40" s="47">
        <f t="shared" si="8"/>
        <v>0</v>
      </c>
      <c r="V40" s="16"/>
      <c r="W40" s="47">
        <f t="shared" ref="W40" si="227">IFERROR(V40/V$54,0%)</f>
        <v>0</v>
      </c>
      <c r="X40" s="16"/>
      <c r="Y40" s="47">
        <f t="shared" ref="Y40" si="228">IFERROR(X40/X$54,0%)</f>
        <v>0</v>
      </c>
      <c r="Z40" s="16"/>
      <c r="AA40" s="47">
        <f t="shared" si="11"/>
        <v>0</v>
      </c>
      <c r="AB40" s="16"/>
      <c r="AC40" s="47">
        <f t="shared" si="12"/>
        <v>0</v>
      </c>
      <c r="AD40" s="16"/>
      <c r="AE40" s="47">
        <f t="shared" si="13"/>
        <v>0</v>
      </c>
      <c r="AF40" s="16"/>
      <c r="AG40" s="47">
        <f t="shared" ref="AG40" si="229">IFERROR(AF40/AF$54,0%)</f>
        <v>0</v>
      </c>
      <c r="AH40" s="16"/>
      <c r="AI40" s="47">
        <f t="shared" ref="AI40" si="230">IFERROR(AH40/AH$54,0%)</f>
        <v>0</v>
      </c>
      <c r="AJ40" s="16"/>
      <c r="AK40" s="47">
        <f t="shared" si="16"/>
        <v>0</v>
      </c>
      <c r="AL40" s="16"/>
      <c r="AM40" s="47">
        <f t="shared" si="17"/>
        <v>0</v>
      </c>
      <c r="AN40" s="16"/>
      <c r="AO40" s="47">
        <f t="shared" si="18"/>
        <v>0</v>
      </c>
    </row>
    <row r="41" spans="1:41" x14ac:dyDescent="0.25">
      <c r="A41" s="34" t="s">
        <v>113</v>
      </c>
      <c r="B41" s="16"/>
      <c r="C41" s="47">
        <f t="shared" si="206"/>
        <v>0</v>
      </c>
      <c r="D41" s="16"/>
      <c r="E41" s="47">
        <f t="shared" si="206"/>
        <v>0</v>
      </c>
      <c r="F41" s="16"/>
      <c r="G41" s="47">
        <f t="shared" si="1"/>
        <v>0</v>
      </c>
      <c r="H41" s="16"/>
      <c r="I41" s="47">
        <f t="shared" si="2"/>
        <v>0</v>
      </c>
      <c r="J41" s="16">
        <v>0</v>
      </c>
      <c r="K41" s="47">
        <f t="shared" si="3"/>
        <v>0</v>
      </c>
      <c r="L41" s="16"/>
      <c r="M41" s="47">
        <f t="shared" ref="M41" si="231">IFERROR(L41/L$54,0%)</f>
        <v>0</v>
      </c>
      <c r="N41" s="16"/>
      <c r="O41" s="47">
        <f t="shared" ref="O41" si="232">IFERROR(N41/N$54,0%)</f>
        <v>0</v>
      </c>
      <c r="P41" s="16"/>
      <c r="Q41" s="47">
        <f t="shared" si="6"/>
        <v>0</v>
      </c>
      <c r="R41" s="16"/>
      <c r="S41" s="47">
        <f t="shared" si="7"/>
        <v>0</v>
      </c>
      <c r="T41" s="16"/>
      <c r="U41" s="47">
        <f t="shared" si="8"/>
        <v>0</v>
      </c>
      <c r="V41" s="16"/>
      <c r="W41" s="47">
        <f t="shared" ref="W41" si="233">IFERROR(V41/V$54,0%)</f>
        <v>0</v>
      </c>
      <c r="X41" s="16"/>
      <c r="Y41" s="47">
        <f t="shared" ref="Y41" si="234">IFERROR(X41/X$54,0%)</f>
        <v>0</v>
      </c>
      <c r="Z41" s="16"/>
      <c r="AA41" s="47">
        <f t="shared" si="11"/>
        <v>0</v>
      </c>
      <c r="AB41" s="16"/>
      <c r="AC41" s="47">
        <f t="shared" si="12"/>
        <v>0</v>
      </c>
      <c r="AD41" s="16"/>
      <c r="AE41" s="47">
        <f t="shared" si="13"/>
        <v>0</v>
      </c>
      <c r="AF41" s="16"/>
      <c r="AG41" s="47">
        <f t="shared" ref="AG41" si="235">IFERROR(AF41/AF$54,0%)</f>
        <v>0</v>
      </c>
      <c r="AH41" s="16"/>
      <c r="AI41" s="47">
        <f t="shared" ref="AI41" si="236">IFERROR(AH41/AH$54,0%)</f>
        <v>0</v>
      </c>
      <c r="AJ41" s="16"/>
      <c r="AK41" s="47">
        <f t="shared" si="16"/>
        <v>0</v>
      </c>
      <c r="AL41" s="16"/>
      <c r="AM41" s="47">
        <f t="shared" si="17"/>
        <v>0</v>
      </c>
      <c r="AN41" s="16"/>
      <c r="AO41" s="47">
        <f t="shared" si="18"/>
        <v>0</v>
      </c>
    </row>
    <row r="42" spans="1:41" x14ac:dyDescent="0.25">
      <c r="A42" s="34" t="s">
        <v>114</v>
      </c>
      <c r="B42" s="16"/>
      <c r="C42" s="47">
        <f t="shared" si="206"/>
        <v>0</v>
      </c>
      <c r="D42" s="16"/>
      <c r="E42" s="47">
        <f t="shared" si="206"/>
        <v>0</v>
      </c>
      <c r="F42" s="16"/>
      <c r="G42" s="47">
        <f t="shared" si="1"/>
        <v>0</v>
      </c>
      <c r="H42" s="16"/>
      <c r="I42" s="47">
        <f t="shared" si="2"/>
        <v>0</v>
      </c>
      <c r="J42" s="16">
        <v>0.1006944444444442</v>
      </c>
      <c r="K42" s="47">
        <f t="shared" si="3"/>
        <v>1.3285688107018476E-2</v>
      </c>
      <c r="L42" s="16"/>
      <c r="M42" s="47">
        <f t="shared" ref="M42" si="237">IFERROR(L42/L$54,0%)</f>
        <v>0</v>
      </c>
      <c r="N42" s="16"/>
      <c r="O42" s="47">
        <f t="shared" ref="O42" si="238">IFERROR(N42/N$54,0%)</f>
        <v>0</v>
      </c>
      <c r="P42" s="16"/>
      <c r="Q42" s="47">
        <f t="shared" si="6"/>
        <v>0</v>
      </c>
      <c r="R42" s="16"/>
      <c r="S42" s="47">
        <f t="shared" si="7"/>
        <v>0</v>
      </c>
      <c r="T42" s="16"/>
      <c r="U42" s="47">
        <f t="shared" si="8"/>
        <v>0</v>
      </c>
      <c r="V42" s="16"/>
      <c r="W42" s="47">
        <f t="shared" ref="W42" si="239">IFERROR(V42/V$54,0%)</f>
        <v>0</v>
      </c>
      <c r="X42" s="16"/>
      <c r="Y42" s="47">
        <f t="shared" ref="Y42" si="240">IFERROR(X42/X$54,0%)</f>
        <v>0</v>
      </c>
      <c r="Z42" s="16"/>
      <c r="AA42" s="47">
        <f t="shared" si="11"/>
        <v>0</v>
      </c>
      <c r="AB42" s="16"/>
      <c r="AC42" s="47">
        <f t="shared" si="12"/>
        <v>0</v>
      </c>
      <c r="AD42" s="16"/>
      <c r="AE42" s="47">
        <f t="shared" si="13"/>
        <v>0</v>
      </c>
      <c r="AF42" s="16"/>
      <c r="AG42" s="47">
        <f t="shared" ref="AG42" si="241">IFERROR(AF42/AF$54,0%)</f>
        <v>0</v>
      </c>
      <c r="AH42" s="16"/>
      <c r="AI42" s="47">
        <f t="shared" ref="AI42" si="242">IFERROR(AH42/AH$54,0%)</f>
        <v>0</v>
      </c>
      <c r="AJ42" s="16"/>
      <c r="AK42" s="47">
        <f t="shared" si="16"/>
        <v>0</v>
      </c>
      <c r="AL42" s="16"/>
      <c r="AM42" s="47">
        <f t="shared" si="17"/>
        <v>0</v>
      </c>
      <c r="AN42" s="16"/>
      <c r="AO42" s="47">
        <f t="shared" si="18"/>
        <v>0</v>
      </c>
    </row>
    <row r="43" spans="1:41" x14ac:dyDescent="0.25">
      <c r="A43" s="34" t="s">
        <v>115</v>
      </c>
      <c r="B43" s="16"/>
      <c r="C43" s="47">
        <f t="shared" si="206"/>
        <v>0</v>
      </c>
      <c r="D43" s="16"/>
      <c r="E43" s="47">
        <f t="shared" si="206"/>
        <v>0</v>
      </c>
      <c r="F43" s="16"/>
      <c r="G43" s="47">
        <f t="shared" si="1"/>
        <v>0</v>
      </c>
      <c r="H43" s="16"/>
      <c r="I43" s="47">
        <f t="shared" si="2"/>
        <v>0</v>
      </c>
      <c r="J43" s="16">
        <v>0</v>
      </c>
      <c r="K43" s="47">
        <f t="shared" si="3"/>
        <v>0</v>
      </c>
      <c r="L43" s="16"/>
      <c r="M43" s="47">
        <f t="shared" ref="M43" si="243">IFERROR(L43/L$54,0%)</f>
        <v>0</v>
      </c>
      <c r="N43" s="16"/>
      <c r="O43" s="47">
        <f t="shared" ref="O43" si="244">IFERROR(N43/N$54,0%)</f>
        <v>0</v>
      </c>
      <c r="P43" s="16"/>
      <c r="Q43" s="47">
        <f t="shared" si="6"/>
        <v>0</v>
      </c>
      <c r="R43" s="16"/>
      <c r="S43" s="47">
        <f t="shared" si="7"/>
        <v>0</v>
      </c>
      <c r="T43" s="16"/>
      <c r="U43" s="47">
        <f t="shared" si="8"/>
        <v>0</v>
      </c>
      <c r="V43" s="16"/>
      <c r="W43" s="47">
        <f t="shared" ref="W43" si="245">IFERROR(V43/V$54,0%)</f>
        <v>0</v>
      </c>
      <c r="X43" s="16"/>
      <c r="Y43" s="47">
        <f t="shared" ref="Y43" si="246">IFERROR(X43/X$54,0%)</f>
        <v>0</v>
      </c>
      <c r="Z43" s="16"/>
      <c r="AA43" s="47">
        <f t="shared" si="11"/>
        <v>0</v>
      </c>
      <c r="AB43" s="16"/>
      <c r="AC43" s="47">
        <f t="shared" si="12"/>
        <v>0</v>
      </c>
      <c r="AD43" s="16"/>
      <c r="AE43" s="47">
        <f t="shared" si="13"/>
        <v>0</v>
      </c>
      <c r="AF43" s="16"/>
      <c r="AG43" s="47">
        <f t="shared" ref="AG43" si="247">IFERROR(AF43/AF$54,0%)</f>
        <v>0</v>
      </c>
      <c r="AH43" s="16"/>
      <c r="AI43" s="47">
        <f t="shared" ref="AI43" si="248">IFERROR(AH43/AH$54,0%)</f>
        <v>0</v>
      </c>
      <c r="AJ43" s="16"/>
      <c r="AK43" s="47">
        <f t="shared" si="16"/>
        <v>0</v>
      </c>
      <c r="AL43" s="16"/>
      <c r="AM43" s="47">
        <f t="shared" si="17"/>
        <v>0</v>
      </c>
      <c r="AN43" s="16"/>
      <c r="AO43" s="47">
        <f t="shared" si="18"/>
        <v>0</v>
      </c>
    </row>
    <row r="44" spans="1:41" x14ac:dyDescent="0.25">
      <c r="A44" s="34" t="s">
        <v>116</v>
      </c>
      <c r="B44" s="16"/>
      <c r="C44" s="47">
        <f t="shared" si="206"/>
        <v>0</v>
      </c>
      <c r="D44" s="16"/>
      <c r="E44" s="47">
        <f t="shared" si="206"/>
        <v>0</v>
      </c>
      <c r="F44" s="16"/>
      <c r="G44" s="47">
        <f t="shared" si="1"/>
        <v>0</v>
      </c>
      <c r="H44" s="16"/>
      <c r="I44" s="47">
        <f t="shared" si="2"/>
        <v>0</v>
      </c>
      <c r="J44" s="16">
        <v>1.0416666666666741E-2</v>
      </c>
      <c r="K44" s="47">
        <f t="shared" si="3"/>
        <v>1.3743815283122692E-3</v>
      </c>
      <c r="L44" s="16"/>
      <c r="M44" s="47">
        <f t="shared" ref="M44" si="249">IFERROR(L44/L$54,0%)</f>
        <v>0</v>
      </c>
      <c r="N44" s="16"/>
      <c r="O44" s="47">
        <f t="shared" ref="O44" si="250">IFERROR(N44/N$54,0%)</f>
        <v>0</v>
      </c>
      <c r="P44" s="16"/>
      <c r="Q44" s="47">
        <f t="shared" si="6"/>
        <v>0</v>
      </c>
      <c r="R44" s="16"/>
      <c r="S44" s="47">
        <f t="shared" si="7"/>
        <v>0</v>
      </c>
      <c r="T44" s="16"/>
      <c r="U44" s="47">
        <f t="shared" si="8"/>
        <v>0</v>
      </c>
      <c r="V44" s="16"/>
      <c r="W44" s="47">
        <f t="shared" ref="W44" si="251">IFERROR(V44/V$54,0%)</f>
        <v>0</v>
      </c>
      <c r="X44" s="16"/>
      <c r="Y44" s="47">
        <f t="shared" ref="Y44" si="252">IFERROR(X44/X$54,0%)</f>
        <v>0</v>
      </c>
      <c r="Z44" s="16"/>
      <c r="AA44" s="47">
        <f t="shared" si="11"/>
        <v>0</v>
      </c>
      <c r="AB44" s="16"/>
      <c r="AC44" s="47">
        <f t="shared" si="12"/>
        <v>0</v>
      </c>
      <c r="AD44" s="16"/>
      <c r="AE44" s="47">
        <f t="shared" si="13"/>
        <v>0</v>
      </c>
      <c r="AF44" s="16"/>
      <c r="AG44" s="47">
        <f t="shared" ref="AG44" si="253">IFERROR(AF44/AF$54,0%)</f>
        <v>0</v>
      </c>
      <c r="AH44" s="16"/>
      <c r="AI44" s="47">
        <f t="shared" ref="AI44" si="254">IFERROR(AH44/AH$54,0%)</f>
        <v>0</v>
      </c>
      <c r="AJ44" s="16"/>
      <c r="AK44" s="47">
        <f t="shared" si="16"/>
        <v>0</v>
      </c>
      <c r="AL44" s="16"/>
      <c r="AM44" s="47">
        <f t="shared" si="17"/>
        <v>0</v>
      </c>
      <c r="AN44" s="16"/>
      <c r="AO44" s="47">
        <f t="shared" si="18"/>
        <v>0</v>
      </c>
    </row>
    <row r="45" spans="1:41" x14ac:dyDescent="0.25">
      <c r="A45" s="34" t="s">
        <v>117</v>
      </c>
      <c r="B45" s="16"/>
      <c r="C45" s="47">
        <f t="shared" si="206"/>
        <v>0</v>
      </c>
      <c r="D45" s="16"/>
      <c r="E45" s="47">
        <f t="shared" si="206"/>
        <v>0</v>
      </c>
      <c r="F45" s="16"/>
      <c r="G45" s="47">
        <f t="shared" si="1"/>
        <v>0</v>
      </c>
      <c r="H45" s="16"/>
      <c r="I45" s="47">
        <f t="shared" si="2"/>
        <v>0</v>
      </c>
      <c r="J45" s="16">
        <v>2.083333333333337E-2</v>
      </c>
      <c r="K45" s="47">
        <f t="shared" si="3"/>
        <v>2.7487630566245241E-3</v>
      </c>
      <c r="L45" s="16"/>
      <c r="M45" s="47">
        <f t="shared" ref="M45" si="255">IFERROR(L45/L$54,0%)</f>
        <v>0</v>
      </c>
      <c r="N45" s="16"/>
      <c r="O45" s="47">
        <f t="shared" ref="O45" si="256">IFERROR(N45/N$54,0%)</f>
        <v>0</v>
      </c>
      <c r="P45" s="16"/>
      <c r="Q45" s="47">
        <f t="shared" si="6"/>
        <v>0</v>
      </c>
      <c r="R45" s="16"/>
      <c r="S45" s="47">
        <f t="shared" si="7"/>
        <v>0</v>
      </c>
      <c r="T45" s="16"/>
      <c r="U45" s="47">
        <f t="shared" si="8"/>
        <v>0</v>
      </c>
      <c r="V45" s="16"/>
      <c r="W45" s="47">
        <f t="shared" ref="W45" si="257">IFERROR(V45/V$54,0%)</f>
        <v>0</v>
      </c>
      <c r="X45" s="16"/>
      <c r="Y45" s="47">
        <f t="shared" ref="Y45" si="258">IFERROR(X45/X$54,0%)</f>
        <v>0</v>
      </c>
      <c r="Z45" s="16"/>
      <c r="AA45" s="47">
        <f t="shared" si="11"/>
        <v>0</v>
      </c>
      <c r="AB45" s="16"/>
      <c r="AC45" s="47">
        <f t="shared" si="12"/>
        <v>0</v>
      </c>
      <c r="AD45" s="16"/>
      <c r="AE45" s="47">
        <f t="shared" si="13"/>
        <v>0</v>
      </c>
      <c r="AF45" s="16"/>
      <c r="AG45" s="47">
        <f t="shared" ref="AG45" si="259">IFERROR(AF45/AF$54,0%)</f>
        <v>0</v>
      </c>
      <c r="AH45" s="16"/>
      <c r="AI45" s="47">
        <f t="shared" ref="AI45" si="260">IFERROR(AH45/AH$54,0%)</f>
        <v>0</v>
      </c>
      <c r="AJ45" s="16"/>
      <c r="AK45" s="47">
        <f t="shared" si="16"/>
        <v>0</v>
      </c>
      <c r="AL45" s="16"/>
      <c r="AM45" s="47">
        <f t="shared" si="17"/>
        <v>0</v>
      </c>
      <c r="AN45" s="16"/>
      <c r="AO45" s="47">
        <f t="shared" si="18"/>
        <v>0</v>
      </c>
    </row>
    <row r="46" spans="1:41" x14ac:dyDescent="0.25">
      <c r="A46" s="34" t="s">
        <v>118</v>
      </c>
      <c r="B46" s="16"/>
      <c r="C46" s="47">
        <f t="shared" si="206"/>
        <v>0</v>
      </c>
      <c r="D46" s="16"/>
      <c r="E46" s="47">
        <f t="shared" si="206"/>
        <v>0</v>
      </c>
      <c r="F46" s="16"/>
      <c r="G46" s="47">
        <f t="shared" si="1"/>
        <v>0</v>
      </c>
      <c r="H46" s="16"/>
      <c r="I46" s="47">
        <f t="shared" si="2"/>
        <v>0</v>
      </c>
      <c r="J46" s="16">
        <v>3.472222222222221E-2</v>
      </c>
      <c r="K46" s="47">
        <f t="shared" si="3"/>
        <v>4.5812717610408636E-3</v>
      </c>
      <c r="L46" s="16"/>
      <c r="M46" s="47">
        <f t="shared" ref="M46" si="261">IFERROR(L46/L$54,0%)</f>
        <v>0</v>
      </c>
      <c r="N46" s="16"/>
      <c r="O46" s="47">
        <f t="shared" ref="O46" si="262">IFERROR(N46/N$54,0%)</f>
        <v>0</v>
      </c>
      <c r="P46" s="16"/>
      <c r="Q46" s="47">
        <f t="shared" si="6"/>
        <v>0</v>
      </c>
      <c r="R46" s="16"/>
      <c r="S46" s="47">
        <f t="shared" si="7"/>
        <v>0</v>
      </c>
      <c r="T46" s="16"/>
      <c r="U46" s="47">
        <f t="shared" si="8"/>
        <v>0</v>
      </c>
      <c r="V46" s="16"/>
      <c r="W46" s="47">
        <f t="shared" ref="W46" si="263">IFERROR(V46/V$54,0%)</f>
        <v>0</v>
      </c>
      <c r="X46" s="16"/>
      <c r="Y46" s="47">
        <f t="shared" ref="Y46" si="264">IFERROR(X46/X$54,0%)</f>
        <v>0</v>
      </c>
      <c r="Z46" s="16"/>
      <c r="AA46" s="47">
        <f t="shared" si="11"/>
        <v>0</v>
      </c>
      <c r="AB46" s="16"/>
      <c r="AC46" s="47">
        <f t="shared" si="12"/>
        <v>0</v>
      </c>
      <c r="AD46" s="16"/>
      <c r="AE46" s="47">
        <f t="shared" si="13"/>
        <v>0</v>
      </c>
      <c r="AF46" s="16"/>
      <c r="AG46" s="47">
        <f t="shared" ref="AG46" si="265">IFERROR(AF46/AF$54,0%)</f>
        <v>0</v>
      </c>
      <c r="AH46" s="16"/>
      <c r="AI46" s="47">
        <f t="shared" ref="AI46" si="266">IFERROR(AH46/AH$54,0%)</f>
        <v>0</v>
      </c>
      <c r="AJ46" s="16"/>
      <c r="AK46" s="47">
        <f t="shared" si="16"/>
        <v>0</v>
      </c>
      <c r="AL46" s="16"/>
      <c r="AM46" s="47">
        <f t="shared" si="17"/>
        <v>0</v>
      </c>
      <c r="AN46" s="16"/>
      <c r="AO46" s="47">
        <f t="shared" si="18"/>
        <v>0</v>
      </c>
    </row>
    <row r="47" spans="1:41" x14ac:dyDescent="0.25">
      <c r="A47" s="31" t="s">
        <v>77</v>
      </c>
      <c r="B47" s="16"/>
      <c r="C47" s="47">
        <f t="shared" si="206"/>
        <v>0</v>
      </c>
      <c r="D47" s="16"/>
      <c r="E47" s="47">
        <f t="shared" si="206"/>
        <v>0</v>
      </c>
      <c r="F47" s="16"/>
      <c r="G47" s="47">
        <f t="shared" si="1"/>
        <v>0</v>
      </c>
      <c r="H47" s="16"/>
      <c r="I47" s="47">
        <f t="shared" si="2"/>
        <v>0</v>
      </c>
      <c r="J47" s="16">
        <v>0.62291666666666712</v>
      </c>
      <c r="K47" s="47">
        <f t="shared" si="3"/>
        <v>8.2188015393073174E-2</v>
      </c>
      <c r="L47" s="16"/>
      <c r="M47" s="47">
        <f t="shared" ref="M47" si="267">IFERROR(L47/L$54,0%)</f>
        <v>0</v>
      </c>
      <c r="N47" s="16"/>
      <c r="O47" s="47">
        <f t="shared" ref="O47" si="268">IFERROR(N47/N$54,0%)</f>
        <v>0</v>
      </c>
      <c r="P47" s="16"/>
      <c r="Q47" s="47">
        <f t="shared" si="6"/>
        <v>0</v>
      </c>
      <c r="R47" s="16"/>
      <c r="S47" s="47">
        <f t="shared" si="7"/>
        <v>0</v>
      </c>
      <c r="T47" s="16"/>
      <c r="U47" s="47">
        <f t="shared" si="8"/>
        <v>0</v>
      </c>
      <c r="V47" s="16"/>
      <c r="W47" s="47">
        <f t="shared" ref="W47" si="269">IFERROR(V47/V$54,0%)</f>
        <v>0</v>
      </c>
      <c r="X47" s="16"/>
      <c r="Y47" s="47">
        <f t="shared" ref="Y47" si="270">IFERROR(X47/X$54,0%)</f>
        <v>0</v>
      </c>
      <c r="Z47" s="16"/>
      <c r="AA47" s="47">
        <f t="shared" si="11"/>
        <v>0</v>
      </c>
      <c r="AB47" s="16"/>
      <c r="AC47" s="47">
        <f t="shared" si="12"/>
        <v>0</v>
      </c>
      <c r="AD47" s="16"/>
      <c r="AE47" s="47">
        <f t="shared" si="13"/>
        <v>0</v>
      </c>
      <c r="AF47" s="16"/>
      <c r="AG47" s="47">
        <f t="shared" ref="AG47" si="271">IFERROR(AF47/AF$54,0%)</f>
        <v>0</v>
      </c>
      <c r="AH47" s="16"/>
      <c r="AI47" s="47">
        <f t="shared" ref="AI47" si="272">IFERROR(AH47/AH$54,0%)</f>
        <v>0</v>
      </c>
      <c r="AJ47" s="16"/>
      <c r="AK47" s="47">
        <f t="shared" si="16"/>
        <v>0</v>
      </c>
      <c r="AL47" s="16"/>
      <c r="AM47" s="47">
        <f t="shared" si="17"/>
        <v>0</v>
      </c>
      <c r="AN47" s="16"/>
      <c r="AO47" s="47">
        <f t="shared" si="18"/>
        <v>0</v>
      </c>
    </row>
    <row r="48" spans="1:41" x14ac:dyDescent="0.25">
      <c r="A48" s="35" t="s">
        <v>185</v>
      </c>
      <c r="B48" s="16"/>
      <c r="C48" s="47">
        <f t="shared" si="206"/>
        <v>0</v>
      </c>
      <c r="D48" s="16"/>
      <c r="E48" s="47">
        <f t="shared" si="206"/>
        <v>0</v>
      </c>
      <c r="F48" s="16"/>
      <c r="G48" s="47">
        <f t="shared" si="1"/>
        <v>0</v>
      </c>
      <c r="H48" s="16"/>
      <c r="I48" s="47">
        <f t="shared" si="2"/>
        <v>0</v>
      </c>
      <c r="J48" s="16">
        <v>0.91805555555555507</v>
      </c>
      <c r="K48" s="47">
        <f t="shared" si="3"/>
        <v>0.12112882536192041</v>
      </c>
      <c r="L48" s="16"/>
      <c r="M48" s="47">
        <f t="shared" ref="M48" si="273">IFERROR(L48/L$54,0%)</f>
        <v>0</v>
      </c>
      <c r="N48" s="16"/>
      <c r="O48" s="47">
        <f t="shared" ref="O48" si="274">IFERROR(N48/N$54,0%)</f>
        <v>0</v>
      </c>
      <c r="P48" s="16"/>
      <c r="Q48" s="47">
        <f t="shared" si="6"/>
        <v>0</v>
      </c>
      <c r="R48" s="16"/>
      <c r="S48" s="47">
        <f t="shared" si="7"/>
        <v>0</v>
      </c>
      <c r="T48" s="16"/>
      <c r="U48" s="47">
        <f t="shared" si="8"/>
        <v>0</v>
      </c>
      <c r="V48" s="16"/>
      <c r="W48" s="47">
        <f t="shared" ref="W48" si="275">IFERROR(V48/V$54,0%)</f>
        <v>0</v>
      </c>
      <c r="X48" s="16"/>
      <c r="Y48" s="47">
        <f t="shared" ref="Y48" si="276">IFERROR(X48/X$54,0%)</f>
        <v>0</v>
      </c>
      <c r="Z48" s="16"/>
      <c r="AA48" s="47">
        <f t="shared" si="11"/>
        <v>0</v>
      </c>
      <c r="AB48" s="16"/>
      <c r="AC48" s="47">
        <f t="shared" si="12"/>
        <v>0</v>
      </c>
      <c r="AD48" s="16"/>
      <c r="AE48" s="47">
        <f t="shared" si="13"/>
        <v>0</v>
      </c>
      <c r="AF48" s="16"/>
      <c r="AG48" s="47">
        <f t="shared" ref="AG48" si="277">IFERROR(AF48/AF$54,0%)</f>
        <v>0</v>
      </c>
      <c r="AH48" s="16"/>
      <c r="AI48" s="47">
        <f t="shared" ref="AI48" si="278">IFERROR(AH48/AH$54,0%)</f>
        <v>0</v>
      </c>
      <c r="AJ48" s="16"/>
      <c r="AK48" s="47">
        <f t="shared" si="16"/>
        <v>0</v>
      </c>
      <c r="AL48" s="16"/>
      <c r="AM48" s="47">
        <f t="shared" si="17"/>
        <v>0</v>
      </c>
      <c r="AN48" s="16"/>
      <c r="AO48" s="47">
        <f t="shared" si="18"/>
        <v>0</v>
      </c>
    </row>
    <row r="49" spans="1:41" x14ac:dyDescent="0.25">
      <c r="A49" s="36" t="s">
        <v>186</v>
      </c>
      <c r="B49" s="16"/>
      <c r="C49" s="47">
        <f t="shared" si="206"/>
        <v>0</v>
      </c>
      <c r="D49" s="16"/>
      <c r="E49" s="47">
        <f t="shared" si="206"/>
        <v>0</v>
      </c>
      <c r="F49" s="16"/>
      <c r="G49" s="47">
        <f t="shared" si="1"/>
        <v>0</v>
      </c>
      <c r="H49" s="16"/>
      <c r="I49" s="47">
        <f t="shared" si="2"/>
        <v>0</v>
      </c>
      <c r="J49" s="16">
        <v>8.3333333333333037E-3</v>
      </c>
      <c r="K49" s="47">
        <f t="shared" si="3"/>
        <v>1.0995052226498037E-3</v>
      </c>
      <c r="L49" s="16"/>
      <c r="M49" s="47">
        <f t="shared" ref="M49" si="279">IFERROR(L49/L$54,0%)</f>
        <v>0</v>
      </c>
      <c r="N49" s="16"/>
      <c r="O49" s="47">
        <f t="shared" ref="O49" si="280">IFERROR(N49/N$54,0%)</f>
        <v>0</v>
      </c>
      <c r="P49" s="16"/>
      <c r="Q49" s="47">
        <f t="shared" si="6"/>
        <v>0</v>
      </c>
      <c r="R49" s="16"/>
      <c r="S49" s="47">
        <f t="shared" si="7"/>
        <v>0</v>
      </c>
      <c r="T49" s="16"/>
      <c r="U49" s="47">
        <f t="shared" si="8"/>
        <v>0</v>
      </c>
      <c r="V49" s="16"/>
      <c r="W49" s="47">
        <f t="shared" ref="W49" si="281">IFERROR(V49/V$54,0%)</f>
        <v>0</v>
      </c>
      <c r="X49" s="16"/>
      <c r="Y49" s="47">
        <f t="shared" ref="Y49" si="282">IFERROR(X49/X$54,0%)</f>
        <v>0</v>
      </c>
      <c r="Z49" s="16"/>
      <c r="AA49" s="47">
        <f t="shared" si="11"/>
        <v>0</v>
      </c>
      <c r="AB49" s="16"/>
      <c r="AC49" s="47">
        <f t="shared" si="12"/>
        <v>0</v>
      </c>
      <c r="AD49" s="16"/>
      <c r="AE49" s="47">
        <f t="shared" si="13"/>
        <v>0</v>
      </c>
      <c r="AF49" s="16"/>
      <c r="AG49" s="47">
        <f t="shared" ref="AG49" si="283">IFERROR(AF49/AF$54,0%)</f>
        <v>0</v>
      </c>
      <c r="AH49" s="16"/>
      <c r="AI49" s="47">
        <f t="shared" ref="AI49" si="284">IFERROR(AH49/AH$54,0%)</f>
        <v>0</v>
      </c>
      <c r="AJ49" s="16"/>
      <c r="AK49" s="47">
        <f t="shared" si="16"/>
        <v>0</v>
      </c>
      <c r="AL49" s="16"/>
      <c r="AM49" s="47">
        <f t="shared" si="17"/>
        <v>0</v>
      </c>
      <c r="AN49" s="16"/>
      <c r="AO49" s="47">
        <f t="shared" si="18"/>
        <v>0</v>
      </c>
    </row>
    <row r="50" spans="1:41" x14ac:dyDescent="0.25">
      <c r="A50" s="36" t="s">
        <v>187</v>
      </c>
      <c r="B50" s="16"/>
      <c r="C50" s="47">
        <f t="shared" si="206"/>
        <v>0</v>
      </c>
      <c r="D50" s="16"/>
      <c r="E50" s="47">
        <f t="shared" si="206"/>
        <v>0</v>
      </c>
      <c r="F50" s="16"/>
      <c r="G50" s="47">
        <f t="shared" si="1"/>
        <v>0</v>
      </c>
      <c r="H50" s="16"/>
      <c r="I50" s="47">
        <f t="shared" si="2"/>
        <v>0</v>
      </c>
      <c r="J50" s="16">
        <v>0</v>
      </c>
      <c r="K50" s="47">
        <f t="shared" si="3"/>
        <v>0</v>
      </c>
      <c r="L50" s="16"/>
      <c r="M50" s="47">
        <f t="shared" ref="M50" si="285">IFERROR(L50/L$54,0%)</f>
        <v>0</v>
      </c>
      <c r="N50" s="16"/>
      <c r="O50" s="47">
        <f t="shared" ref="O50" si="286">IFERROR(N50/N$54,0%)</f>
        <v>0</v>
      </c>
      <c r="P50" s="16"/>
      <c r="Q50" s="47">
        <f t="shared" si="6"/>
        <v>0</v>
      </c>
      <c r="R50" s="16"/>
      <c r="S50" s="47">
        <f t="shared" si="7"/>
        <v>0</v>
      </c>
      <c r="T50" s="16"/>
      <c r="U50" s="47">
        <f t="shared" si="8"/>
        <v>0</v>
      </c>
      <c r="V50" s="16"/>
      <c r="W50" s="47">
        <f t="shared" ref="W50" si="287">IFERROR(V50/V$54,0%)</f>
        <v>0</v>
      </c>
      <c r="X50" s="16"/>
      <c r="Y50" s="47">
        <f t="shared" ref="Y50" si="288">IFERROR(X50/X$54,0%)</f>
        <v>0</v>
      </c>
      <c r="Z50" s="16"/>
      <c r="AA50" s="47">
        <f t="shared" si="11"/>
        <v>0</v>
      </c>
      <c r="AB50" s="16"/>
      <c r="AC50" s="47">
        <f t="shared" si="12"/>
        <v>0</v>
      </c>
      <c r="AD50" s="16"/>
      <c r="AE50" s="47">
        <f t="shared" si="13"/>
        <v>0</v>
      </c>
      <c r="AF50" s="16"/>
      <c r="AG50" s="47">
        <f t="shared" ref="AG50" si="289">IFERROR(AF50/AF$54,0%)</f>
        <v>0</v>
      </c>
      <c r="AH50" s="16"/>
      <c r="AI50" s="47">
        <f t="shared" ref="AI50" si="290">IFERROR(AH50/AH$54,0%)</f>
        <v>0</v>
      </c>
      <c r="AJ50" s="16"/>
      <c r="AK50" s="47">
        <f t="shared" si="16"/>
        <v>0</v>
      </c>
      <c r="AL50" s="16"/>
      <c r="AM50" s="47">
        <f t="shared" si="17"/>
        <v>0</v>
      </c>
      <c r="AN50" s="16"/>
      <c r="AO50" s="47">
        <f t="shared" si="18"/>
        <v>0</v>
      </c>
    </row>
    <row r="51" spans="1:41" x14ac:dyDescent="0.25">
      <c r="A51" s="37" t="s">
        <v>188</v>
      </c>
      <c r="B51" s="16"/>
      <c r="C51" s="47">
        <f t="shared" si="206"/>
        <v>0</v>
      </c>
      <c r="D51" s="16"/>
      <c r="E51" s="47">
        <f t="shared" si="206"/>
        <v>0</v>
      </c>
      <c r="F51" s="16"/>
      <c r="G51" s="47">
        <f t="shared" si="1"/>
        <v>0</v>
      </c>
      <c r="H51" s="16"/>
      <c r="I51" s="47">
        <f t="shared" si="2"/>
        <v>0</v>
      </c>
      <c r="J51" s="16">
        <v>0</v>
      </c>
      <c r="K51" s="47">
        <f t="shared" si="3"/>
        <v>0</v>
      </c>
      <c r="L51" s="16"/>
      <c r="M51" s="47">
        <f t="shared" ref="M51" si="291">IFERROR(L51/L$54,0%)</f>
        <v>0</v>
      </c>
      <c r="N51" s="16"/>
      <c r="O51" s="47">
        <f t="shared" ref="O51" si="292">IFERROR(N51/N$54,0%)</f>
        <v>0</v>
      </c>
      <c r="P51" s="16"/>
      <c r="Q51" s="47">
        <f t="shared" si="6"/>
        <v>0</v>
      </c>
      <c r="R51" s="16"/>
      <c r="S51" s="47">
        <f t="shared" si="7"/>
        <v>0</v>
      </c>
      <c r="T51" s="16"/>
      <c r="U51" s="47">
        <f t="shared" si="8"/>
        <v>0</v>
      </c>
      <c r="V51" s="16"/>
      <c r="W51" s="47">
        <f t="shared" ref="W51" si="293">IFERROR(V51/V$54,0%)</f>
        <v>0</v>
      </c>
      <c r="X51" s="16"/>
      <c r="Y51" s="47">
        <f t="shared" ref="Y51" si="294">IFERROR(X51/X$54,0%)</f>
        <v>0</v>
      </c>
      <c r="Z51" s="16"/>
      <c r="AA51" s="47">
        <f t="shared" si="11"/>
        <v>0</v>
      </c>
      <c r="AB51" s="16"/>
      <c r="AC51" s="47">
        <f t="shared" si="12"/>
        <v>0</v>
      </c>
      <c r="AD51" s="16"/>
      <c r="AE51" s="47">
        <f t="shared" si="13"/>
        <v>0</v>
      </c>
      <c r="AF51" s="16"/>
      <c r="AG51" s="47">
        <f t="shared" ref="AG51" si="295">IFERROR(AF51/AF$54,0%)</f>
        <v>0</v>
      </c>
      <c r="AH51" s="16"/>
      <c r="AI51" s="47">
        <f t="shared" ref="AI51" si="296">IFERROR(AH51/AH$54,0%)</f>
        <v>0</v>
      </c>
      <c r="AJ51" s="16"/>
      <c r="AK51" s="47">
        <f t="shared" si="16"/>
        <v>0</v>
      </c>
      <c r="AL51" s="16"/>
      <c r="AM51" s="47">
        <f t="shared" si="17"/>
        <v>0</v>
      </c>
      <c r="AN51" s="16"/>
      <c r="AO51" s="47">
        <f t="shared" si="18"/>
        <v>0</v>
      </c>
    </row>
    <row r="52" spans="1:41" x14ac:dyDescent="0.25">
      <c r="A52" s="38" t="s">
        <v>189</v>
      </c>
      <c r="B52" s="16"/>
      <c r="C52" s="47">
        <f t="shared" si="206"/>
        <v>0</v>
      </c>
      <c r="D52" s="16"/>
      <c r="E52" s="47">
        <f t="shared" si="206"/>
        <v>0</v>
      </c>
      <c r="F52" s="16"/>
      <c r="G52" s="47">
        <f t="shared" si="1"/>
        <v>0</v>
      </c>
      <c r="H52" s="16"/>
      <c r="I52" s="47">
        <f t="shared" si="2"/>
        <v>0</v>
      </c>
      <c r="J52" s="16">
        <v>0</v>
      </c>
      <c r="K52" s="47">
        <f t="shared" si="3"/>
        <v>0</v>
      </c>
      <c r="L52" s="16"/>
      <c r="M52" s="47">
        <f t="shared" ref="M52" si="297">IFERROR(L52/L$54,0%)</f>
        <v>0</v>
      </c>
      <c r="N52" s="16"/>
      <c r="O52" s="47">
        <f t="shared" ref="O52" si="298">IFERROR(N52/N$54,0%)</f>
        <v>0</v>
      </c>
      <c r="P52" s="16"/>
      <c r="Q52" s="47">
        <f t="shared" si="6"/>
        <v>0</v>
      </c>
      <c r="R52" s="16"/>
      <c r="S52" s="47">
        <f t="shared" si="7"/>
        <v>0</v>
      </c>
      <c r="T52" s="16"/>
      <c r="U52" s="47">
        <f t="shared" si="8"/>
        <v>0</v>
      </c>
      <c r="V52" s="16"/>
      <c r="W52" s="47">
        <f t="shared" ref="W52" si="299">IFERROR(V52/V$54,0%)</f>
        <v>0</v>
      </c>
      <c r="X52" s="16"/>
      <c r="Y52" s="47">
        <f t="shared" ref="Y52" si="300">IFERROR(X52/X$54,0%)</f>
        <v>0</v>
      </c>
      <c r="Z52" s="16"/>
      <c r="AA52" s="47">
        <f t="shared" si="11"/>
        <v>0</v>
      </c>
      <c r="AB52" s="16"/>
      <c r="AC52" s="47">
        <f t="shared" si="12"/>
        <v>0</v>
      </c>
      <c r="AD52" s="16"/>
      <c r="AE52" s="47">
        <f t="shared" si="13"/>
        <v>0</v>
      </c>
      <c r="AF52" s="16"/>
      <c r="AG52" s="47">
        <f t="shared" ref="AG52" si="301">IFERROR(AF52/AF$54,0%)</f>
        <v>0</v>
      </c>
      <c r="AH52" s="16"/>
      <c r="AI52" s="47">
        <f t="shared" ref="AI52" si="302">IFERROR(AH52/AH$54,0%)</f>
        <v>0</v>
      </c>
      <c r="AJ52" s="16"/>
      <c r="AK52" s="47">
        <f t="shared" si="16"/>
        <v>0</v>
      </c>
      <c r="AL52" s="16"/>
      <c r="AM52" s="47">
        <f t="shared" si="17"/>
        <v>0</v>
      </c>
      <c r="AN52" s="16"/>
      <c r="AO52" s="47">
        <f t="shared" si="18"/>
        <v>0</v>
      </c>
    </row>
    <row r="53" spans="1:41" x14ac:dyDescent="0.25">
      <c r="A53" s="31" t="s">
        <v>190</v>
      </c>
      <c r="B53" s="16"/>
      <c r="C53" s="47">
        <f t="shared" ref="C53:E53" si="303">IFERROR(B53/B$54,0%)</f>
        <v>0</v>
      </c>
      <c r="D53" s="16"/>
      <c r="E53" s="47">
        <f t="shared" si="303"/>
        <v>0</v>
      </c>
      <c r="F53" s="16"/>
      <c r="G53" s="47">
        <f t="shared" si="1"/>
        <v>0</v>
      </c>
      <c r="H53" s="16"/>
      <c r="I53" s="47">
        <f t="shared" si="2"/>
        <v>0</v>
      </c>
      <c r="J53" s="16">
        <v>8.333333333333337E-2</v>
      </c>
      <c r="K53" s="47">
        <f t="shared" si="3"/>
        <v>1.0995052226498081E-2</v>
      </c>
      <c r="L53" s="16"/>
      <c r="M53" s="47">
        <f t="shared" ref="M53" si="304">IFERROR(L53/L$54,0%)</f>
        <v>0</v>
      </c>
      <c r="N53" s="16"/>
      <c r="O53" s="47">
        <f t="shared" ref="O53" si="305">IFERROR(N53/N$54,0%)</f>
        <v>0</v>
      </c>
      <c r="P53" s="16"/>
      <c r="Q53" s="47">
        <f t="shared" si="6"/>
        <v>0</v>
      </c>
      <c r="R53" s="16"/>
      <c r="S53" s="47">
        <f t="shared" si="7"/>
        <v>0</v>
      </c>
      <c r="T53" s="16"/>
      <c r="U53" s="47">
        <f t="shared" si="8"/>
        <v>0</v>
      </c>
      <c r="V53" s="16"/>
      <c r="W53" s="47">
        <f t="shared" ref="W53" si="306">IFERROR(V53/V$54,0%)</f>
        <v>0</v>
      </c>
      <c r="X53" s="16"/>
      <c r="Y53" s="47">
        <f t="shared" ref="Y53" si="307">IFERROR(X53/X$54,0%)</f>
        <v>0</v>
      </c>
      <c r="Z53" s="16"/>
      <c r="AA53" s="47">
        <f t="shared" si="11"/>
        <v>0</v>
      </c>
      <c r="AB53" s="16"/>
      <c r="AC53" s="47">
        <f t="shared" si="12"/>
        <v>0</v>
      </c>
      <c r="AD53" s="16"/>
      <c r="AE53" s="47">
        <f t="shared" si="13"/>
        <v>0</v>
      </c>
      <c r="AF53" s="16"/>
      <c r="AG53" s="47">
        <f t="shared" ref="AG53" si="308">IFERROR(AF53/AF$54,0%)</f>
        <v>0</v>
      </c>
      <c r="AH53" s="16"/>
      <c r="AI53" s="47">
        <f t="shared" ref="AI53" si="309">IFERROR(AH53/AH$54,0%)</f>
        <v>0</v>
      </c>
      <c r="AJ53" s="16"/>
      <c r="AK53" s="47">
        <f t="shared" si="16"/>
        <v>0</v>
      </c>
      <c r="AL53" s="16"/>
      <c r="AM53" s="47">
        <f t="shared" si="17"/>
        <v>0</v>
      </c>
      <c r="AN53" s="16"/>
      <c r="AO53" s="47">
        <f t="shared" si="18"/>
        <v>0</v>
      </c>
    </row>
    <row r="54" spans="1:41" x14ac:dyDescent="0.25">
      <c r="B54" s="45">
        <f>SUM(B4:B53)</f>
        <v>0</v>
      </c>
      <c r="D54" s="45">
        <f>SUM(D4:D53)</f>
        <v>0</v>
      </c>
      <c r="F54" s="45">
        <f>SUM(F4:F53)</f>
        <v>0</v>
      </c>
      <c r="H54" s="45">
        <f>SUM(H4:H53)</f>
        <v>0</v>
      </c>
      <c r="J54" s="45">
        <f>SUM(J4:J53)</f>
        <v>7.5791666666666666</v>
      </c>
      <c r="L54" s="45">
        <f>SUM(L4:L53)</f>
        <v>0</v>
      </c>
      <c r="N54" s="45">
        <f>SUM(N4:N53)</f>
        <v>0</v>
      </c>
      <c r="P54" s="45">
        <f>SUM(P4:P53)</f>
        <v>0</v>
      </c>
      <c r="R54" s="45">
        <f>SUM(R4:R53)</f>
        <v>0</v>
      </c>
      <c r="T54" s="45">
        <f>SUM(T4:T53)</f>
        <v>0</v>
      </c>
      <c r="V54" s="45">
        <f>SUM(V4:V53)</f>
        <v>0</v>
      </c>
      <c r="X54" s="45">
        <f>SUM(X4:X53)</f>
        <v>0</v>
      </c>
      <c r="Z54" s="45">
        <f>SUM(Z4:Z53)</f>
        <v>0</v>
      </c>
      <c r="AB54" s="45">
        <f>SUM(AB4:AB53)</f>
        <v>0</v>
      </c>
      <c r="AD54" s="45">
        <f>SUM(AD4:AD53)</f>
        <v>0</v>
      </c>
      <c r="AF54" s="45">
        <f>SUM(AF4:AF53)</f>
        <v>0</v>
      </c>
      <c r="AH54" s="45">
        <f>SUM(AH4:AH53)</f>
        <v>0</v>
      </c>
      <c r="AJ54" s="45">
        <f>SUM(AJ4:AJ53)</f>
        <v>0</v>
      </c>
      <c r="AL54" s="45">
        <f>SUM(AL4:AL53)</f>
        <v>0</v>
      </c>
      <c r="AN54" s="45">
        <f>SUM(AN4:AN53)</f>
        <v>0</v>
      </c>
    </row>
    <row r="55" spans="1:41" x14ac:dyDescent="0.25">
      <c r="J55" s="39">
        <v>182.36666666666699</v>
      </c>
    </row>
    <row r="56" spans="1:41" x14ac:dyDescent="0.25">
      <c r="J56" s="39">
        <v>181.9</v>
      </c>
    </row>
  </sheetData>
  <mergeCells count="44">
    <mergeCell ref="H2:I2"/>
    <mergeCell ref="J2:K2"/>
    <mergeCell ref="L1:U1"/>
    <mergeCell ref="L2:M2"/>
    <mergeCell ref="N2:O2"/>
    <mergeCell ref="P2:Q2"/>
    <mergeCell ref="R2:S2"/>
    <mergeCell ref="T2:U2"/>
    <mergeCell ref="B1:K1"/>
    <mergeCell ref="B2:C2"/>
    <mergeCell ref="D2:E2"/>
    <mergeCell ref="F2:G2"/>
    <mergeCell ref="V1:AE1"/>
    <mergeCell ref="V2:W2"/>
    <mergeCell ref="X2:Y2"/>
    <mergeCell ref="Z2:AA2"/>
    <mergeCell ref="AB2:AC2"/>
    <mergeCell ref="AD2:AE2"/>
    <mergeCell ref="AF1:AO1"/>
    <mergeCell ref="AF2:AG2"/>
    <mergeCell ref="AH2:AI2"/>
    <mergeCell ref="AJ2:AK2"/>
    <mergeCell ref="AL2:AM2"/>
    <mergeCell ref="AN2:AO2"/>
    <mergeCell ref="CN2:CO2"/>
    <mergeCell ref="CL2:CM2"/>
    <mergeCell ref="CJ2:CK2"/>
    <mergeCell ref="CH2:CI2"/>
    <mergeCell ref="CF2:CG2"/>
    <mergeCell ref="CD2:CE2"/>
    <mergeCell ref="CB2:CC2"/>
    <mergeCell ref="BZ2:CA2"/>
    <mergeCell ref="BX2:BY2"/>
    <mergeCell ref="BV2:BW2"/>
    <mergeCell ref="BT2:BU2"/>
    <mergeCell ref="BR2:BS2"/>
    <mergeCell ref="BP2:BQ2"/>
    <mergeCell ref="BN2:BO2"/>
    <mergeCell ref="BL2:BM2"/>
    <mergeCell ref="BJ2:BK2"/>
    <mergeCell ref="BH2:BI2"/>
    <mergeCell ref="BF2:BG2"/>
    <mergeCell ref="BD2:BE2"/>
    <mergeCell ref="BB2:BC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Y39"/>
  <sheetViews>
    <sheetView zoomScale="25" zoomScaleNormal="25" workbookViewId="0">
      <selection activeCell="B2" sqref="B2:DB2"/>
    </sheetView>
  </sheetViews>
  <sheetFormatPr defaultRowHeight="15" x14ac:dyDescent="0.25"/>
  <cols>
    <col min="1" max="1" width="34.28515625" style="39" bestFit="1" customWidth="1"/>
    <col min="2" max="16384" width="9.140625" style="39"/>
  </cols>
  <sheetData>
    <row r="1" spans="1:51" ht="15.75" thickBot="1" x14ac:dyDescent="0.3">
      <c r="B1" s="72" t="s">
        <v>134</v>
      </c>
      <c r="C1" s="67"/>
      <c r="D1" s="67"/>
      <c r="E1" s="67"/>
      <c r="F1" s="67"/>
      <c r="G1" s="67"/>
      <c r="H1" s="67"/>
      <c r="I1" s="67"/>
      <c r="J1" s="67"/>
      <c r="K1" s="68"/>
      <c r="L1" s="72" t="s">
        <v>25</v>
      </c>
      <c r="M1" s="67"/>
      <c r="N1" s="67"/>
      <c r="O1" s="67"/>
      <c r="P1" s="67"/>
      <c r="Q1" s="67"/>
      <c r="R1" s="67"/>
      <c r="S1" s="67"/>
      <c r="T1" s="67"/>
      <c r="U1" s="68"/>
      <c r="V1" s="72" t="s">
        <v>31</v>
      </c>
      <c r="W1" s="67"/>
      <c r="X1" s="67"/>
      <c r="Y1" s="67"/>
      <c r="Z1" s="67"/>
      <c r="AA1" s="67"/>
      <c r="AB1" s="67"/>
      <c r="AC1" s="67"/>
      <c r="AD1" s="67"/>
      <c r="AE1" s="68"/>
      <c r="AF1" s="72" t="s">
        <v>42</v>
      </c>
      <c r="AG1" s="67"/>
      <c r="AH1" s="67"/>
      <c r="AI1" s="67"/>
      <c r="AJ1" s="67"/>
      <c r="AK1" s="67"/>
      <c r="AL1" s="67"/>
      <c r="AM1" s="67"/>
      <c r="AN1" s="67"/>
      <c r="AO1" s="68"/>
      <c r="AP1" s="72" t="s">
        <v>48</v>
      </c>
      <c r="AQ1" s="67"/>
      <c r="AR1" s="67"/>
      <c r="AS1" s="67"/>
      <c r="AT1" s="67"/>
      <c r="AU1" s="67"/>
      <c r="AV1" s="67"/>
      <c r="AW1" s="67"/>
      <c r="AX1" s="67"/>
      <c r="AY1" s="68"/>
    </row>
    <row r="2" spans="1:51" x14ac:dyDescent="0.25">
      <c r="B2" s="64">
        <f ca="1">SunDates!$H1</f>
        <v>43435</v>
      </c>
      <c r="C2" s="65"/>
      <c r="D2" s="64">
        <f ca="1">SunDates!$H2</f>
        <v>43442</v>
      </c>
      <c r="E2" s="65"/>
      <c r="F2" s="64">
        <f ca="1">SunDates!$H3</f>
        <v>43449</v>
      </c>
      <c r="G2" s="65"/>
      <c r="H2" s="64">
        <f ca="1">SunDates!$H4</f>
        <v>43456</v>
      </c>
      <c r="I2" s="65"/>
      <c r="J2" s="64">
        <f ca="1">SunDates!$H5</f>
        <v>43463</v>
      </c>
      <c r="K2" s="65"/>
      <c r="L2" s="64">
        <v>43071</v>
      </c>
      <c r="M2" s="65"/>
      <c r="N2" s="64">
        <v>43078</v>
      </c>
      <c r="O2" s="65"/>
      <c r="P2" s="64">
        <v>43085</v>
      </c>
      <c r="Q2" s="65"/>
      <c r="R2" s="64">
        <v>43092</v>
      </c>
      <c r="S2" s="65"/>
      <c r="T2" s="64">
        <v>43099</v>
      </c>
      <c r="U2" s="65"/>
      <c r="V2" s="64">
        <v>43071</v>
      </c>
      <c r="W2" s="65"/>
      <c r="X2" s="64">
        <v>43078</v>
      </c>
      <c r="Y2" s="65"/>
      <c r="Z2" s="64">
        <v>43085</v>
      </c>
      <c r="AA2" s="65"/>
      <c r="AB2" s="64">
        <v>43092</v>
      </c>
      <c r="AC2" s="65"/>
      <c r="AD2" s="64">
        <v>43099</v>
      </c>
      <c r="AE2" s="65"/>
      <c r="AF2" s="64">
        <v>43071</v>
      </c>
      <c r="AG2" s="65"/>
      <c r="AH2" s="64">
        <v>43078</v>
      </c>
      <c r="AI2" s="65"/>
      <c r="AJ2" s="64">
        <v>43085</v>
      </c>
      <c r="AK2" s="65"/>
      <c r="AL2" s="64">
        <v>43092</v>
      </c>
      <c r="AM2" s="65"/>
      <c r="AN2" s="64">
        <v>43099</v>
      </c>
      <c r="AO2" s="65"/>
      <c r="AP2" s="64">
        <v>43071</v>
      </c>
      <c r="AQ2" s="65"/>
      <c r="AR2" s="64">
        <v>43078</v>
      </c>
      <c r="AS2" s="65"/>
      <c r="AT2" s="64">
        <v>43085</v>
      </c>
      <c r="AU2" s="65"/>
      <c r="AV2" s="64">
        <v>43092</v>
      </c>
      <c r="AW2" s="65"/>
      <c r="AX2" s="64">
        <v>43099</v>
      </c>
      <c r="AY2" s="65"/>
    </row>
    <row r="3" spans="1:51" ht="15.75" thickBot="1" x14ac:dyDescent="0.3">
      <c r="B3" s="42" t="s">
        <v>195</v>
      </c>
      <c r="C3" s="43" t="s">
        <v>196</v>
      </c>
      <c r="D3" s="43" t="s">
        <v>195</v>
      </c>
      <c r="E3" s="43" t="s">
        <v>196</v>
      </c>
      <c r="F3" s="43" t="s">
        <v>195</v>
      </c>
      <c r="G3" s="43" t="s">
        <v>196</v>
      </c>
      <c r="H3" s="43" t="s">
        <v>195</v>
      </c>
      <c r="I3" s="43" t="s">
        <v>196</v>
      </c>
      <c r="J3" s="43" t="s">
        <v>195</v>
      </c>
      <c r="K3" s="44" t="s">
        <v>196</v>
      </c>
      <c r="L3" s="42" t="s">
        <v>195</v>
      </c>
      <c r="M3" s="43" t="s">
        <v>196</v>
      </c>
      <c r="N3" s="43" t="s">
        <v>195</v>
      </c>
      <c r="O3" s="43" t="s">
        <v>196</v>
      </c>
      <c r="P3" s="43" t="s">
        <v>195</v>
      </c>
      <c r="Q3" s="43" t="s">
        <v>196</v>
      </c>
      <c r="R3" s="43" t="s">
        <v>195</v>
      </c>
      <c r="S3" s="43" t="s">
        <v>196</v>
      </c>
      <c r="T3" s="43" t="s">
        <v>195</v>
      </c>
      <c r="U3" s="44" t="s">
        <v>196</v>
      </c>
      <c r="V3" s="42" t="s">
        <v>195</v>
      </c>
      <c r="W3" s="43" t="s">
        <v>196</v>
      </c>
      <c r="X3" s="43" t="s">
        <v>195</v>
      </c>
      <c r="Y3" s="43" t="s">
        <v>196</v>
      </c>
      <c r="Z3" s="43" t="s">
        <v>195</v>
      </c>
      <c r="AA3" s="43" t="s">
        <v>196</v>
      </c>
      <c r="AB3" s="43" t="s">
        <v>195</v>
      </c>
      <c r="AC3" s="43" t="s">
        <v>196</v>
      </c>
      <c r="AD3" s="43" t="s">
        <v>195</v>
      </c>
      <c r="AE3" s="44" t="s">
        <v>196</v>
      </c>
      <c r="AF3" s="42" t="s">
        <v>195</v>
      </c>
      <c r="AG3" s="43" t="s">
        <v>196</v>
      </c>
      <c r="AH3" s="43" t="s">
        <v>195</v>
      </c>
      <c r="AI3" s="43" t="s">
        <v>196</v>
      </c>
      <c r="AJ3" s="43" t="s">
        <v>195</v>
      </c>
      <c r="AK3" s="43" t="s">
        <v>196</v>
      </c>
      <c r="AL3" s="43" t="s">
        <v>195</v>
      </c>
      <c r="AM3" s="43" t="s">
        <v>196</v>
      </c>
      <c r="AN3" s="43" t="s">
        <v>195</v>
      </c>
      <c r="AO3" s="44" t="s">
        <v>196</v>
      </c>
      <c r="AP3" s="42" t="s">
        <v>195</v>
      </c>
      <c r="AQ3" s="43" t="s">
        <v>196</v>
      </c>
      <c r="AR3" s="43" t="s">
        <v>195</v>
      </c>
      <c r="AS3" s="43" t="s">
        <v>196</v>
      </c>
      <c r="AT3" s="43" t="s">
        <v>195</v>
      </c>
      <c r="AU3" s="43" t="s">
        <v>196</v>
      </c>
      <c r="AV3" s="43" t="s">
        <v>195</v>
      </c>
      <c r="AW3" s="43" t="s">
        <v>196</v>
      </c>
      <c r="AX3" s="43" t="s">
        <v>195</v>
      </c>
      <c r="AY3" s="44" t="s">
        <v>196</v>
      </c>
    </row>
    <row r="4" spans="1:51" x14ac:dyDescent="0.25">
      <c r="A4" s="27" t="s">
        <v>68</v>
      </c>
      <c r="B4" s="48"/>
      <c r="C4" s="49">
        <f t="shared" ref="C4:C36" si="0">IFERROR(B4/B$37,0%)</f>
        <v>0</v>
      </c>
      <c r="D4" s="50">
        <v>0</v>
      </c>
      <c r="E4" s="49">
        <f t="shared" ref="E4:E36" si="1">IFERROR(D4/D$37,0%)</f>
        <v>0</v>
      </c>
      <c r="F4" s="50"/>
      <c r="G4" s="49">
        <f t="shared" ref="G4:G36" si="2">IFERROR(F4/F$37,0%)</f>
        <v>0</v>
      </c>
      <c r="H4" s="50">
        <v>0</v>
      </c>
      <c r="I4" s="49">
        <f t="shared" ref="I4:I36" si="3">IFERROR(H4/H$37,0%)</f>
        <v>0</v>
      </c>
      <c r="J4" s="50">
        <v>0</v>
      </c>
      <c r="K4" s="51">
        <f t="shared" ref="K4:K36" si="4">IFERROR(J4/J$37,0%)</f>
        <v>0</v>
      </c>
      <c r="L4" s="48"/>
      <c r="M4" s="49">
        <f t="shared" ref="M4:M36" si="5">IFERROR(L4/L$37,0%)</f>
        <v>0</v>
      </c>
      <c r="N4" s="50">
        <v>0</v>
      </c>
      <c r="O4" s="49">
        <f t="shared" ref="O4:O36" si="6">IFERROR(N4/N$37,0%)</f>
        <v>0</v>
      </c>
      <c r="P4" s="50"/>
      <c r="Q4" s="49">
        <f t="shared" ref="Q4:Q36" si="7">IFERROR(P4/P$37,0%)</f>
        <v>0</v>
      </c>
      <c r="R4" s="50">
        <v>0</v>
      </c>
      <c r="S4" s="49">
        <f t="shared" ref="S4:S36" si="8">IFERROR(R4/R$37,0%)</f>
        <v>0</v>
      </c>
      <c r="T4" s="50">
        <v>0</v>
      </c>
      <c r="U4" s="51">
        <f t="shared" ref="U4:U36" si="9">IFERROR(T4/T$37,0%)</f>
        <v>0</v>
      </c>
      <c r="V4" s="48"/>
      <c r="W4" s="49">
        <f t="shared" ref="W4:W36" si="10">IFERROR(V4/V$37,0%)</f>
        <v>0</v>
      </c>
      <c r="X4" s="50">
        <v>0</v>
      </c>
      <c r="Y4" s="49">
        <f t="shared" ref="Y4:Y36" si="11">IFERROR(X4/X$37,0%)</f>
        <v>0</v>
      </c>
      <c r="Z4" s="50">
        <v>0</v>
      </c>
      <c r="AA4" s="49">
        <f t="shared" ref="AA4:AA36" si="12">IFERROR(Z4/Z$37,0%)</f>
        <v>0</v>
      </c>
      <c r="AB4" s="50">
        <v>0</v>
      </c>
      <c r="AC4" s="49">
        <f t="shared" ref="AC4:AC36" si="13">IFERROR(AB4/AB$37,0%)</f>
        <v>0</v>
      </c>
      <c r="AD4" s="50">
        <v>0</v>
      </c>
      <c r="AE4" s="51">
        <f t="shared" ref="AE4:AE36" si="14">IFERROR(AD4/AD$37,0%)</f>
        <v>0</v>
      </c>
      <c r="AF4" s="48"/>
      <c r="AG4" s="49">
        <f t="shared" ref="AG4:AG36" si="15">IFERROR(AF4/AF$37,0%)</f>
        <v>0</v>
      </c>
      <c r="AH4" s="50">
        <v>0</v>
      </c>
      <c r="AI4" s="49">
        <f t="shared" ref="AI4:AI36" si="16">IFERROR(AH4/AH$37,0%)</f>
        <v>0</v>
      </c>
      <c r="AJ4" s="50">
        <v>0</v>
      </c>
      <c r="AK4" s="49">
        <f t="shared" ref="AK4:AK36" si="17">IFERROR(AJ4/AJ$37,0%)</f>
        <v>0</v>
      </c>
      <c r="AL4" s="50">
        <v>0</v>
      </c>
      <c r="AM4" s="49">
        <f t="shared" ref="AM4:AM36" si="18">IFERROR(AL4/AL$37,0%)</f>
        <v>0</v>
      </c>
      <c r="AN4" s="50">
        <v>0</v>
      </c>
      <c r="AO4" s="51">
        <f t="shared" ref="AO4:AO36" si="19">IFERROR(AN4/AN$37,0%)</f>
        <v>0</v>
      </c>
      <c r="AP4" s="48"/>
      <c r="AQ4" s="49">
        <f t="shared" ref="AQ4:AQ36" si="20">IFERROR(AP4/AP$37,0%)</f>
        <v>0</v>
      </c>
      <c r="AR4" s="50">
        <v>0</v>
      </c>
      <c r="AS4" s="49">
        <f t="shared" ref="AS4:AS36" si="21">IFERROR(AR4/AR$37,0%)</f>
        <v>0</v>
      </c>
      <c r="AT4" s="50">
        <v>0</v>
      </c>
      <c r="AU4" s="49">
        <f t="shared" ref="AU4:AU36" si="22">IFERROR(AT4/AT$37,0%)</f>
        <v>0</v>
      </c>
      <c r="AV4" s="50">
        <v>0</v>
      </c>
      <c r="AW4" s="49">
        <f t="shared" ref="AW4:AW36" si="23">IFERROR(AV4/AV$37,0%)</f>
        <v>0</v>
      </c>
      <c r="AX4" s="50">
        <v>0</v>
      </c>
      <c r="AY4" s="51">
        <f t="shared" ref="AY4:AY36" si="24">IFERROR(AX4/AX$37,0%)</f>
        <v>0</v>
      </c>
    </row>
    <row r="5" spans="1:51" x14ac:dyDescent="0.25">
      <c r="A5" s="28" t="s">
        <v>69</v>
      </c>
      <c r="B5" s="52"/>
      <c r="C5" s="53">
        <f t="shared" si="0"/>
        <v>0</v>
      </c>
      <c r="D5" s="54">
        <v>0</v>
      </c>
      <c r="E5" s="53">
        <f t="shared" si="1"/>
        <v>0</v>
      </c>
      <c r="F5" s="54"/>
      <c r="G5" s="53">
        <f t="shared" si="2"/>
        <v>0</v>
      </c>
      <c r="H5" s="54">
        <v>0</v>
      </c>
      <c r="I5" s="53">
        <f t="shared" si="3"/>
        <v>0</v>
      </c>
      <c r="J5" s="54">
        <v>0</v>
      </c>
      <c r="K5" s="55">
        <f t="shared" si="4"/>
        <v>0</v>
      </c>
      <c r="L5" s="52"/>
      <c r="M5" s="53">
        <f t="shared" si="5"/>
        <v>0</v>
      </c>
      <c r="N5" s="54">
        <v>0</v>
      </c>
      <c r="O5" s="53">
        <f t="shared" si="6"/>
        <v>0</v>
      </c>
      <c r="P5" s="54"/>
      <c r="Q5" s="53">
        <f t="shared" si="7"/>
        <v>0</v>
      </c>
      <c r="R5" s="54">
        <v>0</v>
      </c>
      <c r="S5" s="53">
        <f t="shared" si="8"/>
        <v>0</v>
      </c>
      <c r="T5" s="54">
        <v>0</v>
      </c>
      <c r="U5" s="55">
        <f t="shared" si="9"/>
        <v>0</v>
      </c>
      <c r="V5" s="52"/>
      <c r="W5" s="53">
        <f t="shared" si="10"/>
        <v>0</v>
      </c>
      <c r="X5" s="54">
        <v>0</v>
      </c>
      <c r="Y5" s="53">
        <f t="shared" si="11"/>
        <v>0</v>
      </c>
      <c r="Z5" s="54">
        <v>0</v>
      </c>
      <c r="AA5" s="53">
        <f t="shared" si="12"/>
        <v>0</v>
      </c>
      <c r="AB5" s="54">
        <v>0</v>
      </c>
      <c r="AC5" s="53">
        <f t="shared" si="13"/>
        <v>0</v>
      </c>
      <c r="AD5" s="54">
        <v>0</v>
      </c>
      <c r="AE5" s="55">
        <f t="shared" si="14"/>
        <v>0</v>
      </c>
      <c r="AF5" s="52"/>
      <c r="AG5" s="53">
        <f t="shared" si="15"/>
        <v>0</v>
      </c>
      <c r="AH5" s="54">
        <v>0</v>
      </c>
      <c r="AI5" s="53">
        <f t="shared" si="16"/>
        <v>0</v>
      </c>
      <c r="AJ5" s="54">
        <v>0</v>
      </c>
      <c r="AK5" s="53">
        <f t="shared" si="17"/>
        <v>0</v>
      </c>
      <c r="AL5" s="54">
        <v>0</v>
      </c>
      <c r="AM5" s="53">
        <f t="shared" si="18"/>
        <v>0</v>
      </c>
      <c r="AN5" s="54">
        <v>0</v>
      </c>
      <c r="AO5" s="55">
        <f t="shared" si="19"/>
        <v>0</v>
      </c>
      <c r="AP5" s="52"/>
      <c r="AQ5" s="53">
        <f t="shared" si="20"/>
        <v>0</v>
      </c>
      <c r="AR5" s="54">
        <v>0</v>
      </c>
      <c r="AS5" s="53">
        <f t="shared" si="21"/>
        <v>0</v>
      </c>
      <c r="AT5" s="54">
        <v>0</v>
      </c>
      <c r="AU5" s="53">
        <f t="shared" si="22"/>
        <v>0</v>
      </c>
      <c r="AV5" s="54">
        <v>0</v>
      </c>
      <c r="AW5" s="53">
        <f t="shared" si="23"/>
        <v>0</v>
      </c>
      <c r="AX5" s="54">
        <v>0</v>
      </c>
      <c r="AY5" s="55">
        <f t="shared" si="24"/>
        <v>0</v>
      </c>
    </row>
    <row r="6" spans="1:51" x14ac:dyDescent="0.25">
      <c r="A6" s="28" t="s">
        <v>70</v>
      </c>
      <c r="B6" s="52"/>
      <c r="C6" s="53">
        <f t="shared" si="0"/>
        <v>0</v>
      </c>
      <c r="D6" s="54">
        <v>0</v>
      </c>
      <c r="E6" s="53">
        <f t="shared" si="1"/>
        <v>0</v>
      </c>
      <c r="F6" s="54"/>
      <c r="G6" s="53">
        <f t="shared" si="2"/>
        <v>0</v>
      </c>
      <c r="H6" s="54">
        <v>0</v>
      </c>
      <c r="I6" s="53">
        <f t="shared" si="3"/>
        <v>0</v>
      </c>
      <c r="J6" s="54">
        <v>0</v>
      </c>
      <c r="K6" s="55">
        <f t="shared" si="4"/>
        <v>0</v>
      </c>
      <c r="L6" s="52"/>
      <c r="M6" s="53">
        <f t="shared" si="5"/>
        <v>0</v>
      </c>
      <c r="N6" s="54">
        <v>0</v>
      </c>
      <c r="O6" s="53">
        <f t="shared" si="6"/>
        <v>0</v>
      </c>
      <c r="P6" s="54"/>
      <c r="Q6" s="53">
        <f t="shared" si="7"/>
        <v>0</v>
      </c>
      <c r="R6" s="54">
        <v>0</v>
      </c>
      <c r="S6" s="53">
        <f t="shared" si="8"/>
        <v>0</v>
      </c>
      <c r="T6" s="54">
        <v>0</v>
      </c>
      <c r="U6" s="55">
        <f t="shared" si="9"/>
        <v>0</v>
      </c>
      <c r="V6" s="52"/>
      <c r="W6" s="53">
        <f t="shared" si="10"/>
        <v>0</v>
      </c>
      <c r="X6" s="54">
        <v>0</v>
      </c>
      <c r="Y6" s="53">
        <f t="shared" si="11"/>
        <v>0</v>
      </c>
      <c r="Z6" s="54">
        <v>0</v>
      </c>
      <c r="AA6" s="53">
        <f t="shared" si="12"/>
        <v>0</v>
      </c>
      <c r="AB6" s="54">
        <v>0</v>
      </c>
      <c r="AC6" s="53">
        <f t="shared" si="13"/>
        <v>0</v>
      </c>
      <c r="AD6" s="54">
        <v>0</v>
      </c>
      <c r="AE6" s="55">
        <f t="shared" si="14"/>
        <v>0</v>
      </c>
      <c r="AF6" s="52"/>
      <c r="AG6" s="53">
        <f t="shared" si="15"/>
        <v>0</v>
      </c>
      <c r="AH6" s="54">
        <v>0</v>
      </c>
      <c r="AI6" s="53">
        <f t="shared" si="16"/>
        <v>0</v>
      </c>
      <c r="AJ6" s="54">
        <v>0</v>
      </c>
      <c r="AK6" s="53">
        <f t="shared" si="17"/>
        <v>0</v>
      </c>
      <c r="AL6" s="54">
        <v>0</v>
      </c>
      <c r="AM6" s="53">
        <f t="shared" si="18"/>
        <v>0</v>
      </c>
      <c r="AN6" s="54">
        <v>0</v>
      </c>
      <c r="AO6" s="55">
        <f t="shared" si="19"/>
        <v>0</v>
      </c>
      <c r="AP6" s="52"/>
      <c r="AQ6" s="53">
        <f t="shared" si="20"/>
        <v>0</v>
      </c>
      <c r="AR6" s="54">
        <v>0</v>
      </c>
      <c r="AS6" s="53">
        <f t="shared" si="21"/>
        <v>0</v>
      </c>
      <c r="AT6" s="54">
        <v>0</v>
      </c>
      <c r="AU6" s="53">
        <f t="shared" si="22"/>
        <v>0</v>
      </c>
      <c r="AV6" s="54">
        <v>0</v>
      </c>
      <c r="AW6" s="53">
        <f t="shared" si="23"/>
        <v>0</v>
      </c>
      <c r="AX6" s="54">
        <v>0</v>
      </c>
      <c r="AY6" s="55">
        <f t="shared" si="24"/>
        <v>0</v>
      </c>
    </row>
    <row r="7" spans="1:51" x14ac:dyDescent="0.25">
      <c r="A7" s="28" t="s">
        <v>71</v>
      </c>
      <c r="B7" s="52"/>
      <c r="C7" s="53">
        <f t="shared" si="0"/>
        <v>0</v>
      </c>
      <c r="D7" s="54">
        <v>0</v>
      </c>
      <c r="E7" s="53">
        <f t="shared" si="1"/>
        <v>0</v>
      </c>
      <c r="F7" s="54"/>
      <c r="G7" s="53">
        <f t="shared" si="2"/>
        <v>0</v>
      </c>
      <c r="H7" s="54">
        <v>0</v>
      </c>
      <c r="I7" s="53">
        <f t="shared" si="3"/>
        <v>0</v>
      </c>
      <c r="J7" s="54">
        <v>0</v>
      </c>
      <c r="K7" s="55">
        <f t="shared" si="4"/>
        <v>0</v>
      </c>
      <c r="L7" s="52"/>
      <c r="M7" s="53">
        <f t="shared" si="5"/>
        <v>0</v>
      </c>
      <c r="N7" s="54">
        <v>0</v>
      </c>
      <c r="O7" s="53">
        <f t="shared" si="6"/>
        <v>0</v>
      </c>
      <c r="P7" s="54"/>
      <c r="Q7" s="53">
        <f t="shared" si="7"/>
        <v>0</v>
      </c>
      <c r="R7" s="54">
        <v>0</v>
      </c>
      <c r="S7" s="53">
        <f t="shared" si="8"/>
        <v>0</v>
      </c>
      <c r="T7" s="54">
        <v>0</v>
      </c>
      <c r="U7" s="55">
        <f t="shared" si="9"/>
        <v>0</v>
      </c>
      <c r="V7" s="52"/>
      <c r="W7" s="53">
        <f t="shared" si="10"/>
        <v>0</v>
      </c>
      <c r="X7" s="54">
        <v>0</v>
      </c>
      <c r="Y7" s="53">
        <f t="shared" si="11"/>
        <v>0</v>
      </c>
      <c r="Z7" s="54">
        <v>0</v>
      </c>
      <c r="AA7" s="53">
        <f t="shared" si="12"/>
        <v>0</v>
      </c>
      <c r="AB7" s="54">
        <v>0</v>
      </c>
      <c r="AC7" s="53">
        <f t="shared" si="13"/>
        <v>0</v>
      </c>
      <c r="AD7" s="54">
        <v>0</v>
      </c>
      <c r="AE7" s="55">
        <f t="shared" si="14"/>
        <v>0</v>
      </c>
      <c r="AF7" s="52"/>
      <c r="AG7" s="53">
        <f t="shared" si="15"/>
        <v>0</v>
      </c>
      <c r="AH7" s="54">
        <v>0</v>
      </c>
      <c r="AI7" s="53">
        <f t="shared" si="16"/>
        <v>0</v>
      </c>
      <c r="AJ7" s="54">
        <v>0</v>
      </c>
      <c r="AK7" s="53">
        <f t="shared" si="17"/>
        <v>0</v>
      </c>
      <c r="AL7" s="54">
        <v>0</v>
      </c>
      <c r="AM7" s="53">
        <f t="shared" si="18"/>
        <v>0</v>
      </c>
      <c r="AN7" s="54">
        <v>0</v>
      </c>
      <c r="AO7" s="55">
        <f t="shared" si="19"/>
        <v>0</v>
      </c>
      <c r="AP7" s="52"/>
      <c r="AQ7" s="53">
        <f t="shared" si="20"/>
        <v>0</v>
      </c>
      <c r="AR7" s="54">
        <v>0</v>
      </c>
      <c r="AS7" s="53">
        <f t="shared" si="21"/>
        <v>0</v>
      </c>
      <c r="AT7" s="54">
        <v>0</v>
      </c>
      <c r="AU7" s="53">
        <f t="shared" si="22"/>
        <v>0</v>
      </c>
      <c r="AV7" s="54">
        <v>0</v>
      </c>
      <c r="AW7" s="53">
        <f t="shared" si="23"/>
        <v>0</v>
      </c>
      <c r="AX7" s="54">
        <v>0</v>
      </c>
      <c r="AY7" s="55">
        <f t="shared" si="24"/>
        <v>0</v>
      </c>
    </row>
    <row r="8" spans="1:51" x14ac:dyDescent="0.25">
      <c r="A8" s="28" t="s">
        <v>72</v>
      </c>
      <c r="B8" s="52"/>
      <c r="C8" s="53">
        <f t="shared" si="0"/>
        <v>0</v>
      </c>
      <c r="D8" s="54">
        <v>0</v>
      </c>
      <c r="E8" s="53">
        <f t="shared" si="1"/>
        <v>0</v>
      </c>
      <c r="F8" s="54"/>
      <c r="G8" s="53">
        <f t="shared" si="2"/>
        <v>0</v>
      </c>
      <c r="H8" s="54">
        <v>0</v>
      </c>
      <c r="I8" s="53">
        <f t="shared" si="3"/>
        <v>0</v>
      </c>
      <c r="J8" s="54">
        <v>0</v>
      </c>
      <c r="K8" s="55">
        <f t="shared" si="4"/>
        <v>0</v>
      </c>
      <c r="L8" s="52"/>
      <c r="M8" s="53">
        <f t="shared" si="5"/>
        <v>0</v>
      </c>
      <c r="N8" s="54">
        <v>0</v>
      </c>
      <c r="O8" s="53">
        <f t="shared" si="6"/>
        <v>0</v>
      </c>
      <c r="P8" s="54"/>
      <c r="Q8" s="53">
        <f t="shared" si="7"/>
        <v>0</v>
      </c>
      <c r="R8" s="54">
        <v>0</v>
      </c>
      <c r="S8" s="53">
        <f t="shared" si="8"/>
        <v>0</v>
      </c>
      <c r="T8" s="54">
        <v>0</v>
      </c>
      <c r="U8" s="55">
        <f t="shared" si="9"/>
        <v>0</v>
      </c>
      <c r="V8" s="52"/>
      <c r="W8" s="53">
        <f t="shared" si="10"/>
        <v>0</v>
      </c>
      <c r="X8" s="54">
        <v>0</v>
      </c>
      <c r="Y8" s="53">
        <f t="shared" si="11"/>
        <v>0</v>
      </c>
      <c r="Z8" s="54">
        <v>0</v>
      </c>
      <c r="AA8" s="53">
        <f t="shared" si="12"/>
        <v>0</v>
      </c>
      <c r="AB8" s="54">
        <v>0</v>
      </c>
      <c r="AC8" s="53">
        <f t="shared" si="13"/>
        <v>0</v>
      </c>
      <c r="AD8" s="54">
        <v>0</v>
      </c>
      <c r="AE8" s="55">
        <f t="shared" si="14"/>
        <v>0</v>
      </c>
      <c r="AF8" s="52"/>
      <c r="AG8" s="53">
        <f t="shared" si="15"/>
        <v>0</v>
      </c>
      <c r="AH8" s="54">
        <v>5.9027777777777818E-2</v>
      </c>
      <c r="AI8" s="53">
        <f t="shared" si="16"/>
        <v>3.1204111600587399E-2</v>
      </c>
      <c r="AJ8" s="54">
        <v>0.12777777777777791</v>
      </c>
      <c r="AK8" s="53">
        <f t="shared" si="17"/>
        <v>3.1944444444444484E-2</v>
      </c>
      <c r="AL8" s="54">
        <v>0.12777777777777791</v>
      </c>
      <c r="AM8" s="53">
        <f t="shared" si="18"/>
        <v>3.3515482695810596E-2</v>
      </c>
      <c r="AN8" s="54">
        <v>0.12777777777777791</v>
      </c>
      <c r="AO8" s="55">
        <f t="shared" si="19"/>
        <v>3.3515482695810596E-2</v>
      </c>
      <c r="AP8" s="52"/>
      <c r="AQ8" s="53">
        <f t="shared" si="20"/>
        <v>0</v>
      </c>
      <c r="AR8" s="54">
        <v>0</v>
      </c>
      <c r="AS8" s="53">
        <f t="shared" si="21"/>
        <v>0</v>
      </c>
      <c r="AT8" s="54">
        <v>0</v>
      </c>
      <c r="AU8" s="53">
        <f t="shared" si="22"/>
        <v>0</v>
      </c>
      <c r="AV8" s="54">
        <v>0</v>
      </c>
      <c r="AW8" s="53">
        <f t="shared" si="23"/>
        <v>0</v>
      </c>
      <c r="AX8" s="54">
        <v>0</v>
      </c>
      <c r="AY8" s="55">
        <f t="shared" si="24"/>
        <v>0</v>
      </c>
    </row>
    <row r="9" spans="1:51" x14ac:dyDescent="0.25">
      <c r="A9" s="28" t="s">
        <v>73</v>
      </c>
      <c r="B9" s="52"/>
      <c r="C9" s="53">
        <f t="shared" si="0"/>
        <v>0</v>
      </c>
      <c r="D9" s="54">
        <v>0</v>
      </c>
      <c r="E9" s="53">
        <f t="shared" si="1"/>
        <v>0</v>
      </c>
      <c r="F9" s="54"/>
      <c r="G9" s="53">
        <f t="shared" si="2"/>
        <v>0</v>
      </c>
      <c r="H9" s="54">
        <v>0</v>
      </c>
      <c r="I9" s="53">
        <f t="shared" si="3"/>
        <v>0</v>
      </c>
      <c r="J9" s="54">
        <v>0</v>
      </c>
      <c r="K9" s="55">
        <f t="shared" si="4"/>
        <v>0</v>
      </c>
      <c r="L9" s="52"/>
      <c r="M9" s="53">
        <f t="shared" si="5"/>
        <v>0</v>
      </c>
      <c r="N9" s="54">
        <v>0</v>
      </c>
      <c r="O9" s="53">
        <f t="shared" si="6"/>
        <v>0</v>
      </c>
      <c r="P9" s="54"/>
      <c r="Q9" s="53">
        <f t="shared" si="7"/>
        <v>0</v>
      </c>
      <c r="R9" s="54">
        <v>0</v>
      </c>
      <c r="S9" s="53">
        <f t="shared" si="8"/>
        <v>0</v>
      </c>
      <c r="T9" s="54">
        <v>0</v>
      </c>
      <c r="U9" s="55">
        <f t="shared" si="9"/>
        <v>0</v>
      </c>
      <c r="V9" s="52"/>
      <c r="W9" s="53">
        <f t="shared" si="10"/>
        <v>0</v>
      </c>
      <c r="X9" s="54">
        <v>0</v>
      </c>
      <c r="Y9" s="53">
        <f t="shared" si="11"/>
        <v>0</v>
      </c>
      <c r="Z9" s="54">
        <v>0</v>
      </c>
      <c r="AA9" s="53">
        <f t="shared" si="12"/>
        <v>0</v>
      </c>
      <c r="AB9" s="54">
        <v>0</v>
      </c>
      <c r="AC9" s="53">
        <f t="shared" si="13"/>
        <v>0</v>
      </c>
      <c r="AD9" s="54">
        <v>0</v>
      </c>
      <c r="AE9" s="55">
        <f t="shared" si="14"/>
        <v>0</v>
      </c>
      <c r="AF9" s="52"/>
      <c r="AG9" s="53">
        <f t="shared" si="15"/>
        <v>0</v>
      </c>
      <c r="AH9" s="54">
        <v>0</v>
      </c>
      <c r="AI9" s="53">
        <f t="shared" si="16"/>
        <v>0</v>
      </c>
      <c r="AJ9" s="54">
        <v>3.8194444444444531E-2</v>
      </c>
      <c r="AK9" s="53">
        <f t="shared" si="17"/>
        <v>9.5486111111111344E-3</v>
      </c>
      <c r="AL9" s="54">
        <v>1.0416666666666741E-2</v>
      </c>
      <c r="AM9" s="53">
        <f t="shared" si="18"/>
        <v>2.7322404371584895E-3</v>
      </c>
      <c r="AN9" s="54">
        <v>1.0416666666666741E-2</v>
      </c>
      <c r="AO9" s="55">
        <f t="shared" si="19"/>
        <v>2.7322404371584895E-3</v>
      </c>
      <c r="AP9" s="52"/>
      <c r="AQ9" s="53">
        <f t="shared" si="20"/>
        <v>0</v>
      </c>
      <c r="AR9" s="54">
        <v>0</v>
      </c>
      <c r="AS9" s="53">
        <f t="shared" si="21"/>
        <v>0</v>
      </c>
      <c r="AT9" s="54">
        <v>0</v>
      </c>
      <c r="AU9" s="53">
        <f t="shared" si="22"/>
        <v>0</v>
      </c>
      <c r="AV9" s="54">
        <v>0</v>
      </c>
      <c r="AW9" s="53">
        <f t="shared" si="23"/>
        <v>0</v>
      </c>
      <c r="AX9" s="54">
        <v>0</v>
      </c>
      <c r="AY9" s="55">
        <f t="shared" si="24"/>
        <v>0</v>
      </c>
    </row>
    <row r="10" spans="1:51" x14ac:dyDescent="0.25">
      <c r="A10" s="28" t="s">
        <v>74</v>
      </c>
      <c r="B10" s="52"/>
      <c r="C10" s="53">
        <f t="shared" si="0"/>
        <v>0</v>
      </c>
      <c r="D10" s="54">
        <v>9.0277777777781898E-3</v>
      </c>
      <c r="E10" s="53">
        <f t="shared" si="1"/>
        <v>5.3322395406072975E-3</v>
      </c>
      <c r="F10" s="54"/>
      <c r="G10" s="53">
        <f t="shared" si="2"/>
        <v>0</v>
      </c>
      <c r="H10" s="54">
        <v>1.6666666666666829E-2</v>
      </c>
      <c r="I10" s="53">
        <f t="shared" si="3"/>
        <v>4.4395116537181345E-3</v>
      </c>
      <c r="J10" s="54">
        <v>2.6388888888889017E-2</v>
      </c>
      <c r="K10" s="55">
        <f t="shared" si="4"/>
        <v>4.2908762420957756E-3</v>
      </c>
      <c r="L10" s="52"/>
      <c r="M10" s="53">
        <f t="shared" si="5"/>
        <v>0</v>
      </c>
      <c r="N10" s="54">
        <v>2.0138888888888706E-2</v>
      </c>
      <c r="O10" s="53">
        <f t="shared" si="6"/>
        <v>1.2123745819397886E-2</v>
      </c>
      <c r="P10" s="54"/>
      <c r="Q10" s="53">
        <f t="shared" si="7"/>
        <v>0</v>
      </c>
      <c r="R10" s="54">
        <v>3.7499999999999867E-2</v>
      </c>
      <c r="S10" s="53">
        <f t="shared" si="8"/>
        <v>8.0333234156500771E-3</v>
      </c>
      <c r="T10" s="54">
        <v>7.6388888888888395E-2</v>
      </c>
      <c r="U10" s="55">
        <f t="shared" si="9"/>
        <v>8.8098670510971724E-3</v>
      </c>
      <c r="V10" s="52"/>
      <c r="W10" s="53">
        <f t="shared" si="10"/>
        <v>0</v>
      </c>
      <c r="X10" s="54">
        <v>2.1527777777777479E-2</v>
      </c>
      <c r="Y10" s="53">
        <f t="shared" si="11"/>
        <v>1.291666666666649E-2</v>
      </c>
      <c r="Z10" s="54">
        <v>0.2270833333333333</v>
      </c>
      <c r="AA10" s="53">
        <f t="shared" si="12"/>
        <v>5.8581153708348266E-2</v>
      </c>
      <c r="AB10" s="54">
        <v>5.2777777777777701E-2</v>
      </c>
      <c r="AC10" s="53">
        <f t="shared" si="13"/>
        <v>1.4256237103732864E-2</v>
      </c>
      <c r="AD10" s="54">
        <v>9.6527777777777435E-2</v>
      </c>
      <c r="AE10" s="55">
        <f t="shared" si="14"/>
        <v>1.355965271680807E-2</v>
      </c>
      <c r="AF10" s="52"/>
      <c r="AG10" s="53">
        <f t="shared" si="15"/>
        <v>0</v>
      </c>
      <c r="AH10" s="54">
        <v>4.1666666666663188E-3</v>
      </c>
      <c r="AI10" s="53">
        <f t="shared" si="16"/>
        <v>2.2026431718059837E-3</v>
      </c>
      <c r="AJ10" s="54">
        <v>8.3333333333328596E-3</v>
      </c>
      <c r="AK10" s="53">
        <f t="shared" si="17"/>
        <v>2.0833333333332153E-3</v>
      </c>
      <c r="AL10" s="54">
        <v>7.6388888888884177E-3</v>
      </c>
      <c r="AM10" s="53">
        <f t="shared" si="18"/>
        <v>2.003642987249421E-3</v>
      </c>
      <c r="AN10" s="54">
        <v>7.6388888888884177E-3</v>
      </c>
      <c r="AO10" s="55">
        <f t="shared" si="19"/>
        <v>2.003642987249421E-3</v>
      </c>
      <c r="AP10" s="52"/>
      <c r="AQ10" s="53">
        <f t="shared" si="20"/>
        <v>0</v>
      </c>
      <c r="AR10" s="54">
        <v>1.319444444444462E-2</v>
      </c>
      <c r="AS10" s="53">
        <f t="shared" si="21"/>
        <v>6.844380403458303E-3</v>
      </c>
      <c r="AT10" s="54">
        <v>5.486111111111136E-2</v>
      </c>
      <c r="AU10" s="53">
        <f t="shared" si="22"/>
        <v>1.7551655187736142E-2</v>
      </c>
      <c r="AV10" s="54">
        <v>2.361111111111136E-2</v>
      </c>
      <c r="AW10" s="53">
        <f t="shared" si="23"/>
        <v>7.6045627376426662E-3</v>
      </c>
      <c r="AX10" s="54">
        <v>2.361111111111136E-2</v>
      </c>
      <c r="AY10" s="55">
        <f t="shared" si="24"/>
        <v>7.6045627376426662E-3</v>
      </c>
    </row>
    <row r="11" spans="1:51" x14ac:dyDescent="0.25">
      <c r="A11" s="28" t="s">
        <v>75</v>
      </c>
      <c r="B11" s="52"/>
      <c r="C11" s="53">
        <f t="shared" si="0"/>
        <v>0</v>
      </c>
      <c r="D11" s="54">
        <v>0</v>
      </c>
      <c r="E11" s="53">
        <f t="shared" si="1"/>
        <v>0</v>
      </c>
      <c r="F11" s="54"/>
      <c r="G11" s="53">
        <f t="shared" si="2"/>
        <v>0</v>
      </c>
      <c r="H11" s="54">
        <v>0</v>
      </c>
      <c r="I11" s="53">
        <f t="shared" si="3"/>
        <v>0</v>
      </c>
      <c r="J11" s="54">
        <v>0</v>
      </c>
      <c r="K11" s="55">
        <f t="shared" si="4"/>
        <v>0</v>
      </c>
      <c r="L11" s="52"/>
      <c r="M11" s="53">
        <f t="shared" si="5"/>
        <v>0</v>
      </c>
      <c r="N11" s="54">
        <v>0</v>
      </c>
      <c r="O11" s="53">
        <f t="shared" si="6"/>
        <v>0</v>
      </c>
      <c r="P11" s="54"/>
      <c r="Q11" s="53">
        <f t="shared" si="7"/>
        <v>0</v>
      </c>
      <c r="R11" s="54">
        <v>0</v>
      </c>
      <c r="S11" s="53">
        <f t="shared" si="8"/>
        <v>0</v>
      </c>
      <c r="T11" s="54">
        <v>0</v>
      </c>
      <c r="U11" s="55">
        <f t="shared" si="9"/>
        <v>0</v>
      </c>
      <c r="V11" s="52"/>
      <c r="W11" s="53">
        <f t="shared" si="10"/>
        <v>0</v>
      </c>
      <c r="X11" s="54">
        <v>0</v>
      </c>
      <c r="Y11" s="53">
        <f t="shared" si="11"/>
        <v>0</v>
      </c>
      <c r="Z11" s="54">
        <v>0</v>
      </c>
      <c r="AA11" s="53">
        <f t="shared" si="12"/>
        <v>0</v>
      </c>
      <c r="AB11" s="54">
        <v>0</v>
      </c>
      <c r="AC11" s="53">
        <f t="shared" si="13"/>
        <v>0</v>
      </c>
      <c r="AD11" s="54">
        <v>0</v>
      </c>
      <c r="AE11" s="55">
        <f t="shared" si="14"/>
        <v>0</v>
      </c>
      <c r="AF11" s="52"/>
      <c r="AG11" s="53">
        <f t="shared" si="15"/>
        <v>0</v>
      </c>
      <c r="AH11" s="54">
        <v>0</v>
      </c>
      <c r="AI11" s="53">
        <f t="shared" si="16"/>
        <v>0</v>
      </c>
      <c r="AJ11" s="54">
        <v>0</v>
      </c>
      <c r="AK11" s="53">
        <f t="shared" si="17"/>
        <v>0</v>
      </c>
      <c r="AL11" s="54">
        <v>0</v>
      </c>
      <c r="AM11" s="53">
        <f t="shared" si="18"/>
        <v>0</v>
      </c>
      <c r="AN11" s="54">
        <v>0</v>
      </c>
      <c r="AO11" s="55">
        <f t="shared" si="19"/>
        <v>0</v>
      </c>
      <c r="AP11" s="52"/>
      <c r="AQ11" s="53">
        <f t="shared" si="20"/>
        <v>0</v>
      </c>
      <c r="AR11" s="54">
        <v>0</v>
      </c>
      <c r="AS11" s="53">
        <f t="shared" si="21"/>
        <v>0</v>
      </c>
      <c r="AT11" s="54">
        <v>0</v>
      </c>
      <c r="AU11" s="53">
        <f t="shared" si="22"/>
        <v>0</v>
      </c>
      <c r="AV11" s="54">
        <v>0</v>
      </c>
      <c r="AW11" s="53">
        <f t="shared" si="23"/>
        <v>0</v>
      </c>
      <c r="AX11" s="54">
        <v>0</v>
      </c>
      <c r="AY11" s="55">
        <f t="shared" si="24"/>
        <v>0</v>
      </c>
    </row>
    <row r="12" spans="1:51" x14ac:dyDescent="0.25">
      <c r="A12" s="28" t="s">
        <v>157</v>
      </c>
      <c r="B12" s="52"/>
      <c r="C12" s="53">
        <f t="shared" si="0"/>
        <v>0</v>
      </c>
      <c r="D12" s="54">
        <v>0.23888888888888862</v>
      </c>
      <c r="E12" s="53">
        <f t="shared" si="1"/>
        <v>0.14109926168990958</v>
      </c>
      <c r="F12" s="54"/>
      <c r="G12" s="53">
        <f t="shared" si="2"/>
        <v>0</v>
      </c>
      <c r="H12" s="54">
        <v>0.30277777777777742</v>
      </c>
      <c r="I12" s="53">
        <f t="shared" si="3"/>
        <v>8.0651128375878567E-2</v>
      </c>
      <c r="J12" s="54">
        <v>0.36111111111111072</v>
      </c>
      <c r="K12" s="55">
        <f t="shared" si="4"/>
        <v>5.8717253839205001E-2</v>
      </c>
      <c r="L12" s="52"/>
      <c r="M12" s="53">
        <f t="shared" si="5"/>
        <v>0</v>
      </c>
      <c r="N12" s="54">
        <v>7.083333333333347E-2</v>
      </c>
      <c r="O12" s="53">
        <f t="shared" si="6"/>
        <v>4.2642140468227514E-2</v>
      </c>
      <c r="P12" s="54"/>
      <c r="Q12" s="53">
        <f t="shared" si="7"/>
        <v>0</v>
      </c>
      <c r="R12" s="54">
        <v>7.4305555555555694E-2</v>
      </c>
      <c r="S12" s="53">
        <f t="shared" si="8"/>
        <v>1.5917881582862274E-2</v>
      </c>
      <c r="T12" s="54">
        <v>0.12569444444444458</v>
      </c>
      <c r="U12" s="55">
        <f t="shared" si="9"/>
        <v>1.4496235784078184E-2</v>
      </c>
      <c r="V12" s="52"/>
      <c r="W12" s="53">
        <f t="shared" si="10"/>
        <v>0</v>
      </c>
      <c r="X12" s="54">
        <v>2.9166666666666674E-2</v>
      </c>
      <c r="Y12" s="53">
        <f t="shared" si="11"/>
        <v>1.7500000000000009E-2</v>
      </c>
      <c r="Z12" s="54">
        <v>6.597222222222221E-2</v>
      </c>
      <c r="AA12" s="53">
        <f t="shared" si="12"/>
        <v>1.7018989609458975E-2</v>
      </c>
      <c r="AB12" s="54">
        <v>6.597222222222221E-2</v>
      </c>
      <c r="AC12" s="53">
        <f t="shared" si="13"/>
        <v>1.7820296379666103E-2</v>
      </c>
      <c r="AD12" s="54">
        <v>0.13958333333333361</v>
      </c>
      <c r="AE12" s="55">
        <f t="shared" si="14"/>
        <v>1.9607843137254943E-2</v>
      </c>
      <c r="AF12" s="52"/>
      <c r="AG12" s="53">
        <f t="shared" si="15"/>
        <v>0</v>
      </c>
      <c r="AH12" s="54">
        <v>4.9305555555555713E-2</v>
      </c>
      <c r="AI12" s="53">
        <f t="shared" si="16"/>
        <v>2.6064610866373069E-2</v>
      </c>
      <c r="AJ12" s="54">
        <v>8.8888888888888906E-2</v>
      </c>
      <c r="AK12" s="53">
        <f t="shared" si="17"/>
        <v>2.222222222222223E-2</v>
      </c>
      <c r="AL12" s="54">
        <v>8.1250000000000044E-2</v>
      </c>
      <c r="AM12" s="53">
        <f t="shared" si="18"/>
        <v>2.1311475409836078E-2</v>
      </c>
      <c r="AN12" s="54">
        <v>8.1250000000000044E-2</v>
      </c>
      <c r="AO12" s="55">
        <f t="shared" si="19"/>
        <v>2.1311475409836078E-2</v>
      </c>
      <c r="AP12" s="52"/>
      <c r="AQ12" s="53">
        <f t="shared" si="20"/>
        <v>0</v>
      </c>
      <c r="AR12" s="54">
        <v>0</v>
      </c>
      <c r="AS12" s="53">
        <f t="shared" si="21"/>
        <v>0</v>
      </c>
      <c r="AT12" s="54">
        <v>0</v>
      </c>
      <c r="AU12" s="53">
        <f t="shared" si="22"/>
        <v>0</v>
      </c>
      <c r="AV12" s="54">
        <v>0</v>
      </c>
      <c r="AW12" s="53">
        <f t="shared" si="23"/>
        <v>0</v>
      </c>
      <c r="AX12" s="54">
        <v>0</v>
      </c>
      <c r="AY12" s="55">
        <f t="shared" si="24"/>
        <v>0</v>
      </c>
    </row>
    <row r="13" spans="1:51" x14ac:dyDescent="0.25">
      <c r="A13" s="28" t="s">
        <v>158</v>
      </c>
      <c r="B13" s="52"/>
      <c r="C13" s="53">
        <f t="shared" si="0"/>
        <v>0</v>
      </c>
      <c r="D13" s="54">
        <v>0.7965277777777775</v>
      </c>
      <c r="E13" s="53">
        <f t="shared" si="1"/>
        <v>0.4704675963904838</v>
      </c>
      <c r="F13" s="54"/>
      <c r="G13" s="53">
        <f t="shared" si="2"/>
        <v>0</v>
      </c>
      <c r="H13" s="54">
        <v>1.8715277777777775</v>
      </c>
      <c r="I13" s="53">
        <f t="shared" si="3"/>
        <v>0.49852016278209393</v>
      </c>
      <c r="J13" s="54">
        <v>2.8034722222222221</v>
      </c>
      <c r="K13" s="55">
        <f t="shared" si="4"/>
        <v>0.45584914182475161</v>
      </c>
      <c r="L13" s="52"/>
      <c r="M13" s="53">
        <f t="shared" si="5"/>
        <v>0</v>
      </c>
      <c r="N13" s="54">
        <v>0.13263888888888883</v>
      </c>
      <c r="O13" s="53">
        <f t="shared" si="6"/>
        <v>7.9849498327759186E-2</v>
      </c>
      <c r="P13" s="54"/>
      <c r="Q13" s="53">
        <f t="shared" si="7"/>
        <v>0</v>
      </c>
      <c r="R13" s="54">
        <v>0.34513888888888899</v>
      </c>
      <c r="S13" s="53">
        <f t="shared" si="8"/>
        <v>7.3936328473668586E-2</v>
      </c>
      <c r="T13" s="54">
        <v>1.8222222222222224</v>
      </c>
      <c r="U13" s="55">
        <f t="shared" si="9"/>
        <v>0.21015537401890122</v>
      </c>
      <c r="V13" s="52"/>
      <c r="W13" s="53">
        <f t="shared" si="10"/>
        <v>0</v>
      </c>
      <c r="X13" s="54">
        <v>2.49999999999998E-2</v>
      </c>
      <c r="Y13" s="53">
        <f t="shared" si="11"/>
        <v>1.4999999999999883E-2</v>
      </c>
      <c r="Z13" s="54">
        <v>2.7777777777777568E-2</v>
      </c>
      <c r="AA13" s="53">
        <f t="shared" si="12"/>
        <v>7.1658903618774103E-3</v>
      </c>
      <c r="AB13" s="54">
        <v>2.7777777777777568E-2</v>
      </c>
      <c r="AC13" s="53">
        <f t="shared" si="13"/>
        <v>7.5032826861751454E-3</v>
      </c>
      <c r="AD13" s="54">
        <v>7.4999999999999858E-2</v>
      </c>
      <c r="AE13" s="55">
        <f t="shared" si="14"/>
        <v>1.0535557506584704E-2</v>
      </c>
      <c r="AF13" s="52"/>
      <c r="AG13" s="53">
        <f t="shared" si="15"/>
        <v>0</v>
      </c>
      <c r="AH13" s="54">
        <v>0.23194444444444412</v>
      </c>
      <c r="AI13" s="53">
        <f t="shared" si="16"/>
        <v>0.12261380323054316</v>
      </c>
      <c r="AJ13" s="54">
        <v>0.52222222222222214</v>
      </c>
      <c r="AK13" s="53">
        <f t="shared" si="17"/>
        <v>0.13055555555555556</v>
      </c>
      <c r="AL13" s="54">
        <v>0.4979166666666664</v>
      </c>
      <c r="AM13" s="53">
        <f t="shared" si="18"/>
        <v>0.1306010928961748</v>
      </c>
      <c r="AN13" s="54">
        <v>0.4979166666666664</v>
      </c>
      <c r="AO13" s="55">
        <f t="shared" si="19"/>
        <v>0.1306010928961748</v>
      </c>
      <c r="AP13" s="52"/>
      <c r="AQ13" s="53">
        <f t="shared" si="20"/>
        <v>0</v>
      </c>
      <c r="AR13" s="54">
        <v>0</v>
      </c>
      <c r="AS13" s="53">
        <f t="shared" si="21"/>
        <v>0</v>
      </c>
      <c r="AT13" s="54">
        <v>0</v>
      </c>
      <c r="AU13" s="53">
        <f t="shared" si="22"/>
        <v>0</v>
      </c>
      <c r="AV13" s="54">
        <v>0</v>
      </c>
      <c r="AW13" s="53">
        <f t="shared" si="23"/>
        <v>0</v>
      </c>
      <c r="AX13" s="54">
        <v>0</v>
      </c>
      <c r="AY13" s="55">
        <f t="shared" si="24"/>
        <v>0</v>
      </c>
    </row>
    <row r="14" spans="1:51" x14ac:dyDescent="0.25">
      <c r="A14" s="28" t="s">
        <v>159</v>
      </c>
      <c r="B14" s="52"/>
      <c r="C14" s="53">
        <f t="shared" si="0"/>
        <v>0</v>
      </c>
      <c r="D14" s="54">
        <v>0</v>
      </c>
      <c r="E14" s="53">
        <f t="shared" si="1"/>
        <v>0</v>
      </c>
      <c r="F14" s="54"/>
      <c r="G14" s="53">
        <f t="shared" si="2"/>
        <v>0</v>
      </c>
      <c r="H14" s="54">
        <v>0</v>
      </c>
      <c r="I14" s="53">
        <f t="shared" si="3"/>
        <v>0</v>
      </c>
      <c r="J14" s="54">
        <v>0</v>
      </c>
      <c r="K14" s="55">
        <f t="shared" si="4"/>
        <v>0</v>
      </c>
      <c r="L14" s="52"/>
      <c r="M14" s="53">
        <f t="shared" si="5"/>
        <v>0</v>
      </c>
      <c r="N14" s="54">
        <v>0</v>
      </c>
      <c r="O14" s="53">
        <f t="shared" si="6"/>
        <v>0</v>
      </c>
      <c r="P14" s="54"/>
      <c r="Q14" s="53">
        <f t="shared" si="7"/>
        <v>0</v>
      </c>
      <c r="R14" s="54">
        <v>0</v>
      </c>
      <c r="S14" s="53">
        <f t="shared" si="8"/>
        <v>0</v>
      </c>
      <c r="T14" s="54">
        <v>0</v>
      </c>
      <c r="U14" s="55">
        <f t="shared" si="9"/>
        <v>0</v>
      </c>
      <c r="V14" s="52"/>
      <c r="W14" s="53">
        <f t="shared" si="10"/>
        <v>0</v>
      </c>
      <c r="X14" s="54">
        <v>0</v>
      </c>
      <c r="Y14" s="53">
        <f t="shared" si="11"/>
        <v>0</v>
      </c>
      <c r="Z14" s="54">
        <v>0</v>
      </c>
      <c r="AA14" s="53">
        <f t="shared" si="12"/>
        <v>0</v>
      </c>
      <c r="AB14" s="54">
        <v>0</v>
      </c>
      <c r="AC14" s="53">
        <f t="shared" si="13"/>
        <v>0</v>
      </c>
      <c r="AD14" s="54">
        <v>0</v>
      </c>
      <c r="AE14" s="55">
        <f t="shared" si="14"/>
        <v>0</v>
      </c>
      <c r="AF14" s="52"/>
      <c r="AG14" s="53">
        <f t="shared" si="15"/>
        <v>0</v>
      </c>
      <c r="AH14" s="54">
        <v>0</v>
      </c>
      <c r="AI14" s="53">
        <f t="shared" si="16"/>
        <v>0</v>
      </c>
      <c r="AJ14" s="54">
        <v>0</v>
      </c>
      <c r="AK14" s="53">
        <f t="shared" si="17"/>
        <v>0</v>
      </c>
      <c r="AL14" s="54">
        <v>0</v>
      </c>
      <c r="AM14" s="53">
        <f t="shared" si="18"/>
        <v>0</v>
      </c>
      <c r="AN14" s="54">
        <v>0</v>
      </c>
      <c r="AO14" s="55">
        <f t="shared" si="19"/>
        <v>0</v>
      </c>
      <c r="AP14" s="52"/>
      <c r="AQ14" s="53">
        <f t="shared" si="20"/>
        <v>0</v>
      </c>
      <c r="AR14" s="54">
        <v>0</v>
      </c>
      <c r="AS14" s="53">
        <f t="shared" si="21"/>
        <v>0</v>
      </c>
      <c r="AT14" s="54">
        <v>0</v>
      </c>
      <c r="AU14" s="53">
        <f t="shared" si="22"/>
        <v>0</v>
      </c>
      <c r="AV14" s="54">
        <v>0</v>
      </c>
      <c r="AW14" s="53">
        <f t="shared" si="23"/>
        <v>0</v>
      </c>
      <c r="AX14" s="54">
        <v>0</v>
      </c>
      <c r="AY14" s="55">
        <f t="shared" si="24"/>
        <v>0</v>
      </c>
    </row>
    <row r="15" spans="1:51" x14ac:dyDescent="0.25">
      <c r="A15" s="28" t="s">
        <v>160</v>
      </c>
      <c r="B15" s="52"/>
      <c r="C15" s="53">
        <f t="shared" si="0"/>
        <v>0</v>
      </c>
      <c r="D15" s="54">
        <v>0</v>
      </c>
      <c r="E15" s="53">
        <f t="shared" si="1"/>
        <v>0</v>
      </c>
      <c r="F15" s="54"/>
      <c r="G15" s="53">
        <f t="shared" si="2"/>
        <v>0</v>
      </c>
      <c r="H15" s="54">
        <v>0</v>
      </c>
      <c r="I15" s="53">
        <f t="shared" si="3"/>
        <v>0</v>
      </c>
      <c r="J15" s="54">
        <v>0</v>
      </c>
      <c r="K15" s="55">
        <f t="shared" si="4"/>
        <v>0</v>
      </c>
      <c r="L15" s="52"/>
      <c r="M15" s="53">
        <f t="shared" si="5"/>
        <v>0</v>
      </c>
      <c r="N15" s="54">
        <v>0</v>
      </c>
      <c r="O15" s="53">
        <f t="shared" si="6"/>
        <v>0</v>
      </c>
      <c r="P15" s="54"/>
      <c r="Q15" s="53">
        <f t="shared" si="7"/>
        <v>0</v>
      </c>
      <c r="R15" s="54">
        <v>0</v>
      </c>
      <c r="S15" s="53">
        <f t="shared" si="8"/>
        <v>0</v>
      </c>
      <c r="T15" s="54">
        <v>0</v>
      </c>
      <c r="U15" s="55">
        <f t="shared" si="9"/>
        <v>0</v>
      </c>
      <c r="V15" s="52"/>
      <c r="W15" s="53">
        <f t="shared" si="10"/>
        <v>0</v>
      </c>
      <c r="X15" s="54">
        <v>0</v>
      </c>
      <c r="Y15" s="53">
        <f t="shared" si="11"/>
        <v>0</v>
      </c>
      <c r="Z15" s="54">
        <v>0</v>
      </c>
      <c r="AA15" s="53">
        <f t="shared" si="12"/>
        <v>0</v>
      </c>
      <c r="AB15" s="54">
        <v>0</v>
      </c>
      <c r="AC15" s="53">
        <f t="shared" si="13"/>
        <v>0</v>
      </c>
      <c r="AD15" s="54">
        <v>0</v>
      </c>
      <c r="AE15" s="55">
        <f t="shared" si="14"/>
        <v>0</v>
      </c>
      <c r="AF15" s="52"/>
      <c r="AG15" s="53">
        <f t="shared" si="15"/>
        <v>0</v>
      </c>
      <c r="AH15" s="54">
        <v>0</v>
      </c>
      <c r="AI15" s="53">
        <f t="shared" si="16"/>
        <v>0</v>
      </c>
      <c r="AJ15" s="54">
        <v>0</v>
      </c>
      <c r="AK15" s="53">
        <f t="shared" si="17"/>
        <v>0</v>
      </c>
      <c r="AL15" s="54">
        <v>0</v>
      </c>
      <c r="AM15" s="53">
        <f t="shared" si="18"/>
        <v>0</v>
      </c>
      <c r="AN15" s="54">
        <v>0</v>
      </c>
      <c r="AO15" s="55">
        <f t="shared" si="19"/>
        <v>0</v>
      </c>
      <c r="AP15" s="52"/>
      <c r="AQ15" s="53">
        <f t="shared" si="20"/>
        <v>0</v>
      </c>
      <c r="AR15" s="54">
        <v>0</v>
      </c>
      <c r="AS15" s="53">
        <f t="shared" si="21"/>
        <v>0</v>
      </c>
      <c r="AT15" s="54">
        <v>0</v>
      </c>
      <c r="AU15" s="53">
        <f t="shared" si="22"/>
        <v>0</v>
      </c>
      <c r="AV15" s="54">
        <v>0</v>
      </c>
      <c r="AW15" s="53">
        <f t="shared" si="23"/>
        <v>0</v>
      </c>
      <c r="AX15" s="54">
        <v>0</v>
      </c>
      <c r="AY15" s="55">
        <f t="shared" si="24"/>
        <v>0</v>
      </c>
    </row>
    <row r="16" spans="1:51" x14ac:dyDescent="0.25">
      <c r="A16" s="28" t="s">
        <v>161</v>
      </c>
      <c r="B16" s="52"/>
      <c r="C16" s="53">
        <f t="shared" si="0"/>
        <v>0</v>
      </c>
      <c r="D16" s="54">
        <v>0</v>
      </c>
      <c r="E16" s="53">
        <f t="shared" si="1"/>
        <v>0</v>
      </c>
      <c r="F16" s="54"/>
      <c r="G16" s="53">
        <f t="shared" si="2"/>
        <v>0</v>
      </c>
      <c r="H16" s="54">
        <v>0</v>
      </c>
      <c r="I16" s="53">
        <f t="shared" si="3"/>
        <v>0</v>
      </c>
      <c r="J16" s="54">
        <v>0</v>
      </c>
      <c r="K16" s="55">
        <f t="shared" si="4"/>
        <v>0</v>
      </c>
      <c r="L16" s="52"/>
      <c r="M16" s="53">
        <f t="shared" si="5"/>
        <v>0</v>
      </c>
      <c r="N16" s="54">
        <v>0</v>
      </c>
      <c r="O16" s="53">
        <f t="shared" si="6"/>
        <v>0</v>
      </c>
      <c r="P16" s="54"/>
      <c r="Q16" s="53">
        <f t="shared" si="7"/>
        <v>0</v>
      </c>
      <c r="R16" s="54">
        <v>0</v>
      </c>
      <c r="S16" s="53">
        <f t="shared" si="8"/>
        <v>0</v>
      </c>
      <c r="T16" s="54">
        <v>0</v>
      </c>
      <c r="U16" s="55">
        <f t="shared" si="9"/>
        <v>0</v>
      </c>
      <c r="V16" s="52"/>
      <c r="W16" s="53">
        <f t="shared" si="10"/>
        <v>0</v>
      </c>
      <c r="X16" s="54">
        <v>0</v>
      </c>
      <c r="Y16" s="53">
        <f t="shared" si="11"/>
        <v>0</v>
      </c>
      <c r="Z16" s="54">
        <v>0</v>
      </c>
      <c r="AA16" s="53">
        <f t="shared" si="12"/>
        <v>0</v>
      </c>
      <c r="AB16" s="54">
        <v>0</v>
      </c>
      <c r="AC16" s="53">
        <f t="shared" si="13"/>
        <v>0</v>
      </c>
      <c r="AD16" s="54">
        <v>0</v>
      </c>
      <c r="AE16" s="55">
        <f t="shared" si="14"/>
        <v>0</v>
      </c>
      <c r="AF16" s="52"/>
      <c r="AG16" s="53">
        <f t="shared" si="15"/>
        <v>0</v>
      </c>
      <c r="AH16" s="54">
        <v>0</v>
      </c>
      <c r="AI16" s="53">
        <f t="shared" si="16"/>
        <v>0</v>
      </c>
      <c r="AJ16" s="54">
        <v>0</v>
      </c>
      <c r="AK16" s="53">
        <f t="shared" si="17"/>
        <v>0</v>
      </c>
      <c r="AL16" s="54">
        <v>0</v>
      </c>
      <c r="AM16" s="53">
        <f t="shared" si="18"/>
        <v>0</v>
      </c>
      <c r="AN16" s="54">
        <v>0</v>
      </c>
      <c r="AO16" s="55">
        <f t="shared" si="19"/>
        <v>0</v>
      </c>
      <c r="AP16" s="52"/>
      <c r="AQ16" s="53">
        <f t="shared" si="20"/>
        <v>0</v>
      </c>
      <c r="AR16" s="54">
        <v>0</v>
      </c>
      <c r="AS16" s="53">
        <f t="shared" si="21"/>
        <v>0</v>
      </c>
      <c r="AT16" s="54">
        <v>0</v>
      </c>
      <c r="AU16" s="53">
        <f t="shared" si="22"/>
        <v>0</v>
      </c>
      <c r="AV16" s="54">
        <v>0</v>
      </c>
      <c r="AW16" s="53">
        <f t="shared" si="23"/>
        <v>0</v>
      </c>
      <c r="AX16" s="54">
        <v>0</v>
      </c>
      <c r="AY16" s="55">
        <f t="shared" si="24"/>
        <v>0</v>
      </c>
    </row>
    <row r="17" spans="1:51" x14ac:dyDescent="0.25">
      <c r="A17" s="28" t="s">
        <v>162</v>
      </c>
      <c r="B17" s="52"/>
      <c r="C17" s="53">
        <f t="shared" si="0"/>
        <v>0</v>
      </c>
      <c r="D17" s="54">
        <v>0</v>
      </c>
      <c r="E17" s="53">
        <f t="shared" si="1"/>
        <v>0</v>
      </c>
      <c r="F17" s="54"/>
      <c r="G17" s="53">
        <f t="shared" si="2"/>
        <v>0</v>
      </c>
      <c r="H17" s="54">
        <v>0</v>
      </c>
      <c r="I17" s="53">
        <f t="shared" si="3"/>
        <v>0</v>
      </c>
      <c r="J17" s="54">
        <v>0</v>
      </c>
      <c r="K17" s="55">
        <f t="shared" si="4"/>
        <v>0</v>
      </c>
      <c r="L17" s="52"/>
      <c r="M17" s="53">
        <f t="shared" si="5"/>
        <v>0</v>
      </c>
      <c r="N17" s="54">
        <v>0</v>
      </c>
      <c r="O17" s="53">
        <f t="shared" si="6"/>
        <v>0</v>
      </c>
      <c r="P17" s="54"/>
      <c r="Q17" s="53">
        <f t="shared" si="7"/>
        <v>0</v>
      </c>
      <c r="R17" s="54">
        <v>0</v>
      </c>
      <c r="S17" s="53">
        <f t="shared" si="8"/>
        <v>0</v>
      </c>
      <c r="T17" s="54">
        <v>0</v>
      </c>
      <c r="U17" s="55">
        <f t="shared" si="9"/>
        <v>0</v>
      </c>
      <c r="V17" s="52"/>
      <c r="W17" s="53">
        <f t="shared" si="10"/>
        <v>0</v>
      </c>
      <c r="X17" s="54">
        <v>0</v>
      </c>
      <c r="Y17" s="53">
        <f t="shared" si="11"/>
        <v>0</v>
      </c>
      <c r="Z17" s="54">
        <v>0</v>
      </c>
      <c r="AA17" s="53">
        <f t="shared" si="12"/>
        <v>0</v>
      </c>
      <c r="AB17" s="54">
        <v>0</v>
      </c>
      <c r="AC17" s="53">
        <f t="shared" si="13"/>
        <v>0</v>
      </c>
      <c r="AD17" s="54">
        <v>0</v>
      </c>
      <c r="AE17" s="55">
        <f t="shared" si="14"/>
        <v>0</v>
      </c>
      <c r="AF17" s="52"/>
      <c r="AG17" s="53">
        <f t="shared" si="15"/>
        <v>0</v>
      </c>
      <c r="AH17" s="54">
        <v>2.0833333333333315E-2</v>
      </c>
      <c r="AI17" s="53">
        <f t="shared" si="16"/>
        <v>1.1013215859030829E-2</v>
      </c>
      <c r="AJ17" s="54">
        <v>3.0555555555555391E-2</v>
      </c>
      <c r="AK17" s="53">
        <f t="shared" si="17"/>
        <v>7.6388888888888496E-3</v>
      </c>
      <c r="AL17" s="54">
        <v>3.0555555555555391E-2</v>
      </c>
      <c r="AM17" s="53">
        <f t="shared" si="18"/>
        <v>8.0145719489981351E-3</v>
      </c>
      <c r="AN17" s="54">
        <v>3.0555555555555391E-2</v>
      </c>
      <c r="AO17" s="55">
        <f t="shared" si="19"/>
        <v>8.0145719489981351E-3</v>
      </c>
      <c r="AP17" s="52"/>
      <c r="AQ17" s="53">
        <f t="shared" si="20"/>
        <v>0</v>
      </c>
      <c r="AR17" s="54">
        <v>0</v>
      </c>
      <c r="AS17" s="53">
        <f t="shared" si="21"/>
        <v>0</v>
      </c>
      <c r="AT17" s="54">
        <v>0</v>
      </c>
      <c r="AU17" s="53">
        <f t="shared" si="22"/>
        <v>0</v>
      </c>
      <c r="AV17" s="54">
        <v>0</v>
      </c>
      <c r="AW17" s="53">
        <f t="shared" si="23"/>
        <v>0</v>
      </c>
      <c r="AX17" s="54">
        <v>0</v>
      </c>
      <c r="AY17" s="55">
        <f t="shared" si="24"/>
        <v>0</v>
      </c>
    </row>
    <row r="18" spans="1:51" x14ac:dyDescent="0.25">
      <c r="A18" s="28" t="s">
        <v>163</v>
      </c>
      <c r="B18" s="52"/>
      <c r="C18" s="53">
        <f t="shared" si="0"/>
        <v>0</v>
      </c>
      <c r="D18" s="54">
        <v>0</v>
      </c>
      <c r="E18" s="53">
        <f t="shared" si="1"/>
        <v>0</v>
      </c>
      <c r="F18" s="54"/>
      <c r="G18" s="53">
        <f t="shared" si="2"/>
        <v>0</v>
      </c>
      <c r="H18" s="54">
        <v>0</v>
      </c>
      <c r="I18" s="53">
        <f t="shared" si="3"/>
        <v>0</v>
      </c>
      <c r="J18" s="54">
        <v>0</v>
      </c>
      <c r="K18" s="55">
        <f t="shared" si="4"/>
        <v>0</v>
      </c>
      <c r="L18" s="52"/>
      <c r="M18" s="53">
        <f t="shared" si="5"/>
        <v>0</v>
      </c>
      <c r="N18" s="54">
        <v>0</v>
      </c>
      <c r="O18" s="53">
        <f t="shared" si="6"/>
        <v>0</v>
      </c>
      <c r="P18" s="54"/>
      <c r="Q18" s="53">
        <f t="shared" si="7"/>
        <v>0</v>
      </c>
      <c r="R18" s="54">
        <v>0</v>
      </c>
      <c r="S18" s="53">
        <f t="shared" si="8"/>
        <v>0</v>
      </c>
      <c r="T18" s="54">
        <v>0</v>
      </c>
      <c r="U18" s="55">
        <f t="shared" si="9"/>
        <v>0</v>
      </c>
      <c r="V18" s="52"/>
      <c r="W18" s="53">
        <f t="shared" si="10"/>
        <v>0</v>
      </c>
      <c r="X18" s="54">
        <v>0</v>
      </c>
      <c r="Y18" s="53">
        <f t="shared" si="11"/>
        <v>0</v>
      </c>
      <c r="Z18" s="54">
        <v>0</v>
      </c>
      <c r="AA18" s="53">
        <f t="shared" si="12"/>
        <v>0</v>
      </c>
      <c r="AB18" s="54">
        <v>0</v>
      </c>
      <c r="AC18" s="53">
        <f t="shared" si="13"/>
        <v>0</v>
      </c>
      <c r="AD18" s="54">
        <v>0</v>
      </c>
      <c r="AE18" s="55">
        <f t="shared" si="14"/>
        <v>0</v>
      </c>
      <c r="AF18" s="52"/>
      <c r="AG18" s="53">
        <f t="shared" si="15"/>
        <v>0</v>
      </c>
      <c r="AH18" s="54">
        <v>1.388888888888884E-2</v>
      </c>
      <c r="AI18" s="53">
        <f t="shared" si="16"/>
        <v>7.3421439060205327E-3</v>
      </c>
      <c r="AJ18" s="54">
        <v>1.388888888888884E-2</v>
      </c>
      <c r="AK18" s="53">
        <f t="shared" si="17"/>
        <v>3.4722222222222108E-3</v>
      </c>
      <c r="AL18" s="54">
        <v>1.388888888888884E-2</v>
      </c>
      <c r="AM18" s="53">
        <f t="shared" si="18"/>
        <v>3.6429872495446136E-3</v>
      </c>
      <c r="AN18" s="54">
        <v>1.388888888888884E-2</v>
      </c>
      <c r="AO18" s="55">
        <f t="shared" si="19"/>
        <v>3.6429872495446136E-3</v>
      </c>
      <c r="AP18" s="52"/>
      <c r="AQ18" s="53">
        <f t="shared" si="20"/>
        <v>0</v>
      </c>
      <c r="AR18" s="54">
        <v>0</v>
      </c>
      <c r="AS18" s="53">
        <f t="shared" si="21"/>
        <v>0</v>
      </c>
      <c r="AT18" s="54">
        <v>0</v>
      </c>
      <c r="AU18" s="53">
        <f t="shared" si="22"/>
        <v>0</v>
      </c>
      <c r="AV18" s="54">
        <v>0</v>
      </c>
      <c r="AW18" s="53">
        <f t="shared" si="23"/>
        <v>0</v>
      </c>
      <c r="AX18" s="54">
        <v>0</v>
      </c>
      <c r="AY18" s="55">
        <f t="shared" si="24"/>
        <v>0</v>
      </c>
    </row>
    <row r="19" spans="1:51" x14ac:dyDescent="0.25">
      <c r="A19" s="28" t="s">
        <v>164</v>
      </c>
      <c r="B19" s="52"/>
      <c r="C19" s="53">
        <f t="shared" si="0"/>
        <v>0</v>
      </c>
      <c r="D19" s="54">
        <v>0</v>
      </c>
      <c r="E19" s="53">
        <f t="shared" si="1"/>
        <v>0</v>
      </c>
      <c r="F19" s="54"/>
      <c r="G19" s="53">
        <f t="shared" si="2"/>
        <v>0</v>
      </c>
      <c r="H19" s="54">
        <v>0</v>
      </c>
      <c r="I19" s="53">
        <f t="shared" si="3"/>
        <v>0</v>
      </c>
      <c r="J19" s="54">
        <v>0</v>
      </c>
      <c r="K19" s="55">
        <f t="shared" si="4"/>
        <v>0</v>
      </c>
      <c r="L19" s="52"/>
      <c r="M19" s="53">
        <f t="shared" si="5"/>
        <v>0</v>
      </c>
      <c r="N19" s="54">
        <v>0</v>
      </c>
      <c r="O19" s="53">
        <f t="shared" si="6"/>
        <v>0</v>
      </c>
      <c r="P19" s="54"/>
      <c r="Q19" s="53">
        <f t="shared" si="7"/>
        <v>0</v>
      </c>
      <c r="R19" s="54">
        <v>0</v>
      </c>
      <c r="S19" s="53">
        <f t="shared" si="8"/>
        <v>0</v>
      </c>
      <c r="T19" s="54">
        <v>0</v>
      </c>
      <c r="U19" s="55">
        <f t="shared" si="9"/>
        <v>0</v>
      </c>
      <c r="V19" s="52"/>
      <c r="W19" s="53">
        <f t="shared" si="10"/>
        <v>0</v>
      </c>
      <c r="X19" s="54">
        <v>0</v>
      </c>
      <c r="Y19" s="53">
        <f t="shared" si="11"/>
        <v>0</v>
      </c>
      <c r="Z19" s="54">
        <v>0</v>
      </c>
      <c r="AA19" s="53">
        <f t="shared" si="12"/>
        <v>0</v>
      </c>
      <c r="AB19" s="54">
        <v>0</v>
      </c>
      <c r="AC19" s="53">
        <f t="shared" si="13"/>
        <v>0</v>
      </c>
      <c r="AD19" s="54">
        <v>0</v>
      </c>
      <c r="AE19" s="55">
        <f t="shared" si="14"/>
        <v>0</v>
      </c>
      <c r="AF19" s="52"/>
      <c r="AG19" s="53">
        <f t="shared" si="15"/>
        <v>0</v>
      </c>
      <c r="AH19" s="54">
        <v>0</v>
      </c>
      <c r="AI19" s="53">
        <f t="shared" si="16"/>
        <v>0</v>
      </c>
      <c r="AJ19" s="54">
        <v>0</v>
      </c>
      <c r="AK19" s="53">
        <f t="shared" si="17"/>
        <v>0</v>
      </c>
      <c r="AL19" s="54">
        <v>0</v>
      </c>
      <c r="AM19" s="53">
        <f t="shared" si="18"/>
        <v>0</v>
      </c>
      <c r="AN19" s="54">
        <v>0</v>
      </c>
      <c r="AO19" s="55">
        <f t="shared" si="19"/>
        <v>0</v>
      </c>
      <c r="AP19" s="52"/>
      <c r="AQ19" s="53">
        <f t="shared" si="20"/>
        <v>0</v>
      </c>
      <c r="AR19" s="54">
        <v>0</v>
      </c>
      <c r="AS19" s="53">
        <f t="shared" si="21"/>
        <v>0</v>
      </c>
      <c r="AT19" s="54">
        <v>0</v>
      </c>
      <c r="AU19" s="53">
        <f t="shared" si="22"/>
        <v>0</v>
      </c>
      <c r="AV19" s="54">
        <v>0</v>
      </c>
      <c r="AW19" s="53">
        <f t="shared" si="23"/>
        <v>0</v>
      </c>
      <c r="AX19" s="54">
        <v>0</v>
      </c>
      <c r="AY19" s="55">
        <f t="shared" si="24"/>
        <v>0</v>
      </c>
    </row>
    <row r="20" spans="1:51" x14ac:dyDescent="0.25">
      <c r="A20" s="28" t="s">
        <v>165</v>
      </c>
      <c r="B20" s="52"/>
      <c r="C20" s="53">
        <f t="shared" si="0"/>
        <v>0</v>
      </c>
      <c r="D20" s="54">
        <v>0</v>
      </c>
      <c r="E20" s="53">
        <f t="shared" si="1"/>
        <v>0</v>
      </c>
      <c r="F20" s="54"/>
      <c r="G20" s="53">
        <f t="shared" si="2"/>
        <v>0</v>
      </c>
      <c r="H20" s="54">
        <v>0</v>
      </c>
      <c r="I20" s="53">
        <f t="shared" si="3"/>
        <v>0</v>
      </c>
      <c r="J20" s="54">
        <v>0</v>
      </c>
      <c r="K20" s="55">
        <f t="shared" si="4"/>
        <v>0</v>
      </c>
      <c r="L20" s="52"/>
      <c r="M20" s="53">
        <f t="shared" si="5"/>
        <v>0</v>
      </c>
      <c r="N20" s="54">
        <v>0</v>
      </c>
      <c r="O20" s="53">
        <f t="shared" si="6"/>
        <v>0</v>
      </c>
      <c r="P20" s="54"/>
      <c r="Q20" s="53">
        <f t="shared" si="7"/>
        <v>0</v>
      </c>
      <c r="R20" s="54">
        <v>0</v>
      </c>
      <c r="S20" s="53">
        <f t="shared" si="8"/>
        <v>0</v>
      </c>
      <c r="T20" s="54">
        <v>0</v>
      </c>
      <c r="U20" s="55">
        <f t="shared" si="9"/>
        <v>0</v>
      </c>
      <c r="V20" s="52"/>
      <c r="W20" s="53">
        <f t="shared" si="10"/>
        <v>0</v>
      </c>
      <c r="X20" s="54">
        <v>0</v>
      </c>
      <c r="Y20" s="53">
        <f t="shared" si="11"/>
        <v>0</v>
      </c>
      <c r="Z20" s="54">
        <v>0</v>
      </c>
      <c r="AA20" s="53">
        <f t="shared" si="12"/>
        <v>0</v>
      </c>
      <c r="AB20" s="54">
        <v>0</v>
      </c>
      <c r="AC20" s="53">
        <f t="shared" si="13"/>
        <v>0</v>
      </c>
      <c r="AD20" s="54">
        <v>0</v>
      </c>
      <c r="AE20" s="55">
        <f t="shared" si="14"/>
        <v>0</v>
      </c>
      <c r="AF20" s="52"/>
      <c r="AG20" s="53">
        <f t="shared" si="15"/>
        <v>0</v>
      </c>
      <c r="AH20" s="54">
        <v>0.61111111111111094</v>
      </c>
      <c r="AI20" s="53">
        <f t="shared" si="16"/>
        <v>0.32305433186490451</v>
      </c>
      <c r="AJ20" s="54">
        <v>1.1069444444444443</v>
      </c>
      <c r="AK20" s="53">
        <f t="shared" si="17"/>
        <v>0.27673611111111113</v>
      </c>
      <c r="AL20" s="54">
        <v>1.0305555555555554</v>
      </c>
      <c r="AM20" s="53">
        <f t="shared" si="18"/>
        <v>0.27030965391621126</v>
      </c>
      <c r="AN20" s="54">
        <v>1.0305555555555554</v>
      </c>
      <c r="AO20" s="55">
        <f t="shared" si="19"/>
        <v>0.27030965391621126</v>
      </c>
      <c r="AP20" s="52"/>
      <c r="AQ20" s="53">
        <f t="shared" si="20"/>
        <v>0</v>
      </c>
      <c r="AR20" s="54">
        <v>0</v>
      </c>
      <c r="AS20" s="53">
        <f t="shared" si="21"/>
        <v>0</v>
      </c>
      <c r="AT20" s="54">
        <v>0</v>
      </c>
      <c r="AU20" s="53">
        <f t="shared" si="22"/>
        <v>0</v>
      </c>
      <c r="AV20" s="54">
        <v>0</v>
      </c>
      <c r="AW20" s="53">
        <f t="shared" si="23"/>
        <v>0</v>
      </c>
      <c r="AX20" s="54">
        <v>0</v>
      </c>
      <c r="AY20" s="55">
        <f t="shared" si="24"/>
        <v>0</v>
      </c>
    </row>
    <row r="21" spans="1:51" x14ac:dyDescent="0.25">
      <c r="A21" s="28" t="s">
        <v>166</v>
      </c>
      <c r="B21" s="52"/>
      <c r="C21" s="53">
        <f t="shared" si="0"/>
        <v>0</v>
      </c>
      <c r="D21" s="54">
        <v>0</v>
      </c>
      <c r="E21" s="53">
        <f t="shared" si="1"/>
        <v>0</v>
      </c>
      <c r="F21" s="54"/>
      <c r="G21" s="53">
        <f t="shared" si="2"/>
        <v>0</v>
      </c>
      <c r="H21" s="54">
        <v>0</v>
      </c>
      <c r="I21" s="53">
        <f t="shared" si="3"/>
        <v>0</v>
      </c>
      <c r="J21" s="54">
        <v>0</v>
      </c>
      <c r="K21" s="55">
        <f t="shared" si="4"/>
        <v>0</v>
      </c>
      <c r="L21" s="52"/>
      <c r="M21" s="53">
        <f t="shared" si="5"/>
        <v>0</v>
      </c>
      <c r="N21" s="54">
        <v>0</v>
      </c>
      <c r="O21" s="53">
        <f t="shared" si="6"/>
        <v>0</v>
      </c>
      <c r="P21" s="54"/>
      <c r="Q21" s="53">
        <f t="shared" si="7"/>
        <v>0</v>
      </c>
      <c r="R21" s="54">
        <v>0</v>
      </c>
      <c r="S21" s="53">
        <f t="shared" si="8"/>
        <v>0</v>
      </c>
      <c r="T21" s="54">
        <v>0</v>
      </c>
      <c r="U21" s="55">
        <f t="shared" si="9"/>
        <v>0</v>
      </c>
      <c r="V21" s="52"/>
      <c r="W21" s="53">
        <f t="shared" si="10"/>
        <v>0</v>
      </c>
      <c r="X21" s="54">
        <v>0</v>
      </c>
      <c r="Y21" s="53">
        <f t="shared" si="11"/>
        <v>0</v>
      </c>
      <c r="Z21" s="54">
        <v>0</v>
      </c>
      <c r="AA21" s="53">
        <f t="shared" si="12"/>
        <v>0</v>
      </c>
      <c r="AB21" s="54">
        <v>0</v>
      </c>
      <c r="AC21" s="53">
        <f t="shared" si="13"/>
        <v>0</v>
      </c>
      <c r="AD21" s="54">
        <v>0</v>
      </c>
      <c r="AE21" s="55">
        <f t="shared" si="14"/>
        <v>0</v>
      </c>
      <c r="AF21" s="52"/>
      <c r="AG21" s="53">
        <f t="shared" si="15"/>
        <v>0</v>
      </c>
      <c r="AH21" s="54">
        <v>0</v>
      </c>
      <c r="AI21" s="53">
        <f t="shared" si="16"/>
        <v>0</v>
      </c>
      <c r="AJ21" s="54">
        <v>0</v>
      </c>
      <c r="AK21" s="53">
        <f t="shared" si="17"/>
        <v>0</v>
      </c>
      <c r="AL21" s="54">
        <v>0</v>
      </c>
      <c r="AM21" s="53">
        <f t="shared" si="18"/>
        <v>0</v>
      </c>
      <c r="AN21" s="54">
        <v>0</v>
      </c>
      <c r="AO21" s="55">
        <f t="shared" si="19"/>
        <v>0</v>
      </c>
      <c r="AP21" s="52"/>
      <c r="AQ21" s="53">
        <f t="shared" si="20"/>
        <v>0</v>
      </c>
      <c r="AR21" s="54">
        <v>0</v>
      </c>
      <c r="AS21" s="53">
        <f t="shared" si="21"/>
        <v>0</v>
      </c>
      <c r="AT21" s="54">
        <v>0</v>
      </c>
      <c r="AU21" s="53">
        <f t="shared" si="22"/>
        <v>0</v>
      </c>
      <c r="AV21" s="54">
        <v>0</v>
      </c>
      <c r="AW21" s="53">
        <f t="shared" si="23"/>
        <v>0</v>
      </c>
      <c r="AX21" s="54">
        <v>0</v>
      </c>
      <c r="AY21" s="55">
        <f t="shared" si="24"/>
        <v>0</v>
      </c>
    </row>
    <row r="22" spans="1:51" x14ac:dyDescent="0.25">
      <c r="A22" s="28" t="s">
        <v>167</v>
      </c>
      <c r="B22" s="52"/>
      <c r="C22" s="53">
        <f t="shared" si="0"/>
        <v>0</v>
      </c>
      <c r="D22" s="54">
        <v>0</v>
      </c>
      <c r="E22" s="53">
        <f t="shared" si="1"/>
        <v>0</v>
      </c>
      <c r="F22" s="54"/>
      <c r="G22" s="53">
        <f t="shared" si="2"/>
        <v>0</v>
      </c>
      <c r="H22" s="54">
        <v>0</v>
      </c>
      <c r="I22" s="53">
        <f t="shared" si="3"/>
        <v>0</v>
      </c>
      <c r="J22" s="54">
        <v>0</v>
      </c>
      <c r="K22" s="55">
        <f t="shared" si="4"/>
        <v>0</v>
      </c>
      <c r="L22" s="52"/>
      <c r="M22" s="53">
        <f t="shared" si="5"/>
        <v>0</v>
      </c>
      <c r="N22" s="54">
        <v>0</v>
      </c>
      <c r="O22" s="53">
        <f t="shared" si="6"/>
        <v>0</v>
      </c>
      <c r="P22" s="54"/>
      <c r="Q22" s="53">
        <f t="shared" si="7"/>
        <v>0</v>
      </c>
      <c r="R22" s="54">
        <v>0</v>
      </c>
      <c r="S22" s="53">
        <f t="shared" si="8"/>
        <v>0</v>
      </c>
      <c r="T22" s="54">
        <v>0</v>
      </c>
      <c r="U22" s="55">
        <f t="shared" si="9"/>
        <v>0</v>
      </c>
      <c r="V22" s="52"/>
      <c r="W22" s="53">
        <f t="shared" si="10"/>
        <v>0</v>
      </c>
      <c r="X22" s="54">
        <v>0</v>
      </c>
      <c r="Y22" s="53">
        <f t="shared" si="11"/>
        <v>0</v>
      </c>
      <c r="Z22" s="54">
        <v>0</v>
      </c>
      <c r="AA22" s="53">
        <f t="shared" si="12"/>
        <v>0</v>
      </c>
      <c r="AB22" s="54">
        <v>0</v>
      </c>
      <c r="AC22" s="53">
        <f t="shared" si="13"/>
        <v>0</v>
      </c>
      <c r="AD22" s="54">
        <v>0</v>
      </c>
      <c r="AE22" s="55">
        <f t="shared" si="14"/>
        <v>0</v>
      </c>
      <c r="AF22" s="52"/>
      <c r="AG22" s="53">
        <f t="shared" si="15"/>
        <v>0</v>
      </c>
      <c r="AH22" s="54">
        <v>2.083333333333337E-2</v>
      </c>
      <c r="AI22" s="53">
        <f t="shared" si="16"/>
        <v>1.1013215859030858E-2</v>
      </c>
      <c r="AJ22" s="54">
        <v>9.7916666666666652E-2</v>
      </c>
      <c r="AK22" s="53">
        <f t="shared" si="17"/>
        <v>2.447916666666667E-2</v>
      </c>
      <c r="AL22" s="54">
        <v>7.7083333333333393E-2</v>
      </c>
      <c r="AM22" s="53">
        <f t="shared" si="18"/>
        <v>2.0218579234972694E-2</v>
      </c>
      <c r="AN22" s="54">
        <v>7.7083333333333393E-2</v>
      </c>
      <c r="AO22" s="55">
        <f t="shared" si="19"/>
        <v>2.0218579234972694E-2</v>
      </c>
      <c r="AP22" s="52"/>
      <c r="AQ22" s="53">
        <f t="shared" si="20"/>
        <v>0</v>
      </c>
      <c r="AR22" s="54">
        <v>0</v>
      </c>
      <c r="AS22" s="53">
        <f t="shared" si="21"/>
        <v>0</v>
      </c>
      <c r="AT22" s="54">
        <v>0</v>
      </c>
      <c r="AU22" s="53">
        <f t="shared" si="22"/>
        <v>0</v>
      </c>
      <c r="AV22" s="54">
        <v>0</v>
      </c>
      <c r="AW22" s="53">
        <f t="shared" si="23"/>
        <v>0</v>
      </c>
      <c r="AX22" s="54">
        <v>0</v>
      </c>
      <c r="AY22" s="55">
        <f t="shared" si="24"/>
        <v>0</v>
      </c>
    </row>
    <row r="23" spans="1:51" x14ac:dyDescent="0.25">
      <c r="A23" s="28" t="s">
        <v>168</v>
      </c>
      <c r="B23" s="52"/>
      <c r="C23" s="53">
        <f t="shared" si="0"/>
        <v>0</v>
      </c>
      <c r="D23" s="54">
        <v>0</v>
      </c>
      <c r="E23" s="53">
        <f t="shared" si="1"/>
        <v>0</v>
      </c>
      <c r="F23" s="54"/>
      <c r="G23" s="53">
        <f t="shared" si="2"/>
        <v>0</v>
      </c>
      <c r="H23" s="54">
        <v>0</v>
      </c>
      <c r="I23" s="53">
        <f t="shared" si="3"/>
        <v>0</v>
      </c>
      <c r="J23" s="54">
        <v>0</v>
      </c>
      <c r="K23" s="55">
        <f t="shared" si="4"/>
        <v>0</v>
      </c>
      <c r="L23" s="52"/>
      <c r="M23" s="53">
        <f t="shared" si="5"/>
        <v>0</v>
      </c>
      <c r="N23" s="54">
        <v>0</v>
      </c>
      <c r="O23" s="53">
        <f t="shared" si="6"/>
        <v>0</v>
      </c>
      <c r="P23" s="54"/>
      <c r="Q23" s="53">
        <f t="shared" si="7"/>
        <v>0</v>
      </c>
      <c r="R23" s="54">
        <v>0</v>
      </c>
      <c r="S23" s="53">
        <f t="shared" si="8"/>
        <v>0</v>
      </c>
      <c r="T23" s="54">
        <v>0</v>
      </c>
      <c r="U23" s="55">
        <f t="shared" si="9"/>
        <v>0</v>
      </c>
      <c r="V23" s="52"/>
      <c r="W23" s="53">
        <f t="shared" si="10"/>
        <v>0</v>
      </c>
      <c r="X23" s="54">
        <v>0</v>
      </c>
      <c r="Y23" s="53">
        <f t="shared" si="11"/>
        <v>0</v>
      </c>
      <c r="Z23" s="54">
        <v>0</v>
      </c>
      <c r="AA23" s="53">
        <f t="shared" si="12"/>
        <v>0</v>
      </c>
      <c r="AB23" s="54">
        <v>0</v>
      </c>
      <c r="AC23" s="53">
        <f t="shared" si="13"/>
        <v>0</v>
      </c>
      <c r="AD23" s="54">
        <v>0</v>
      </c>
      <c r="AE23" s="55">
        <f t="shared" si="14"/>
        <v>0</v>
      </c>
      <c r="AF23" s="52"/>
      <c r="AG23" s="53">
        <f t="shared" si="15"/>
        <v>0</v>
      </c>
      <c r="AH23" s="54">
        <v>0</v>
      </c>
      <c r="AI23" s="53">
        <f t="shared" si="16"/>
        <v>0</v>
      </c>
      <c r="AJ23" s="54">
        <v>0</v>
      </c>
      <c r="AK23" s="53">
        <f t="shared" si="17"/>
        <v>0</v>
      </c>
      <c r="AL23" s="54">
        <v>0</v>
      </c>
      <c r="AM23" s="53">
        <f t="shared" si="18"/>
        <v>0</v>
      </c>
      <c r="AN23" s="54">
        <v>0</v>
      </c>
      <c r="AO23" s="55">
        <f t="shared" si="19"/>
        <v>0</v>
      </c>
      <c r="AP23" s="52"/>
      <c r="AQ23" s="53">
        <f t="shared" si="20"/>
        <v>0</v>
      </c>
      <c r="AR23" s="54">
        <v>0</v>
      </c>
      <c r="AS23" s="53">
        <f t="shared" si="21"/>
        <v>0</v>
      </c>
      <c r="AT23" s="54">
        <v>0</v>
      </c>
      <c r="AU23" s="53">
        <f t="shared" si="22"/>
        <v>0</v>
      </c>
      <c r="AV23" s="54">
        <v>0</v>
      </c>
      <c r="AW23" s="53">
        <f t="shared" si="23"/>
        <v>0</v>
      </c>
      <c r="AX23" s="54">
        <v>0</v>
      </c>
      <c r="AY23" s="55">
        <f t="shared" si="24"/>
        <v>0</v>
      </c>
    </row>
    <row r="24" spans="1:51" x14ac:dyDescent="0.25">
      <c r="A24" s="28" t="s">
        <v>169</v>
      </c>
      <c r="B24" s="52"/>
      <c r="C24" s="53">
        <f t="shared" si="0"/>
        <v>0</v>
      </c>
      <c r="D24" s="54">
        <v>0</v>
      </c>
      <c r="E24" s="53">
        <f t="shared" si="1"/>
        <v>0</v>
      </c>
      <c r="F24" s="54"/>
      <c r="G24" s="53">
        <f t="shared" si="2"/>
        <v>0</v>
      </c>
      <c r="H24" s="54">
        <v>0</v>
      </c>
      <c r="I24" s="53">
        <f t="shared" si="3"/>
        <v>0</v>
      </c>
      <c r="J24" s="54">
        <v>0</v>
      </c>
      <c r="K24" s="55">
        <f t="shared" si="4"/>
        <v>0</v>
      </c>
      <c r="L24" s="52"/>
      <c r="M24" s="53">
        <f t="shared" si="5"/>
        <v>0</v>
      </c>
      <c r="N24" s="54">
        <v>0</v>
      </c>
      <c r="O24" s="53">
        <f t="shared" si="6"/>
        <v>0</v>
      </c>
      <c r="P24" s="54"/>
      <c r="Q24" s="53">
        <f t="shared" si="7"/>
        <v>0</v>
      </c>
      <c r="R24" s="54">
        <v>0</v>
      </c>
      <c r="S24" s="53">
        <f t="shared" si="8"/>
        <v>0</v>
      </c>
      <c r="T24" s="54">
        <v>0</v>
      </c>
      <c r="U24" s="55">
        <f t="shared" si="9"/>
        <v>0</v>
      </c>
      <c r="V24" s="52"/>
      <c r="W24" s="53">
        <f t="shared" si="10"/>
        <v>0</v>
      </c>
      <c r="X24" s="54">
        <v>0</v>
      </c>
      <c r="Y24" s="53">
        <f t="shared" si="11"/>
        <v>0</v>
      </c>
      <c r="Z24" s="54">
        <v>0</v>
      </c>
      <c r="AA24" s="53">
        <f t="shared" si="12"/>
        <v>0</v>
      </c>
      <c r="AB24" s="54">
        <v>0</v>
      </c>
      <c r="AC24" s="53">
        <f t="shared" si="13"/>
        <v>0</v>
      </c>
      <c r="AD24" s="54">
        <v>0</v>
      </c>
      <c r="AE24" s="55">
        <f t="shared" si="14"/>
        <v>0</v>
      </c>
      <c r="AF24" s="52"/>
      <c r="AG24" s="53">
        <f t="shared" si="15"/>
        <v>0</v>
      </c>
      <c r="AH24" s="54">
        <v>3.6805555555555536E-2</v>
      </c>
      <c r="AI24" s="53">
        <f t="shared" si="16"/>
        <v>1.945668135095447E-2</v>
      </c>
      <c r="AJ24" s="54">
        <v>5.7638888888888795E-2</v>
      </c>
      <c r="AK24" s="53">
        <f t="shared" si="17"/>
        <v>1.4409722222222202E-2</v>
      </c>
      <c r="AL24" s="54">
        <v>5.7638888888888795E-2</v>
      </c>
      <c r="AM24" s="53">
        <f t="shared" si="18"/>
        <v>1.5118397085610176E-2</v>
      </c>
      <c r="AN24" s="54">
        <v>5.7638888888888795E-2</v>
      </c>
      <c r="AO24" s="55">
        <f t="shared" si="19"/>
        <v>1.5118397085610176E-2</v>
      </c>
      <c r="AP24" s="52"/>
      <c r="AQ24" s="53">
        <f t="shared" si="20"/>
        <v>0</v>
      </c>
      <c r="AR24" s="54">
        <v>0</v>
      </c>
      <c r="AS24" s="53">
        <f t="shared" si="21"/>
        <v>0</v>
      </c>
      <c r="AT24" s="54">
        <v>0</v>
      </c>
      <c r="AU24" s="53">
        <f t="shared" si="22"/>
        <v>0</v>
      </c>
      <c r="AV24" s="54">
        <v>0</v>
      </c>
      <c r="AW24" s="53">
        <f t="shared" si="23"/>
        <v>0</v>
      </c>
      <c r="AX24" s="54">
        <v>0</v>
      </c>
      <c r="AY24" s="55">
        <f t="shared" si="24"/>
        <v>0</v>
      </c>
    </row>
    <row r="25" spans="1:51" x14ac:dyDescent="0.25">
      <c r="A25" s="28" t="s">
        <v>170</v>
      </c>
      <c r="B25" s="52"/>
      <c r="C25" s="53">
        <f t="shared" si="0"/>
        <v>0</v>
      </c>
      <c r="D25" s="54">
        <v>0</v>
      </c>
      <c r="E25" s="53">
        <f t="shared" si="1"/>
        <v>0</v>
      </c>
      <c r="F25" s="54"/>
      <c r="G25" s="53">
        <f t="shared" si="2"/>
        <v>0</v>
      </c>
      <c r="H25" s="54">
        <v>0</v>
      </c>
      <c r="I25" s="53">
        <f t="shared" si="3"/>
        <v>0</v>
      </c>
      <c r="J25" s="54">
        <v>0</v>
      </c>
      <c r="K25" s="55">
        <f t="shared" si="4"/>
        <v>0</v>
      </c>
      <c r="L25" s="52"/>
      <c r="M25" s="53">
        <f t="shared" si="5"/>
        <v>0</v>
      </c>
      <c r="N25" s="54">
        <v>0</v>
      </c>
      <c r="O25" s="53">
        <f t="shared" si="6"/>
        <v>0</v>
      </c>
      <c r="P25" s="54"/>
      <c r="Q25" s="53">
        <f t="shared" si="7"/>
        <v>0</v>
      </c>
      <c r="R25" s="54">
        <v>0</v>
      </c>
      <c r="S25" s="53">
        <f t="shared" si="8"/>
        <v>0</v>
      </c>
      <c r="T25" s="54">
        <v>0</v>
      </c>
      <c r="U25" s="55">
        <f t="shared" si="9"/>
        <v>0</v>
      </c>
      <c r="V25" s="52"/>
      <c r="W25" s="53">
        <f t="shared" si="10"/>
        <v>0</v>
      </c>
      <c r="X25" s="54">
        <v>0</v>
      </c>
      <c r="Y25" s="53">
        <f t="shared" si="11"/>
        <v>0</v>
      </c>
      <c r="Z25" s="54">
        <v>0</v>
      </c>
      <c r="AA25" s="53">
        <f t="shared" si="12"/>
        <v>0</v>
      </c>
      <c r="AB25" s="54">
        <v>0</v>
      </c>
      <c r="AC25" s="53">
        <f t="shared" si="13"/>
        <v>0</v>
      </c>
      <c r="AD25" s="54">
        <v>0</v>
      </c>
      <c r="AE25" s="55">
        <f t="shared" si="14"/>
        <v>0</v>
      </c>
      <c r="AF25" s="52"/>
      <c r="AG25" s="53">
        <f t="shared" si="15"/>
        <v>0</v>
      </c>
      <c r="AH25" s="54">
        <v>0</v>
      </c>
      <c r="AI25" s="53">
        <f t="shared" si="16"/>
        <v>0</v>
      </c>
      <c r="AJ25" s="54">
        <v>0</v>
      </c>
      <c r="AK25" s="53">
        <f t="shared" si="17"/>
        <v>0</v>
      </c>
      <c r="AL25" s="54">
        <v>0</v>
      </c>
      <c r="AM25" s="53">
        <f t="shared" si="18"/>
        <v>0</v>
      </c>
      <c r="AN25" s="54">
        <v>0</v>
      </c>
      <c r="AO25" s="55">
        <f t="shared" si="19"/>
        <v>0</v>
      </c>
      <c r="AP25" s="52"/>
      <c r="AQ25" s="53">
        <f t="shared" si="20"/>
        <v>0</v>
      </c>
      <c r="AR25" s="54">
        <v>0</v>
      </c>
      <c r="AS25" s="53">
        <f t="shared" si="21"/>
        <v>0</v>
      </c>
      <c r="AT25" s="54">
        <v>0</v>
      </c>
      <c r="AU25" s="53">
        <f t="shared" si="22"/>
        <v>0</v>
      </c>
      <c r="AV25" s="54">
        <v>0</v>
      </c>
      <c r="AW25" s="53">
        <f t="shared" si="23"/>
        <v>0</v>
      </c>
      <c r="AX25" s="54">
        <v>0</v>
      </c>
      <c r="AY25" s="55">
        <f t="shared" si="24"/>
        <v>0</v>
      </c>
    </row>
    <row r="26" spans="1:51" x14ac:dyDescent="0.25">
      <c r="A26" s="28" t="s">
        <v>171</v>
      </c>
      <c r="B26" s="52"/>
      <c r="C26" s="53">
        <f t="shared" si="0"/>
        <v>0</v>
      </c>
      <c r="D26" s="54">
        <v>0</v>
      </c>
      <c r="E26" s="53">
        <f t="shared" si="1"/>
        <v>0</v>
      </c>
      <c r="F26" s="54"/>
      <c r="G26" s="53">
        <f t="shared" si="2"/>
        <v>0</v>
      </c>
      <c r="H26" s="54">
        <v>0</v>
      </c>
      <c r="I26" s="53">
        <f t="shared" si="3"/>
        <v>0</v>
      </c>
      <c r="J26" s="54">
        <v>0</v>
      </c>
      <c r="K26" s="55">
        <f t="shared" si="4"/>
        <v>0</v>
      </c>
      <c r="L26" s="52"/>
      <c r="M26" s="53">
        <f t="shared" si="5"/>
        <v>0</v>
      </c>
      <c r="N26" s="54">
        <v>0</v>
      </c>
      <c r="O26" s="53">
        <f t="shared" si="6"/>
        <v>0</v>
      </c>
      <c r="P26" s="54"/>
      <c r="Q26" s="53">
        <f t="shared" si="7"/>
        <v>0</v>
      </c>
      <c r="R26" s="54">
        <v>0</v>
      </c>
      <c r="S26" s="53">
        <f t="shared" si="8"/>
        <v>0</v>
      </c>
      <c r="T26" s="54">
        <v>0</v>
      </c>
      <c r="U26" s="55">
        <f t="shared" si="9"/>
        <v>0</v>
      </c>
      <c r="V26" s="52"/>
      <c r="W26" s="53">
        <f t="shared" si="10"/>
        <v>0</v>
      </c>
      <c r="X26" s="54">
        <v>0</v>
      </c>
      <c r="Y26" s="53">
        <f t="shared" si="11"/>
        <v>0</v>
      </c>
      <c r="Z26" s="54">
        <v>0</v>
      </c>
      <c r="AA26" s="53">
        <f t="shared" si="12"/>
        <v>0</v>
      </c>
      <c r="AB26" s="54">
        <v>0</v>
      </c>
      <c r="AC26" s="53">
        <f t="shared" si="13"/>
        <v>0</v>
      </c>
      <c r="AD26" s="54">
        <v>0</v>
      </c>
      <c r="AE26" s="55">
        <f t="shared" si="14"/>
        <v>0</v>
      </c>
      <c r="AF26" s="52"/>
      <c r="AG26" s="53">
        <f t="shared" si="15"/>
        <v>0</v>
      </c>
      <c r="AH26" s="54">
        <v>0</v>
      </c>
      <c r="AI26" s="53">
        <f t="shared" si="16"/>
        <v>0</v>
      </c>
      <c r="AJ26" s="54">
        <v>0</v>
      </c>
      <c r="AK26" s="53">
        <f t="shared" si="17"/>
        <v>0</v>
      </c>
      <c r="AL26" s="54">
        <v>0</v>
      </c>
      <c r="AM26" s="53">
        <f t="shared" si="18"/>
        <v>0</v>
      </c>
      <c r="AN26" s="54">
        <v>0</v>
      </c>
      <c r="AO26" s="55">
        <f t="shared" si="19"/>
        <v>0</v>
      </c>
      <c r="AP26" s="52"/>
      <c r="AQ26" s="53">
        <f t="shared" si="20"/>
        <v>0</v>
      </c>
      <c r="AR26" s="54">
        <v>0</v>
      </c>
      <c r="AS26" s="53">
        <f t="shared" si="21"/>
        <v>0</v>
      </c>
      <c r="AT26" s="54">
        <v>0</v>
      </c>
      <c r="AU26" s="53">
        <f t="shared" si="22"/>
        <v>0</v>
      </c>
      <c r="AV26" s="54">
        <v>0</v>
      </c>
      <c r="AW26" s="53">
        <f t="shared" si="23"/>
        <v>0</v>
      </c>
      <c r="AX26" s="54">
        <v>0</v>
      </c>
      <c r="AY26" s="55">
        <f t="shared" si="24"/>
        <v>0</v>
      </c>
    </row>
    <row r="27" spans="1:51" x14ac:dyDescent="0.25">
      <c r="A27" s="28" t="s">
        <v>172</v>
      </c>
      <c r="B27" s="52"/>
      <c r="C27" s="53">
        <f t="shared" si="0"/>
        <v>0</v>
      </c>
      <c r="D27" s="54">
        <v>0</v>
      </c>
      <c r="E27" s="53">
        <f t="shared" si="1"/>
        <v>0</v>
      </c>
      <c r="F27" s="54"/>
      <c r="G27" s="53">
        <f t="shared" si="2"/>
        <v>0</v>
      </c>
      <c r="H27" s="54">
        <v>0</v>
      </c>
      <c r="I27" s="53">
        <f t="shared" si="3"/>
        <v>0</v>
      </c>
      <c r="J27" s="54">
        <v>0</v>
      </c>
      <c r="K27" s="55">
        <f t="shared" si="4"/>
        <v>0</v>
      </c>
      <c r="L27" s="52"/>
      <c r="M27" s="53">
        <f t="shared" si="5"/>
        <v>0</v>
      </c>
      <c r="N27" s="54">
        <v>0</v>
      </c>
      <c r="O27" s="53">
        <f t="shared" si="6"/>
        <v>0</v>
      </c>
      <c r="P27" s="54"/>
      <c r="Q27" s="53">
        <f t="shared" si="7"/>
        <v>0</v>
      </c>
      <c r="R27" s="54">
        <v>0</v>
      </c>
      <c r="S27" s="53">
        <f t="shared" si="8"/>
        <v>0</v>
      </c>
      <c r="T27" s="54">
        <v>0</v>
      </c>
      <c r="U27" s="55">
        <f t="shared" si="9"/>
        <v>0</v>
      </c>
      <c r="V27" s="52"/>
      <c r="W27" s="53">
        <f t="shared" si="10"/>
        <v>0</v>
      </c>
      <c r="X27" s="54">
        <v>0</v>
      </c>
      <c r="Y27" s="53">
        <f t="shared" si="11"/>
        <v>0</v>
      </c>
      <c r="Z27" s="54">
        <v>0</v>
      </c>
      <c r="AA27" s="53">
        <f t="shared" si="12"/>
        <v>0</v>
      </c>
      <c r="AB27" s="54">
        <v>0</v>
      </c>
      <c r="AC27" s="53">
        <f t="shared" si="13"/>
        <v>0</v>
      </c>
      <c r="AD27" s="54">
        <v>0</v>
      </c>
      <c r="AE27" s="55">
        <f t="shared" si="14"/>
        <v>0</v>
      </c>
      <c r="AF27" s="52"/>
      <c r="AG27" s="53">
        <f t="shared" si="15"/>
        <v>0</v>
      </c>
      <c r="AH27" s="54">
        <v>0</v>
      </c>
      <c r="AI27" s="53">
        <f t="shared" si="16"/>
        <v>0</v>
      </c>
      <c r="AJ27" s="54">
        <v>0</v>
      </c>
      <c r="AK27" s="53">
        <f t="shared" si="17"/>
        <v>0</v>
      </c>
      <c r="AL27" s="54">
        <v>0</v>
      </c>
      <c r="AM27" s="53">
        <f t="shared" si="18"/>
        <v>0</v>
      </c>
      <c r="AN27" s="54">
        <v>0</v>
      </c>
      <c r="AO27" s="55">
        <f t="shared" si="19"/>
        <v>0</v>
      </c>
      <c r="AP27" s="52"/>
      <c r="AQ27" s="53">
        <f t="shared" si="20"/>
        <v>0</v>
      </c>
      <c r="AR27" s="54">
        <v>0</v>
      </c>
      <c r="AS27" s="53">
        <f t="shared" si="21"/>
        <v>0</v>
      </c>
      <c r="AT27" s="54">
        <v>0</v>
      </c>
      <c r="AU27" s="53">
        <f t="shared" si="22"/>
        <v>0</v>
      </c>
      <c r="AV27" s="54">
        <v>0</v>
      </c>
      <c r="AW27" s="53">
        <f t="shared" si="23"/>
        <v>0</v>
      </c>
      <c r="AX27" s="54">
        <v>0</v>
      </c>
      <c r="AY27" s="55">
        <f t="shared" si="24"/>
        <v>0</v>
      </c>
    </row>
    <row r="28" spans="1:51" x14ac:dyDescent="0.25">
      <c r="A28" s="29" t="s">
        <v>78</v>
      </c>
      <c r="B28" s="52"/>
      <c r="C28" s="53">
        <f t="shared" si="0"/>
        <v>0</v>
      </c>
      <c r="D28" s="54">
        <v>8.3333333333333315E-3</v>
      </c>
      <c r="E28" s="53">
        <f t="shared" si="1"/>
        <v>4.9220672682526645E-3</v>
      </c>
      <c r="F28" s="54"/>
      <c r="G28" s="53">
        <f t="shared" si="2"/>
        <v>0</v>
      </c>
      <c r="H28" s="54">
        <v>8.3333333333333315E-3</v>
      </c>
      <c r="I28" s="53">
        <f t="shared" si="3"/>
        <v>2.2197558268590451E-3</v>
      </c>
      <c r="J28" s="54">
        <v>9.7916666666666749E-2</v>
      </c>
      <c r="K28" s="55">
        <f t="shared" si="4"/>
        <v>1.5921409214092155E-2</v>
      </c>
      <c r="L28" s="52"/>
      <c r="M28" s="53">
        <f t="shared" si="5"/>
        <v>0</v>
      </c>
      <c r="N28" s="54">
        <v>0.10069444444444443</v>
      </c>
      <c r="O28" s="53">
        <f t="shared" si="6"/>
        <v>6.0618729096989975E-2</v>
      </c>
      <c r="P28" s="54"/>
      <c r="Q28" s="53">
        <f t="shared" si="7"/>
        <v>0</v>
      </c>
      <c r="R28" s="54">
        <v>0.2402777777777777</v>
      </c>
      <c r="S28" s="53">
        <f t="shared" si="8"/>
        <v>5.1472775959535838E-2</v>
      </c>
      <c r="T28" s="54">
        <v>0.5493055555555556</v>
      </c>
      <c r="U28" s="55">
        <f t="shared" si="9"/>
        <v>6.3350953067435545E-2</v>
      </c>
      <c r="V28" s="52"/>
      <c r="W28" s="53">
        <f t="shared" si="10"/>
        <v>0</v>
      </c>
      <c r="X28" s="54">
        <v>2.0138888888888845E-2</v>
      </c>
      <c r="Y28" s="53">
        <f t="shared" si="11"/>
        <v>1.2083333333333311E-2</v>
      </c>
      <c r="Z28" s="54">
        <v>2.0138888888888845E-2</v>
      </c>
      <c r="AA28" s="53">
        <f t="shared" si="12"/>
        <v>5.1952705123611501E-3</v>
      </c>
      <c r="AB28" s="54">
        <v>2.0138888888888845E-2</v>
      </c>
      <c r="AC28" s="53">
        <f t="shared" si="13"/>
        <v>5.4398799474770099E-3</v>
      </c>
      <c r="AD28" s="54">
        <v>2.7777777777777735E-2</v>
      </c>
      <c r="AE28" s="55">
        <f t="shared" si="14"/>
        <v>3.902058335772114E-3</v>
      </c>
      <c r="AF28" s="52"/>
      <c r="AG28" s="53">
        <f t="shared" si="15"/>
        <v>0</v>
      </c>
      <c r="AH28" s="54">
        <v>0.16736111111111115</v>
      </c>
      <c r="AI28" s="53">
        <f t="shared" si="16"/>
        <v>8.8472834067547759E-2</v>
      </c>
      <c r="AJ28" s="54">
        <v>0.34791666666666665</v>
      </c>
      <c r="AK28" s="53">
        <f t="shared" si="17"/>
        <v>8.6979166666666677E-2</v>
      </c>
      <c r="AL28" s="54">
        <v>0.34791666666666665</v>
      </c>
      <c r="AM28" s="53">
        <f t="shared" si="18"/>
        <v>9.1256830601092895E-2</v>
      </c>
      <c r="AN28" s="54">
        <v>0.34791666666666665</v>
      </c>
      <c r="AO28" s="55">
        <f t="shared" si="19"/>
        <v>9.1256830601092895E-2</v>
      </c>
      <c r="AP28" s="52"/>
      <c r="AQ28" s="53">
        <f t="shared" si="20"/>
        <v>0</v>
      </c>
      <c r="AR28" s="54">
        <v>0</v>
      </c>
      <c r="AS28" s="53">
        <f t="shared" si="21"/>
        <v>0</v>
      </c>
      <c r="AT28" s="54">
        <v>0</v>
      </c>
      <c r="AU28" s="53">
        <f t="shared" si="22"/>
        <v>0</v>
      </c>
      <c r="AV28" s="54">
        <v>0</v>
      </c>
      <c r="AW28" s="53">
        <f t="shared" si="23"/>
        <v>0</v>
      </c>
      <c r="AX28" s="54">
        <v>0</v>
      </c>
      <c r="AY28" s="55">
        <f t="shared" si="24"/>
        <v>0</v>
      </c>
    </row>
    <row r="29" spans="1:51" x14ac:dyDescent="0.25">
      <c r="A29" s="29" t="s">
        <v>79</v>
      </c>
      <c r="B29" s="52"/>
      <c r="C29" s="53">
        <f t="shared" si="0"/>
        <v>0</v>
      </c>
      <c r="D29" s="54">
        <v>0</v>
      </c>
      <c r="E29" s="53">
        <f t="shared" si="1"/>
        <v>0</v>
      </c>
      <c r="F29" s="54"/>
      <c r="G29" s="53">
        <f t="shared" si="2"/>
        <v>0</v>
      </c>
      <c r="H29" s="54">
        <v>0</v>
      </c>
      <c r="I29" s="53">
        <f t="shared" si="3"/>
        <v>0</v>
      </c>
      <c r="J29" s="54">
        <v>0</v>
      </c>
      <c r="K29" s="55">
        <f t="shared" si="4"/>
        <v>0</v>
      </c>
      <c r="L29" s="52"/>
      <c r="M29" s="53">
        <f t="shared" si="5"/>
        <v>0</v>
      </c>
      <c r="N29" s="54">
        <v>0</v>
      </c>
      <c r="O29" s="53">
        <f t="shared" si="6"/>
        <v>0</v>
      </c>
      <c r="P29" s="54"/>
      <c r="Q29" s="53">
        <f t="shared" si="7"/>
        <v>0</v>
      </c>
      <c r="R29" s="54">
        <v>0</v>
      </c>
      <c r="S29" s="53">
        <f t="shared" si="8"/>
        <v>0</v>
      </c>
      <c r="T29" s="54">
        <v>0</v>
      </c>
      <c r="U29" s="55">
        <f t="shared" si="9"/>
        <v>0</v>
      </c>
      <c r="V29" s="52"/>
      <c r="W29" s="53">
        <f t="shared" si="10"/>
        <v>0</v>
      </c>
      <c r="X29" s="54">
        <v>0</v>
      </c>
      <c r="Y29" s="53">
        <f t="shared" si="11"/>
        <v>0</v>
      </c>
      <c r="Z29" s="54">
        <v>0</v>
      </c>
      <c r="AA29" s="53">
        <f t="shared" si="12"/>
        <v>0</v>
      </c>
      <c r="AB29" s="54">
        <v>0</v>
      </c>
      <c r="AC29" s="53">
        <f t="shared" si="13"/>
        <v>0</v>
      </c>
      <c r="AD29" s="54">
        <v>0</v>
      </c>
      <c r="AE29" s="55">
        <f t="shared" si="14"/>
        <v>0</v>
      </c>
      <c r="AF29" s="52"/>
      <c r="AG29" s="53">
        <f t="shared" si="15"/>
        <v>0</v>
      </c>
      <c r="AH29" s="54">
        <v>0</v>
      </c>
      <c r="AI29" s="53">
        <f t="shared" si="16"/>
        <v>0</v>
      </c>
      <c r="AJ29" s="54">
        <v>0</v>
      </c>
      <c r="AK29" s="53">
        <f t="shared" si="17"/>
        <v>0</v>
      </c>
      <c r="AL29" s="54">
        <v>0</v>
      </c>
      <c r="AM29" s="53">
        <f t="shared" si="18"/>
        <v>0</v>
      </c>
      <c r="AN29" s="54">
        <v>0</v>
      </c>
      <c r="AO29" s="55">
        <f t="shared" si="19"/>
        <v>0</v>
      </c>
      <c r="AP29" s="52"/>
      <c r="AQ29" s="53">
        <f t="shared" si="20"/>
        <v>0</v>
      </c>
      <c r="AR29" s="54">
        <v>0</v>
      </c>
      <c r="AS29" s="53">
        <f t="shared" si="21"/>
        <v>0</v>
      </c>
      <c r="AT29" s="54">
        <v>0</v>
      </c>
      <c r="AU29" s="53">
        <f t="shared" si="22"/>
        <v>0</v>
      </c>
      <c r="AV29" s="54">
        <v>0</v>
      </c>
      <c r="AW29" s="53">
        <f t="shared" si="23"/>
        <v>0</v>
      </c>
      <c r="AX29" s="54">
        <v>0</v>
      </c>
      <c r="AY29" s="55">
        <f t="shared" si="24"/>
        <v>0</v>
      </c>
    </row>
    <row r="30" spans="1:51" x14ac:dyDescent="0.25">
      <c r="A30" s="29" t="s">
        <v>80</v>
      </c>
      <c r="B30" s="52"/>
      <c r="C30" s="53">
        <f t="shared" si="0"/>
        <v>0</v>
      </c>
      <c r="D30" s="54">
        <v>0</v>
      </c>
      <c r="E30" s="53">
        <f t="shared" si="1"/>
        <v>0</v>
      </c>
      <c r="F30" s="54"/>
      <c r="G30" s="53">
        <f t="shared" si="2"/>
        <v>0</v>
      </c>
      <c r="H30" s="54">
        <v>0</v>
      </c>
      <c r="I30" s="53">
        <f t="shared" si="3"/>
        <v>0</v>
      </c>
      <c r="J30" s="54">
        <v>0</v>
      </c>
      <c r="K30" s="55">
        <f t="shared" si="4"/>
        <v>0</v>
      </c>
      <c r="L30" s="52"/>
      <c r="M30" s="53">
        <f t="shared" si="5"/>
        <v>0</v>
      </c>
      <c r="N30" s="54">
        <v>0</v>
      </c>
      <c r="O30" s="53">
        <f t="shared" si="6"/>
        <v>0</v>
      </c>
      <c r="P30" s="54"/>
      <c r="Q30" s="53">
        <f t="shared" si="7"/>
        <v>0</v>
      </c>
      <c r="R30" s="54">
        <v>0</v>
      </c>
      <c r="S30" s="53">
        <f t="shared" si="8"/>
        <v>0</v>
      </c>
      <c r="T30" s="54">
        <v>0</v>
      </c>
      <c r="U30" s="55">
        <f t="shared" si="9"/>
        <v>0</v>
      </c>
      <c r="V30" s="52"/>
      <c r="W30" s="53">
        <f t="shared" si="10"/>
        <v>0</v>
      </c>
      <c r="X30" s="54">
        <v>0</v>
      </c>
      <c r="Y30" s="53">
        <f t="shared" si="11"/>
        <v>0</v>
      </c>
      <c r="Z30" s="54">
        <v>0</v>
      </c>
      <c r="AA30" s="53">
        <f t="shared" si="12"/>
        <v>0</v>
      </c>
      <c r="AB30" s="54">
        <v>0</v>
      </c>
      <c r="AC30" s="53">
        <f t="shared" si="13"/>
        <v>0</v>
      </c>
      <c r="AD30" s="54">
        <v>0</v>
      </c>
      <c r="AE30" s="55">
        <f t="shared" si="14"/>
        <v>0</v>
      </c>
      <c r="AF30" s="52"/>
      <c r="AG30" s="53">
        <f t="shared" si="15"/>
        <v>0</v>
      </c>
      <c r="AH30" s="54">
        <v>0</v>
      </c>
      <c r="AI30" s="53">
        <f t="shared" si="16"/>
        <v>0</v>
      </c>
      <c r="AJ30" s="54">
        <v>0</v>
      </c>
      <c r="AK30" s="53">
        <f t="shared" si="17"/>
        <v>0</v>
      </c>
      <c r="AL30" s="54">
        <v>0</v>
      </c>
      <c r="AM30" s="53">
        <f t="shared" si="18"/>
        <v>0</v>
      </c>
      <c r="AN30" s="54">
        <v>0</v>
      </c>
      <c r="AO30" s="55">
        <f t="shared" si="19"/>
        <v>0</v>
      </c>
      <c r="AP30" s="52"/>
      <c r="AQ30" s="53">
        <f t="shared" si="20"/>
        <v>0</v>
      </c>
      <c r="AR30" s="54">
        <v>0</v>
      </c>
      <c r="AS30" s="53">
        <f t="shared" si="21"/>
        <v>0</v>
      </c>
      <c r="AT30" s="54">
        <v>0</v>
      </c>
      <c r="AU30" s="53">
        <f t="shared" si="22"/>
        <v>0</v>
      </c>
      <c r="AV30" s="54">
        <v>0</v>
      </c>
      <c r="AW30" s="53">
        <f t="shared" si="23"/>
        <v>0</v>
      </c>
      <c r="AX30" s="54">
        <v>0</v>
      </c>
      <c r="AY30" s="55">
        <f t="shared" si="24"/>
        <v>0</v>
      </c>
    </row>
    <row r="31" spans="1:51" x14ac:dyDescent="0.25">
      <c r="A31" s="29" t="s">
        <v>81</v>
      </c>
      <c r="B31" s="52"/>
      <c r="C31" s="53">
        <f t="shared" si="0"/>
        <v>0</v>
      </c>
      <c r="D31" s="54">
        <v>0</v>
      </c>
      <c r="E31" s="53">
        <f t="shared" si="1"/>
        <v>0</v>
      </c>
      <c r="F31" s="54"/>
      <c r="G31" s="53">
        <f t="shared" si="2"/>
        <v>0</v>
      </c>
      <c r="H31" s="54">
        <v>0</v>
      </c>
      <c r="I31" s="53">
        <f t="shared" si="3"/>
        <v>0</v>
      </c>
      <c r="J31" s="54">
        <v>0</v>
      </c>
      <c r="K31" s="55">
        <f t="shared" si="4"/>
        <v>0</v>
      </c>
      <c r="L31" s="52"/>
      <c r="M31" s="53">
        <f t="shared" si="5"/>
        <v>0</v>
      </c>
      <c r="N31" s="54">
        <v>0</v>
      </c>
      <c r="O31" s="53">
        <f t="shared" si="6"/>
        <v>0</v>
      </c>
      <c r="P31" s="54"/>
      <c r="Q31" s="53">
        <f t="shared" si="7"/>
        <v>0</v>
      </c>
      <c r="R31" s="54">
        <v>0</v>
      </c>
      <c r="S31" s="53">
        <f t="shared" si="8"/>
        <v>0</v>
      </c>
      <c r="T31" s="54">
        <v>1.8749999999999933E-2</v>
      </c>
      <c r="U31" s="55">
        <f t="shared" si="9"/>
        <v>2.1624219125420396E-3</v>
      </c>
      <c r="V31" s="52"/>
      <c r="W31" s="53">
        <f t="shared" si="10"/>
        <v>0</v>
      </c>
      <c r="X31" s="54">
        <v>0</v>
      </c>
      <c r="Y31" s="53">
        <f t="shared" si="11"/>
        <v>0</v>
      </c>
      <c r="Z31" s="54">
        <v>0</v>
      </c>
      <c r="AA31" s="53">
        <f t="shared" si="12"/>
        <v>0</v>
      </c>
      <c r="AB31" s="54">
        <v>0</v>
      </c>
      <c r="AC31" s="53">
        <f t="shared" si="13"/>
        <v>0</v>
      </c>
      <c r="AD31" s="54">
        <v>0</v>
      </c>
      <c r="AE31" s="55">
        <f t="shared" si="14"/>
        <v>0</v>
      </c>
      <c r="AF31" s="52"/>
      <c r="AG31" s="53">
        <f t="shared" si="15"/>
        <v>0</v>
      </c>
      <c r="AH31" s="54">
        <v>0</v>
      </c>
      <c r="AI31" s="53">
        <f t="shared" si="16"/>
        <v>0</v>
      </c>
      <c r="AJ31" s="54">
        <v>0</v>
      </c>
      <c r="AK31" s="53">
        <f t="shared" si="17"/>
        <v>0</v>
      </c>
      <c r="AL31" s="54">
        <v>0</v>
      </c>
      <c r="AM31" s="53">
        <f t="shared" si="18"/>
        <v>0</v>
      </c>
      <c r="AN31" s="54">
        <v>0</v>
      </c>
      <c r="AO31" s="55">
        <f t="shared" si="19"/>
        <v>0</v>
      </c>
      <c r="AP31" s="52"/>
      <c r="AQ31" s="53">
        <f t="shared" si="20"/>
        <v>0</v>
      </c>
      <c r="AR31" s="54">
        <v>0</v>
      </c>
      <c r="AS31" s="53">
        <f t="shared" si="21"/>
        <v>0</v>
      </c>
      <c r="AT31" s="54">
        <v>0</v>
      </c>
      <c r="AU31" s="53">
        <f t="shared" si="22"/>
        <v>0</v>
      </c>
      <c r="AV31" s="54">
        <v>0</v>
      </c>
      <c r="AW31" s="53">
        <f t="shared" si="23"/>
        <v>0</v>
      </c>
      <c r="AX31" s="54">
        <v>0</v>
      </c>
      <c r="AY31" s="55">
        <f t="shared" si="24"/>
        <v>0</v>
      </c>
    </row>
    <row r="32" spans="1:51" x14ac:dyDescent="0.25">
      <c r="A32" s="29" t="s">
        <v>82</v>
      </c>
      <c r="B32" s="52"/>
      <c r="C32" s="53">
        <f t="shared" si="0"/>
        <v>0</v>
      </c>
      <c r="D32" s="54">
        <v>0.64027777777777817</v>
      </c>
      <c r="E32" s="53">
        <f t="shared" si="1"/>
        <v>0.37817883511074668</v>
      </c>
      <c r="F32" s="54"/>
      <c r="G32" s="53">
        <f t="shared" si="2"/>
        <v>0</v>
      </c>
      <c r="H32" s="54">
        <v>1.4923611111111112</v>
      </c>
      <c r="I32" s="53">
        <f t="shared" si="3"/>
        <v>0.39752127266000747</v>
      </c>
      <c r="J32" s="54">
        <v>2.7763888888888886</v>
      </c>
      <c r="K32" s="55">
        <f t="shared" si="4"/>
        <v>0.45144534778681117</v>
      </c>
      <c r="L32" s="52"/>
      <c r="M32" s="53">
        <f t="shared" si="5"/>
        <v>0</v>
      </c>
      <c r="N32" s="54">
        <v>1.3368055555555554</v>
      </c>
      <c r="O32" s="53">
        <f t="shared" si="6"/>
        <v>0.80476588628762546</v>
      </c>
      <c r="P32" s="54"/>
      <c r="Q32" s="53">
        <f t="shared" si="7"/>
        <v>0</v>
      </c>
      <c r="R32" s="54">
        <v>3.9708333333333328</v>
      </c>
      <c r="S32" s="53">
        <f t="shared" si="8"/>
        <v>0.85063969056828315</v>
      </c>
      <c r="T32" s="54">
        <v>6.0784722222222216</v>
      </c>
      <c r="U32" s="55">
        <f t="shared" si="9"/>
        <v>0.70102514816594586</v>
      </c>
      <c r="V32" s="52"/>
      <c r="W32" s="53">
        <f t="shared" si="10"/>
        <v>0</v>
      </c>
      <c r="X32" s="54">
        <v>1.5708333333333335</v>
      </c>
      <c r="Y32" s="53">
        <f t="shared" si="11"/>
        <v>0.94250000000000034</v>
      </c>
      <c r="Z32" s="54">
        <v>3.5354166666666664</v>
      </c>
      <c r="AA32" s="53">
        <f t="shared" si="12"/>
        <v>0.91203869580795427</v>
      </c>
      <c r="AB32" s="54">
        <v>3.5354166666666664</v>
      </c>
      <c r="AC32" s="53">
        <f t="shared" si="13"/>
        <v>0.95498030388294886</v>
      </c>
      <c r="AD32" s="54">
        <v>6.7798611111111109</v>
      </c>
      <c r="AE32" s="55">
        <f t="shared" si="14"/>
        <v>0.95239488830358021</v>
      </c>
      <c r="AF32" s="52"/>
      <c r="AG32" s="53">
        <f t="shared" si="15"/>
        <v>0</v>
      </c>
      <c r="AH32" s="54">
        <v>0.57777777777777795</v>
      </c>
      <c r="AI32" s="53">
        <f t="shared" si="16"/>
        <v>0.30543318649045537</v>
      </c>
      <c r="AJ32" s="54">
        <v>1.4104166666666671</v>
      </c>
      <c r="AK32" s="53">
        <f t="shared" si="17"/>
        <v>0.35260416666666683</v>
      </c>
      <c r="AL32" s="54">
        <v>1.380555555555556</v>
      </c>
      <c r="AM32" s="53">
        <f t="shared" si="18"/>
        <v>0.36211293260473598</v>
      </c>
      <c r="AN32" s="54">
        <v>1.380555555555556</v>
      </c>
      <c r="AO32" s="55">
        <f t="shared" si="19"/>
        <v>0.36211293260473598</v>
      </c>
      <c r="AP32" s="52"/>
      <c r="AQ32" s="53">
        <f t="shared" si="20"/>
        <v>0</v>
      </c>
      <c r="AR32" s="54">
        <v>1.9145833333333335</v>
      </c>
      <c r="AS32" s="53">
        <f t="shared" si="21"/>
        <v>0.99315561959654175</v>
      </c>
      <c r="AT32" s="54">
        <v>3.0708333333333329</v>
      </c>
      <c r="AU32" s="53">
        <f t="shared" si="22"/>
        <v>0.98244834481226384</v>
      </c>
      <c r="AV32" s="54">
        <v>3.0812499999999998</v>
      </c>
      <c r="AW32" s="53">
        <f t="shared" si="23"/>
        <v>0.99239543726235735</v>
      </c>
      <c r="AX32" s="54">
        <v>3.0812499999999998</v>
      </c>
      <c r="AY32" s="55">
        <f t="shared" si="24"/>
        <v>0.99239543726235735</v>
      </c>
    </row>
    <row r="33" spans="1:51" x14ac:dyDescent="0.25">
      <c r="A33" s="29" t="s">
        <v>83</v>
      </c>
      <c r="B33" s="52"/>
      <c r="C33" s="53">
        <f t="shared" si="0"/>
        <v>0</v>
      </c>
      <c r="D33" s="54">
        <v>0</v>
      </c>
      <c r="E33" s="53">
        <f t="shared" si="1"/>
        <v>0</v>
      </c>
      <c r="F33" s="54"/>
      <c r="G33" s="53">
        <f t="shared" si="2"/>
        <v>0</v>
      </c>
      <c r="H33" s="54">
        <v>0</v>
      </c>
      <c r="I33" s="53">
        <f t="shared" si="3"/>
        <v>0</v>
      </c>
      <c r="J33" s="54">
        <v>0</v>
      </c>
      <c r="K33" s="55">
        <f t="shared" si="4"/>
        <v>0</v>
      </c>
      <c r="L33" s="52"/>
      <c r="M33" s="53">
        <f t="shared" si="5"/>
        <v>0</v>
      </c>
      <c r="N33" s="54">
        <v>0</v>
      </c>
      <c r="O33" s="53">
        <f t="shared" si="6"/>
        <v>0</v>
      </c>
      <c r="P33" s="54"/>
      <c r="Q33" s="53">
        <f t="shared" si="7"/>
        <v>0</v>
      </c>
      <c r="R33" s="54">
        <v>0</v>
      </c>
      <c r="S33" s="53">
        <f t="shared" si="8"/>
        <v>0</v>
      </c>
      <c r="T33" s="54">
        <v>0</v>
      </c>
      <c r="U33" s="55">
        <f t="shared" si="9"/>
        <v>0</v>
      </c>
      <c r="V33" s="52"/>
      <c r="W33" s="53">
        <f t="shared" si="10"/>
        <v>0</v>
      </c>
      <c r="X33" s="54">
        <v>0</v>
      </c>
      <c r="Y33" s="53">
        <f t="shared" si="11"/>
        <v>0</v>
      </c>
      <c r="Z33" s="54">
        <v>0</v>
      </c>
      <c r="AA33" s="53">
        <f t="shared" si="12"/>
        <v>0</v>
      </c>
      <c r="AB33" s="54">
        <v>0</v>
      </c>
      <c r="AC33" s="53">
        <f t="shared" si="13"/>
        <v>0</v>
      </c>
      <c r="AD33" s="54">
        <v>0</v>
      </c>
      <c r="AE33" s="55">
        <f t="shared" si="14"/>
        <v>0</v>
      </c>
      <c r="AF33" s="52"/>
      <c r="AG33" s="53">
        <f t="shared" si="15"/>
        <v>0</v>
      </c>
      <c r="AH33" s="54">
        <v>0</v>
      </c>
      <c r="AI33" s="53">
        <f t="shared" si="16"/>
        <v>0</v>
      </c>
      <c r="AJ33" s="54">
        <v>0</v>
      </c>
      <c r="AK33" s="53">
        <f t="shared" si="17"/>
        <v>0</v>
      </c>
      <c r="AL33" s="54">
        <v>0</v>
      </c>
      <c r="AM33" s="53">
        <f t="shared" si="18"/>
        <v>0</v>
      </c>
      <c r="AN33" s="54">
        <v>0</v>
      </c>
      <c r="AO33" s="55">
        <f t="shared" si="19"/>
        <v>0</v>
      </c>
      <c r="AP33" s="52"/>
      <c r="AQ33" s="53">
        <f t="shared" si="20"/>
        <v>0</v>
      </c>
      <c r="AR33" s="54">
        <v>0</v>
      </c>
      <c r="AS33" s="53">
        <f t="shared" si="21"/>
        <v>0</v>
      </c>
      <c r="AT33" s="54">
        <v>0</v>
      </c>
      <c r="AU33" s="53">
        <f t="shared" si="22"/>
        <v>0</v>
      </c>
      <c r="AV33" s="54">
        <v>0</v>
      </c>
      <c r="AW33" s="53">
        <f t="shared" si="23"/>
        <v>0</v>
      </c>
      <c r="AX33" s="54">
        <v>0</v>
      </c>
      <c r="AY33" s="55">
        <f t="shared" si="24"/>
        <v>0</v>
      </c>
    </row>
    <row r="34" spans="1:51" x14ac:dyDescent="0.25">
      <c r="A34" s="29" t="s">
        <v>84</v>
      </c>
      <c r="B34" s="52"/>
      <c r="C34" s="53">
        <f t="shared" si="0"/>
        <v>0</v>
      </c>
      <c r="D34" s="54">
        <v>0</v>
      </c>
      <c r="E34" s="53">
        <f t="shared" si="1"/>
        <v>0</v>
      </c>
      <c r="F34" s="54"/>
      <c r="G34" s="53">
        <f t="shared" si="2"/>
        <v>0</v>
      </c>
      <c r="H34" s="54">
        <v>1.3194444444444509E-2</v>
      </c>
      <c r="I34" s="53">
        <f t="shared" si="3"/>
        <v>3.5146133925268394E-3</v>
      </c>
      <c r="J34" s="54">
        <v>1.3194444444444509E-2</v>
      </c>
      <c r="K34" s="55">
        <f t="shared" si="4"/>
        <v>2.1454381210478878E-3</v>
      </c>
      <c r="L34" s="52"/>
      <c r="M34" s="53">
        <f t="shared" si="5"/>
        <v>0</v>
      </c>
      <c r="N34" s="54">
        <v>0</v>
      </c>
      <c r="O34" s="53">
        <f t="shared" si="6"/>
        <v>0</v>
      </c>
      <c r="P34" s="54"/>
      <c r="Q34" s="53">
        <f t="shared" si="7"/>
        <v>0</v>
      </c>
      <c r="R34" s="54">
        <v>0</v>
      </c>
      <c r="S34" s="53">
        <f t="shared" si="8"/>
        <v>0</v>
      </c>
      <c r="T34" s="54">
        <v>0</v>
      </c>
      <c r="U34" s="55">
        <f t="shared" si="9"/>
        <v>0</v>
      </c>
      <c r="V34" s="52"/>
      <c r="W34" s="53">
        <f t="shared" si="10"/>
        <v>0</v>
      </c>
      <c r="X34" s="54">
        <v>0</v>
      </c>
      <c r="Y34" s="53">
        <f t="shared" si="11"/>
        <v>0</v>
      </c>
      <c r="Z34" s="54">
        <v>0</v>
      </c>
      <c r="AA34" s="53">
        <f t="shared" si="12"/>
        <v>0</v>
      </c>
      <c r="AB34" s="54">
        <v>0</v>
      </c>
      <c r="AC34" s="53">
        <f t="shared" si="13"/>
        <v>0</v>
      </c>
      <c r="AD34" s="54">
        <v>0</v>
      </c>
      <c r="AE34" s="55">
        <f t="shared" si="14"/>
        <v>0</v>
      </c>
      <c r="AF34" s="52"/>
      <c r="AG34" s="53">
        <f t="shared" si="15"/>
        <v>0</v>
      </c>
      <c r="AH34" s="54">
        <v>0</v>
      </c>
      <c r="AI34" s="53">
        <f t="shared" si="16"/>
        <v>0</v>
      </c>
      <c r="AJ34" s="54">
        <v>0</v>
      </c>
      <c r="AK34" s="53">
        <f t="shared" si="17"/>
        <v>0</v>
      </c>
      <c r="AL34" s="54">
        <v>0</v>
      </c>
      <c r="AM34" s="53">
        <f t="shared" si="18"/>
        <v>0</v>
      </c>
      <c r="AN34" s="54">
        <v>0</v>
      </c>
      <c r="AO34" s="55">
        <f t="shared" si="19"/>
        <v>0</v>
      </c>
      <c r="AP34" s="52"/>
      <c r="AQ34" s="53">
        <f t="shared" si="20"/>
        <v>0</v>
      </c>
      <c r="AR34" s="54">
        <v>0</v>
      </c>
      <c r="AS34" s="53">
        <f t="shared" si="21"/>
        <v>0</v>
      </c>
      <c r="AT34" s="54">
        <v>0</v>
      </c>
      <c r="AU34" s="53">
        <f t="shared" si="22"/>
        <v>0</v>
      </c>
      <c r="AV34" s="54">
        <v>0</v>
      </c>
      <c r="AW34" s="53">
        <f t="shared" si="23"/>
        <v>0</v>
      </c>
      <c r="AX34" s="54">
        <v>0</v>
      </c>
      <c r="AY34" s="55">
        <f t="shared" si="24"/>
        <v>0</v>
      </c>
    </row>
    <row r="35" spans="1:51" ht="15.75" thickBot="1" x14ac:dyDescent="0.3">
      <c r="A35" s="30" t="s">
        <v>85</v>
      </c>
      <c r="B35" s="52"/>
      <c r="C35" s="53">
        <f t="shared" si="0"/>
        <v>0</v>
      </c>
      <c r="D35" s="54">
        <v>0</v>
      </c>
      <c r="E35" s="53">
        <f t="shared" si="1"/>
        <v>0</v>
      </c>
      <c r="F35" s="54"/>
      <c r="G35" s="53">
        <f t="shared" si="2"/>
        <v>0</v>
      </c>
      <c r="H35" s="54">
        <v>0</v>
      </c>
      <c r="I35" s="53">
        <f t="shared" si="3"/>
        <v>0</v>
      </c>
      <c r="J35" s="54">
        <v>0</v>
      </c>
      <c r="K35" s="55">
        <f t="shared" si="4"/>
        <v>0</v>
      </c>
      <c r="L35" s="52"/>
      <c r="M35" s="53">
        <f t="shared" si="5"/>
        <v>0</v>
      </c>
      <c r="N35" s="54">
        <v>0</v>
      </c>
      <c r="O35" s="53">
        <f t="shared" si="6"/>
        <v>0</v>
      </c>
      <c r="P35" s="54"/>
      <c r="Q35" s="53">
        <f t="shared" si="7"/>
        <v>0</v>
      </c>
      <c r="R35" s="54">
        <v>0</v>
      </c>
      <c r="S35" s="53">
        <f t="shared" si="8"/>
        <v>0</v>
      </c>
      <c r="T35" s="54">
        <v>0</v>
      </c>
      <c r="U35" s="55">
        <f t="shared" si="9"/>
        <v>0</v>
      </c>
      <c r="V35" s="52"/>
      <c r="W35" s="53">
        <f t="shared" si="10"/>
        <v>0</v>
      </c>
      <c r="X35" s="54">
        <v>0</v>
      </c>
      <c r="Y35" s="53">
        <f t="shared" si="11"/>
        <v>0</v>
      </c>
      <c r="Z35" s="54">
        <v>0</v>
      </c>
      <c r="AA35" s="53">
        <f t="shared" si="12"/>
        <v>0</v>
      </c>
      <c r="AB35" s="54">
        <v>0</v>
      </c>
      <c r="AC35" s="53">
        <f t="shared" si="13"/>
        <v>0</v>
      </c>
      <c r="AD35" s="54">
        <v>0</v>
      </c>
      <c r="AE35" s="55">
        <f t="shared" si="14"/>
        <v>0</v>
      </c>
      <c r="AF35" s="52"/>
      <c r="AG35" s="53">
        <f t="shared" si="15"/>
        <v>0</v>
      </c>
      <c r="AH35" s="54">
        <v>0</v>
      </c>
      <c r="AI35" s="53">
        <f t="shared" si="16"/>
        <v>0</v>
      </c>
      <c r="AJ35" s="54">
        <v>0</v>
      </c>
      <c r="AK35" s="53">
        <f t="shared" si="17"/>
        <v>0</v>
      </c>
      <c r="AL35" s="54">
        <v>0</v>
      </c>
      <c r="AM35" s="53">
        <f t="shared" si="18"/>
        <v>0</v>
      </c>
      <c r="AN35" s="54">
        <v>0</v>
      </c>
      <c r="AO35" s="55">
        <f t="shared" si="19"/>
        <v>0</v>
      </c>
      <c r="AP35" s="52"/>
      <c r="AQ35" s="53">
        <f t="shared" si="20"/>
        <v>0</v>
      </c>
      <c r="AR35" s="54">
        <v>0</v>
      </c>
      <c r="AS35" s="53">
        <f t="shared" si="21"/>
        <v>0</v>
      </c>
      <c r="AT35" s="54">
        <v>0</v>
      </c>
      <c r="AU35" s="53">
        <f t="shared" si="22"/>
        <v>0</v>
      </c>
      <c r="AV35" s="54">
        <v>0</v>
      </c>
      <c r="AW35" s="53">
        <f t="shared" si="23"/>
        <v>0</v>
      </c>
      <c r="AX35" s="54">
        <v>0</v>
      </c>
      <c r="AY35" s="55">
        <f t="shared" si="24"/>
        <v>0</v>
      </c>
    </row>
    <row r="36" spans="1:51" ht="15.75" thickBot="1" x14ac:dyDescent="0.3">
      <c r="A36" s="30" t="s">
        <v>86</v>
      </c>
      <c r="B36" s="56"/>
      <c r="C36" s="57">
        <f t="shared" si="0"/>
        <v>0</v>
      </c>
      <c r="D36" s="58">
        <v>0</v>
      </c>
      <c r="E36" s="57">
        <f t="shared" si="1"/>
        <v>0</v>
      </c>
      <c r="F36" s="58"/>
      <c r="G36" s="57">
        <f t="shared" si="2"/>
        <v>0</v>
      </c>
      <c r="H36" s="58">
        <v>4.9305555555555547E-2</v>
      </c>
      <c r="I36" s="57">
        <f t="shared" si="3"/>
        <v>1.3133555308916018E-2</v>
      </c>
      <c r="J36" s="58">
        <v>7.1527777777777773E-2</v>
      </c>
      <c r="K36" s="59">
        <f t="shared" si="4"/>
        <v>1.1630532971996387E-2</v>
      </c>
      <c r="L36" s="56"/>
      <c r="M36" s="57">
        <f t="shared" si="5"/>
        <v>0</v>
      </c>
      <c r="N36" s="58">
        <v>0</v>
      </c>
      <c r="O36" s="57">
        <f t="shared" si="6"/>
        <v>0</v>
      </c>
      <c r="P36" s="58"/>
      <c r="Q36" s="57">
        <f t="shared" si="7"/>
        <v>0</v>
      </c>
      <c r="R36" s="58">
        <v>0</v>
      </c>
      <c r="S36" s="57">
        <f t="shared" si="8"/>
        <v>0</v>
      </c>
      <c r="T36" s="58">
        <v>0</v>
      </c>
      <c r="U36" s="59">
        <f t="shared" si="9"/>
        <v>0</v>
      </c>
      <c r="V36" s="56"/>
      <c r="W36" s="57">
        <f t="shared" si="10"/>
        <v>0</v>
      </c>
      <c r="X36" s="58">
        <v>0</v>
      </c>
      <c r="Y36" s="57">
        <f t="shared" si="11"/>
        <v>0</v>
      </c>
      <c r="Z36" s="58">
        <v>0</v>
      </c>
      <c r="AA36" s="57">
        <f t="shared" si="12"/>
        <v>0</v>
      </c>
      <c r="AB36" s="58">
        <v>0</v>
      </c>
      <c r="AC36" s="57">
        <f t="shared" si="13"/>
        <v>0</v>
      </c>
      <c r="AD36" s="58">
        <v>0</v>
      </c>
      <c r="AE36" s="59">
        <f t="shared" si="14"/>
        <v>0</v>
      </c>
      <c r="AF36" s="56"/>
      <c r="AG36" s="57">
        <f t="shared" si="15"/>
        <v>0</v>
      </c>
      <c r="AH36" s="58">
        <v>9.8611111111111108E-2</v>
      </c>
      <c r="AI36" s="57">
        <f t="shared" si="16"/>
        <v>5.2129221732745964E-2</v>
      </c>
      <c r="AJ36" s="58">
        <v>0.14930555555555558</v>
      </c>
      <c r="AK36" s="57">
        <f t="shared" si="17"/>
        <v>3.7326388888888902E-2</v>
      </c>
      <c r="AL36" s="58">
        <v>0.14930555555555558</v>
      </c>
      <c r="AM36" s="57">
        <f t="shared" si="18"/>
        <v>3.9162112932604742E-2</v>
      </c>
      <c r="AN36" s="58">
        <v>0.14930555555555558</v>
      </c>
      <c r="AO36" s="59">
        <f t="shared" si="19"/>
        <v>3.9162112932604742E-2</v>
      </c>
      <c r="AP36" s="56"/>
      <c r="AQ36" s="57">
        <f t="shared" si="20"/>
        <v>0</v>
      </c>
      <c r="AR36" s="58">
        <v>0</v>
      </c>
      <c r="AS36" s="57">
        <f t="shared" si="21"/>
        <v>0</v>
      </c>
      <c r="AT36" s="58">
        <v>0</v>
      </c>
      <c r="AU36" s="57">
        <f t="shared" si="22"/>
        <v>0</v>
      </c>
      <c r="AV36" s="58">
        <v>0</v>
      </c>
      <c r="AW36" s="57">
        <f t="shared" si="23"/>
        <v>0</v>
      </c>
      <c r="AX36" s="58">
        <v>0</v>
      </c>
      <c r="AY36" s="59">
        <f t="shared" si="24"/>
        <v>0</v>
      </c>
    </row>
    <row r="37" spans="1:51" x14ac:dyDescent="0.25">
      <c r="B37" s="45">
        <f>SUM(B4:B36)</f>
        <v>0</v>
      </c>
      <c r="D37" s="45">
        <f>SUM(D4:D36)</f>
        <v>1.6930555555555558</v>
      </c>
      <c r="F37" s="45">
        <f>SUM(F4:F36)</f>
        <v>0</v>
      </c>
      <c r="H37" s="45">
        <f>SUM(H4:H36)</f>
        <v>3.7541666666666664</v>
      </c>
      <c r="J37" s="45">
        <f>SUM(J4:J36)</f>
        <v>6.1499999999999995</v>
      </c>
      <c r="L37" s="45">
        <f>SUM(L4:L36)</f>
        <v>0</v>
      </c>
      <c r="N37" s="45">
        <f>SUM(N4:N36)</f>
        <v>1.6611111111111108</v>
      </c>
      <c r="P37" s="45">
        <f>SUM(P4:P36)</f>
        <v>0</v>
      </c>
      <c r="R37" s="45">
        <f>SUM(R4:R36)</f>
        <v>4.6680555555555552</v>
      </c>
      <c r="T37" s="45">
        <f>SUM(T4:T36)</f>
        <v>8.6708333333333325</v>
      </c>
      <c r="V37" s="45">
        <f>SUM(V4:V36)</f>
        <v>0</v>
      </c>
      <c r="X37" s="45">
        <f>SUM(X4:X36)</f>
        <v>1.6666666666666663</v>
      </c>
      <c r="Z37" s="45">
        <f>SUM(Z4:Z36)</f>
        <v>3.8763888888888882</v>
      </c>
      <c r="AB37" s="45">
        <f>SUM(AB4:AB36)</f>
        <v>3.7020833333333329</v>
      </c>
      <c r="AD37" s="45">
        <f>SUM(AD4:AD36)</f>
        <v>7.1187499999999995</v>
      </c>
      <c r="AF37" s="45">
        <f>SUM(AF4:AF36)</f>
        <v>0</v>
      </c>
      <c r="AH37" s="45">
        <f>SUM(AH4:AH36)</f>
        <v>1.8916666666666664</v>
      </c>
      <c r="AJ37" s="45">
        <f>SUM(AJ4:AJ36)</f>
        <v>3.9999999999999991</v>
      </c>
      <c r="AL37" s="45">
        <f>SUM(AL4:AL36)</f>
        <v>3.8125</v>
      </c>
      <c r="AN37" s="45">
        <f>SUM(AN4:AN36)</f>
        <v>3.8125</v>
      </c>
      <c r="AP37" s="45">
        <f>SUM(AP4:AP36)</f>
        <v>0</v>
      </c>
      <c r="AR37" s="45">
        <f>SUM(AR4:AR36)</f>
        <v>1.927777777777778</v>
      </c>
      <c r="AT37" s="45">
        <f>SUM(AT4:AT36)</f>
        <v>3.1256944444444441</v>
      </c>
      <c r="AV37" s="45">
        <f>SUM(AV4:AV36)</f>
        <v>3.1048611111111111</v>
      </c>
      <c r="AX37" s="45">
        <f>SUM(AX4:AX36)</f>
        <v>3.1048611111111111</v>
      </c>
    </row>
    <row r="38" spans="1:51" x14ac:dyDescent="0.25">
      <c r="D38" s="39">
        <v>40.633333333333297</v>
      </c>
      <c r="H38" s="39">
        <v>90.1</v>
      </c>
      <c r="J38" s="39">
        <v>147.6</v>
      </c>
      <c r="N38" s="39">
        <v>40.233333333333299</v>
      </c>
      <c r="R38" s="39">
        <v>112.4</v>
      </c>
      <c r="T38" s="39">
        <v>208.46666666666701</v>
      </c>
      <c r="X38" s="39">
        <v>40</v>
      </c>
      <c r="Z38" s="39">
        <v>93.033333333333303</v>
      </c>
      <c r="AB38" s="39">
        <v>88.85</v>
      </c>
      <c r="AD38" s="39">
        <v>170.85</v>
      </c>
      <c r="AH38" s="39">
        <v>45.4</v>
      </c>
      <c r="AJ38" s="39">
        <v>96</v>
      </c>
      <c r="AL38" s="39">
        <v>91.5</v>
      </c>
      <c r="AN38" s="39">
        <v>91.5</v>
      </c>
      <c r="AR38" s="39">
        <v>46.266666666666701</v>
      </c>
      <c r="AT38" s="39">
        <v>75.016666666666694</v>
      </c>
      <c r="AV38" s="39">
        <v>74.516666666666694</v>
      </c>
      <c r="AX38" s="39">
        <v>74.516666666666694</v>
      </c>
    </row>
    <row r="39" spans="1:51" x14ac:dyDescent="0.25">
      <c r="D39" s="39">
        <v>40.633333333333297</v>
      </c>
      <c r="H39" s="39">
        <v>90.1</v>
      </c>
      <c r="J39" s="39">
        <v>147.6</v>
      </c>
      <c r="N39" s="39">
        <v>39.866666666666703</v>
      </c>
      <c r="R39" s="39">
        <v>112.033333333333</v>
      </c>
      <c r="T39" s="39">
        <v>208.1</v>
      </c>
      <c r="X39" s="39">
        <v>40</v>
      </c>
      <c r="Z39" s="39">
        <v>93.033333333333303</v>
      </c>
      <c r="AB39" s="39">
        <v>88.85</v>
      </c>
      <c r="AD39" s="39">
        <v>170.85</v>
      </c>
      <c r="AH39" s="39">
        <v>45.4</v>
      </c>
      <c r="AJ39" s="39">
        <v>96</v>
      </c>
      <c r="AL39" s="39">
        <v>91.5</v>
      </c>
      <c r="AN39" s="39">
        <v>91.5</v>
      </c>
      <c r="AR39" s="39">
        <v>46.266666666666701</v>
      </c>
      <c r="AT39" s="39">
        <v>75.016666666666694</v>
      </c>
      <c r="AV39" s="39">
        <v>74.516666666666694</v>
      </c>
      <c r="AX39" s="39">
        <v>74.516666666666694</v>
      </c>
    </row>
  </sheetData>
  <mergeCells count="30">
    <mergeCell ref="H2:I2"/>
    <mergeCell ref="J2:K2"/>
    <mergeCell ref="L1:U1"/>
    <mergeCell ref="L2:M2"/>
    <mergeCell ref="N2:O2"/>
    <mergeCell ref="P2:Q2"/>
    <mergeCell ref="R2:S2"/>
    <mergeCell ref="T2:U2"/>
    <mergeCell ref="B1:K1"/>
    <mergeCell ref="B2:C2"/>
    <mergeCell ref="D2:E2"/>
    <mergeCell ref="F2:G2"/>
    <mergeCell ref="V1:AE1"/>
    <mergeCell ref="V2:W2"/>
    <mergeCell ref="X2:Y2"/>
    <mergeCell ref="Z2:AA2"/>
    <mergeCell ref="AB2:AC2"/>
    <mergeCell ref="AD2:AE2"/>
    <mergeCell ref="AF1:AO1"/>
    <mergeCell ref="AF2:AG2"/>
    <mergeCell ref="AH2:AI2"/>
    <mergeCell ref="AJ2:AK2"/>
    <mergeCell ref="AL2:AM2"/>
    <mergeCell ref="AN2:AO2"/>
    <mergeCell ref="AP1:AY1"/>
    <mergeCell ref="AP2:AQ2"/>
    <mergeCell ref="AR2:AS2"/>
    <mergeCell ref="AT2:AU2"/>
    <mergeCell ref="AV2:AW2"/>
    <mergeCell ref="AX2:AY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O39"/>
  <sheetViews>
    <sheetView zoomScale="10" zoomScaleNormal="10" workbookViewId="0">
      <selection activeCell="B2" sqref="B2:DB2"/>
    </sheetView>
  </sheetViews>
  <sheetFormatPr defaultRowHeight="15" x14ac:dyDescent="0.25"/>
  <cols>
    <col min="1" max="1" width="34.28515625" style="39" bestFit="1" customWidth="1"/>
    <col min="2" max="16384" width="9.140625" style="39"/>
  </cols>
  <sheetData>
    <row r="1" spans="1:41" ht="15.75" customHeight="1" thickBot="1" x14ac:dyDescent="0.3">
      <c r="B1" s="72" t="s">
        <v>38</v>
      </c>
      <c r="C1" s="67"/>
      <c r="D1" s="67"/>
      <c r="E1" s="67"/>
      <c r="F1" s="67"/>
      <c r="G1" s="67"/>
      <c r="H1" s="67"/>
      <c r="I1" s="67"/>
      <c r="J1" s="67"/>
      <c r="K1" s="68"/>
      <c r="L1" s="72" t="s">
        <v>44</v>
      </c>
      <c r="M1" s="67"/>
      <c r="N1" s="67"/>
      <c r="O1" s="67"/>
      <c r="P1" s="67"/>
      <c r="Q1" s="67"/>
      <c r="R1" s="67"/>
      <c r="S1" s="67"/>
      <c r="T1" s="67"/>
      <c r="U1" s="68"/>
      <c r="V1" s="72" t="s">
        <v>46</v>
      </c>
      <c r="W1" s="67"/>
      <c r="X1" s="67"/>
      <c r="Y1" s="67"/>
      <c r="Z1" s="67"/>
      <c r="AA1" s="67"/>
      <c r="AB1" s="67"/>
      <c r="AC1" s="67"/>
      <c r="AD1" s="67"/>
      <c r="AE1" s="68"/>
      <c r="AF1" s="72" t="s">
        <v>66</v>
      </c>
      <c r="AG1" s="67"/>
      <c r="AH1" s="67"/>
      <c r="AI1" s="67"/>
      <c r="AJ1" s="67"/>
      <c r="AK1" s="67"/>
      <c r="AL1" s="67"/>
      <c r="AM1" s="67"/>
      <c r="AN1" s="67"/>
      <c r="AO1" s="68"/>
    </row>
    <row r="2" spans="1:41" x14ac:dyDescent="0.25">
      <c r="B2" s="64">
        <f ca="1">SunDates!$H1</f>
        <v>43435</v>
      </c>
      <c r="C2" s="65"/>
      <c r="D2" s="64">
        <f ca="1">SunDates!$H2</f>
        <v>43442</v>
      </c>
      <c r="E2" s="65"/>
      <c r="F2" s="64">
        <f ca="1">SunDates!$H3</f>
        <v>43449</v>
      </c>
      <c r="G2" s="65"/>
      <c r="H2" s="64">
        <f ca="1">SunDates!$H4</f>
        <v>43456</v>
      </c>
      <c r="I2" s="65"/>
      <c r="J2" s="64">
        <f ca="1">SunDates!$H5</f>
        <v>43463</v>
      </c>
      <c r="K2" s="65"/>
      <c r="L2" s="64">
        <f ca="1">SunDates!$H1</f>
        <v>43435</v>
      </c>
      <c r="M2" s="65"/>
      <c r="N2" s="64">
        <f ca="1">SunDates!$H2</f>
        <v>43442</v>
      </c>
      <c r="O2" s="65"/>
      <c r="P2" s="64">
        <f ca="1">SunDates!$H3</f>
        <v>43449</v>
      </c>
      <c r="Q2" s="65"/>
      <c r="R2" s="64">
        <f ca="1">SunDates!$H4</f>
        <v>43456</v>
      </c>
      <c r="S2" s="65"/>
      <c r="T2" s="64">
        <f ca="1">SunDates!$H5</f>
        <v>43463</v>
      </c>
      <c r="U2" s="65"/>
      <c r="V2" s="64">
        <f ca="1">SunDates!$H1</f>
        <v>43435</v>
      </c>
      <c r="W2" s="65"/>
      <c r="X2" s="64">
        <f ca="1">SunDates!$H2</f>
        <v>43442</v>
      </c>
      <c r="Y2" s="65"/>
      <c r="Z2" s="64">
        <f ca="1">SunDates!$H3</f>
        <v>43449</v>
      </c>
      <c r="AA2" s="65"/>
      <c r="AB2" s="64">
        <f ca="1">SunDates!$H4</f>
        <v>43456</v>
      </c>
      <c r="AC2" s="65"/>
      <c r="AD2" s="64">
        <f ca="1">SunDates!$H5</f>
        <v>43463</v>
      </c>
      <c r="AE2" s="65"/>
      <c r="AF2" s="64">
        <f ca="1">SunDates!$H1</f>
        <v>43435</v>
      </c>
      <c r="AG2" s="65"/>
      <c r="AH2" s="64">
        <f ca="1">SunDates!$H2</f>
        <v>43442</v>
      </c>
      <c r="AI2" s="65"/>
      <c r="AJ2" s="64">
        <f ca="1">SunDates!$H3</f>
        <v>43449</v>
      </c>
      <c r="AK2" s="65"/>
      <c r="AL2" s="64">
        <f ca="1">SunDates!$H4</f>
        <v>43456</v>
      </c>
      <c r="AM2" s="65"/>
      <c r="AN2" s="64">
        <f ca="1">SunDates!$H5</f>
        <v>43463</v>
      </c>
      <c r="AO2" s="65"/>
    </row>
    <row r="3" spans="1:41" ht="15.75" thickBot="1" x14ac:dyDescent="0.3">
      <c r="B3" s="42" t="s">
        <v>195</v>
      </c>
      <c r="C3" s="43" t="s">
        <v>196</v>
      </c>
      <c r="D3" s="43" t="s">
        <v>195</v>
      </c>
      <c r="E3" s="43" t="s">
        <v>196</v>
      </c>
      <c r="F3" s="43" t="s">
        <v>195</v>
      </c>
      <c r="G3" s="43" t="s">
        <v>196</v>
      </c>
      <c r="H3" s="43" t="s">
        <v>195</v>
      </c>
      <c r="I3" s="43" t="s">
        <v>196</v>
      </c>
      <c r="J3" s="43" t="s">
        <v>195</v>
      </c>
      <c r="K3" s="44" t="s">
        <v>196</v>
      </c>
      <c r="L3" s="42" t="s">
        <v>195</v>
      </c>
      <c r="M3" s="43" t="s">
        <v>196</v>
      </c>
      <c r="N3" s="43" t="s">
        <v>195</v>
      </c>
      <c r="O3" s="43" t="s">
        <v>196</v>
      </c>
      <c r="P3" s="43" t="s">
        <v>195</v>
      </c>
      <c r="Q3" s="43" t="s">
        <v>196</v>
      </c>
      <c r="R3" s="43" t="s">
        <v>195</v>
      </c>
      <c r="S3" s="43" t="s">
        <v>196</v>
      </c>
      <c r="T3" s="43" t="s">
        <v>195</v>
      </c>
      <c r="U3" s="44" t="s">
        <v>196</v>
      </c>
      <c r="V3" s="42" t="s">
        <v>195</v>
      </c>
      <c r="W3" s="43" t="s">
        <v>196</v>
      </c>
      <c r="X3" s="43" t="s">
        <v>195</v>
      </c>
      <c r="Y3" s="43" t="s">
        <v>196</v>
      </c>
      <c r="Z3" s="43" t="s">
        <v>195</v>
      </c>
      <c r="AA3" s="43" t="s">
        <v>196</v>
      </c>
      <c r="AB3" s="43" t="s">
        <v>195</v>
      </c>
      <c r="AC3" s="43" t="s">
        <v>196</v>
      </c>
      <c r="AD3" s="43" t="s">
        <v>195</v>
      </c>
      <c r="AE3" s="44" t="s">
        <v>196</v>
      </c>
      <c r="AF3" s="42" t="s">
        <v>195</v>
      </c>
      <c r="AG3" s="43" t="s">
        <v>196</v>
      </c>
      <c r="AH3" s="43" t="s">
        <v>195</v>
      </c>
      <c r="AI3" s="43" t="s">
        <v>196</v>
      </c>
      <c r="AJ3" s="43" t="s">
        <v>195</v>
      </c>
      <c r="AK3" s="43" t="s">
        <v>196</v>
      </c>
      <c r="AL3" s="43" t="s">
        <v>195</v>
      </c>
      <c r="AM3" s="43" t="s">
        <v>196</v>
      </c>
      <c r="AN3" s="43" t="s">
        <v>195</v>
      </c>
      <c r="AO3" s="44" t="s">
        <v>196</v>
      </c>
    </row>
    <row r="4" spans="1:41" x14ac:dyDescent="0.25">
      <c r="A4" s="27" t="s">
        <v>68</v>
      </c>
      <c r="B4" s="48"/>
      <c r="C4" s="49">
        <f t="shared" ref="C4:C36" si="0">IFERROR(B4/B$37,0%)</f>
        <v>0</v>
      </c>
      <c r="D4" s="50">
        <v>0</v>
      </c>
      <c r="E4" s="49">
        <f t="shared" ref="E4:E36" si="1">IFERROR(D4/D$37,0%)</f>
        <v>0</v>
      </c>
      <c r="F4" s="50"/>
      <c r="G4" s="49">
        <f t="shared" ref="G4:G36" si="2">IFERROR(F4/F$37,0%)</f>
        <v>0</v>
      </c>
      <c r="H4" s="50">
        <v>0</v>
      </c>
      <c r="I4" s="49">
        <f t="shared" ref="I4:I36" si="3">IFERROR(H4/H$37,0%)</f>
        <v>0</v>
      </c>
      <c r="J4" s="50">
        <v>0</v>
      </c>
      <c r="K4" s="51">
        <f t="shared" ref="K4:K36" si="4">IFERROR(J4/J$37,0%)</f>
        <v>0</v>
      </c>
      <c r="L4" s="48"/>
      <c r="M4" s="49">
        <f t="shared" ref="M4:M36" si="5">IFERROR(L4/L$37,0%)</f>
        <v>0</v>
      </c>
      <c r="N4" s="50">
        <v>0</v>
      </c>
      <c r="O4" s="49">
        <f t="shared" ref="O4:O36" si="6">IFERROR(N4/N$37,0%)</f>
        <v>0</v>
      </c>
      <c r="P4" s="50"/>
      <c r="Q4" s="49">
        <f t="shared" ref="Q4:Q36" si="7">IFERROR(P4/P$37,0%)</f>
        <v>0</v>
      </c>
      <c r="R4" s="50">
        <v>0</v>
      </c>
      <c r="S4" s="49">
        <f t="shared" ref="S4:S36" si="8">IFERROR(R4/R$37,0%)</f>
        <v>0</v>
      </c>
      <c r="T4" s="50">
        <v>0</v>
      </c>
      <c r="U4" s="51">
        <f t="shared" ref="U4:U36" si="9">IFERROR(T4/T$37,0%)</f>
        <v>0</v>
      </c>
      <c r="V4" s="48"/>
      <c r="W4" s="49">
        <f t="shared" ref="W4:W36" si="10">IFERROR(V4/V$37,0%)</f>
        <v>0</v>
      </c>
      <c r="X4" s="50">
        <v>0</v>
      </c>
      <c r="Y4" s="49">
        <f t="shared" ref="Y4:Y36" si="11">IFERROR(X4/X$37,0%)</f>
        <v>0</v>
      </c>
      <c r="Z4" s="50"/>
      <c r="AA4" s="49">
        <f t="shared" ref="AA4:AA36" si="12">IFERROR(Z4/Z$37,0%)</f>
        <v>0</v>
      </c>
      <c r="AB4" s="50">
        <v>0</v>
      </c>
      <c r="AC4" s="49">
        <f t="shared" ref="AC4:AC36" si="13">IFERROR(AB4/AB$37,0%)</f>
        <v>0</v>
      </c>
      <c r="AD4" s="50">
        <v>0</v>
      </c>
      <c r="AE4" s="51">
        <f t="shared" ref="AE4:AE36" si="14">IFERROR(AD4/AD$37,0%)</f>
        <v>0</v>
      </c>
      <c r="AF4" s="48"/>
      <c r="AG4" s="49">
        <f t="shared" ref="AG4:AG36" si="15">IFERROR(AF4/AF$37,0%)</f>
        <v>0</v>
      </c>
      <c r="AH4" s="50">
        <v>0</v>
      </c>
      <c r="AI4" s="49">
        <f t="shared" ref="AI4:AI36" si="16">IFERROR(AH4/AH$37,0%)</f>
        <v>0</v>
      </c>
      <c r="AJ4" s="50">
        <v>0</v>
      </c>
      <c r="AK4" s="49">
        <f t="shared" ref="AK4:AK36" si="17">IFERROR(AJ4/AJ$37,0%)</f>
        <v>0</v>
      </c>
      <c r="AL4" s="50">
        <v>0</v>
      </c>
      <c r="AM4" s="49">
        <f t="shared" ref="AM4:AM36" si="18">IFERROR(AL4/AL$37,0%)</f>
        <v>0</v>
      </c>
      <c r="AN4" s="50">
        <v>0</v>
      </c>
      <c r="AO4" s="51">
        <f t="shared" ref="AO4:AO36" si="19">IFERROR(AN4/AN$37,0%)</f>
        <v>0</v>
      </c>
    </row>
    <row r="5" spans="1:41" x14ac:dyDescent="0.25">
      <c r="A5" s="28" t="s">
        <v>69</v>
      </c>
      <c r="B5" s="52"/>
      <c r="C5" s="53">
        <f t="shared" si="0"/>
        <v>0</v>
      </c>
      <c r="D5" s="54">
        <v>1.736111111111116E-2</v>
      </c>
      <c r="E5" s="53">
        <f t="shared" si="1"/>
        <v>4.6554934823091386E-2</v>
      </c>
      <c r="F5" s="54"/>
      <c r="G5" s="53">
        <f t="shared" si="2"/>
        <v>0</v>
      </c>
      <c r="H5" s="54">
        <v>6.5277777777778101E-2</v>
      </c>
      <c r="I5" s="53">
        <f t="shared" si="3"/>
        <v>2.2354340071343747E-2</v>
      </c>
      <c r="J5" s="54">
        <v>6.5277777777778101E-2</v>
      </c>
      <c r="K5" s="55">
        <f t="shared" si="4"/>
        <v>2.2354340071343747E-2</v>
      </c>
      <c r="L5" s="52"/>
      <c r="M5" s="53">
        <f t="shared" si="5"/>
        <v>0</v>
      </c>
      <c r="N5" s="54">
        <v>1.3888888888888951E-2</v>
      </c>
      <c r="O5" s="53">
        <f t="shared" si="6"/>
        <v>7.8094494338149523E-3</v>
      </c>
      <c r="P5" s="54"/>
      <c r="Q5" s="53">
        <f t="shared" si="7"/>
        <v>0</v>
      </c>
      <c r="R5" s="54">
        <v>3.472222222222221E-2</v>
      </c>
      <c r="S5" s="53">
        <f t="shared" si="8"/>
        <v>6.1349693251533718E-3</v>
      </c>
      <c r="T5" s="54">
        <v>5.9027777777777457E-2</v>
      </c>
      <c r="U5" s="55">
        <f t="shared" si="9"/>
        <v>7.9365079365078927E-3</v>
      </c>
      <c r="V5" s="52"/>
      <c r="W5" s="53">
        <f t="shared" si="10"/>
        <v>0</v>
      </c>
      <c r="X5" s="54">
        <v>7.0138888888888751E-2</v>
      </c>
      <c r="Y5" s="53">
        <f t="shared" si="11"/>
        <v>2.7648508075554284E-2</v>
      </c>
      <c r="Z5" s="54"/>
      <c r="AA5" s="53">
        <f t="shared" si="12"/>
        <v>0</v>
      </c>
      <c r="AB5" s="54">
        <v>0.15972222222222254</v>
      </c>
      <c r="AC5" s="53">
        <f t="shared" si="13"/>
        <v>2.3672293124742737E-2</v>
      </c>
      <c r="AD5" s="54">
        <v>0.20277777777777817</v>
      </c>
      <c r="AE5" s="55">
        <f t="shared" si="14"/>
        <v>2.3356262997920374E-2</v>
      </c>
      <c r="AF5" s="52"/>
      <c r="AG5" s="53">
        <f t="shared" si="15"/>
        <v>0</v>
      </c>
      <c r="AH5" s="54">
        <v>0</v>
      </c>
      <c r="AI5" s="53">
        <f t="shared" si="16"/>
        <v>0</v>
      </c>
      <c r="AJ5" s="54">
        <v>0</v>
      </c>
      <c r="AK5" s="53">
        <f t="shared" si="17"/>
        <v>0</v>
      </c>
      <c r="AL5" s="54">
        <v>4.8611111111110938E-2</v>
      </c>
      <c r="AM5" s="53">
        <f t="shared" si="18"/>
        <v>8.6902545003103345E-3</v>
      </c>
      <c r="AN5" s="54">
        <v>4.8611111111110938E-2</v>
      </c>
      <c r="AO5" s="55">
        <f t="shared" si="19"/>
        <v>7.3645449763282212E-3</v>
      </c>
    </row>
    <row r="6" spans="1:41" x14ac:dyDescent="0.25">
      <c r="A6" s="28" t="s">
        <v>70</v>
      </c>
      <c r="B6" s="52"/>
      <c r="C6" s="53">
        <f t="shared" si="0"/>
        <v>0</v>
      </c>
      <c r="D6" s="54">
        <v>0.13472222222222219</v>
      </c>
      <c r="E6" s="53">
        <f t="shared" si="1"/>
        <v>0.36126629422718803</v>
      </c>
      <c r="F6" s="54"/>
      <c r="G6" s="53">
        <f t="shared" si="2"/>
        <v>0</v>
      </c>
      <c r="H6" s="54">
        <v>0.87430555555555545</v>
      </c>
      <c r="I6" s="53">
        <f t="shared" si="3"/>
        <v>0.29940546967895354</v>
      </c>
      <c r="J6" s="54">
        <v>0.87430555555555545</v>
      </c>
      <c r="K6" s="55">
        <f t="shared" si="4"/>
        <v>0.29940546967895354</v>
      </c>
      <c r="L6" s="52"/>
      <c r="M6" s="53">
        <f t="shared" si="5"/>
        <v>0</v>
      </c>
      <c r="N6" s="54">
        <v>0.59236111111111112</v>
      </c>
      <c r="O6" s="53">
        <f t="shared" si="6"/>
        <v>0.33307301835220626</v>
      </c>
      <c r="P6" s="54"/>
      <c r="Q6" s="53">
        <f t="shared" si="7"/>
        <v>0</v>
      </c>
      <c r="R6" s="54">
        <v>2.4069444444444441</v>
      </c>
      <c r="S6" s="53">
        <f t="shared" si="8"/>
        <v>0.42527607361963182</v>
      </c>
      <c r="T6" s="54">
        <v>3.3479166666666664</v>
      </c>
      <c r="U6" s="55">
        <f t="shared" si="9"/>
        <v>0.45014005602240892</v>
      </c>
      <c r="V6" s="52"/>
      <c r="W6" s="53">
        <f t="shared" si="10"/>
        <v>0</v>
      </c>
      <c r="X6" s="54">
        <v>0.60833333333333317</v>
      </c>
      <c r="Y6" s="53">
        <f t="shared" si="11"/>
        <v>0.23980290172460986</v>
      </c>
      <c r="Z6" s="54"/>
      <c r="AA6" s="53">
        <f t="shared" si="12"/>
        <v>0</v>
      </c>
      <c r="AB6" s="54">
        <v>2.0048611111111105</v>
      </c>
      <c r="AC6" s="53">
        <f t="shared" si="13"/>
        <v>0.29713874022231362</v>
      </c>
      <c r="AD6" s="54">
        <v>2.8673611111111112</v>
      </c>
      <c r="AE6" s="55">
        <f t="shared" si="14"/>
        <v>0.33026715725483918</v>
      </c>
      <c r="AF6" s="52"/>
      <c r="AG6" s="53">
        <f t="shared" si="15"/>
        <v>0</v>
      </c>
      <c r="AH6" s="54">
        <v>0</v>
      </c>
      <c r="AI6" s="53">
        <f t="shared" si="16"/>
        <v>0</v>
      </c>
      <c r="AJ6" s="54">
        <v>0</v>
      </c>
      <c r="AK6" s="53">
        <f t="shared" si="17"/>
        <v>0</v>
      </c>
      <c r="AL6" s="54">
        <v>0</v>
      </c>
      <c r="AM6" s="53">
        <f t="shared" si="18"/>
        <v>0</v>
      </c>
      <c r="AN6" s="54">
        <v>0</v>
      </c>
      <c r="AO6" s="55">
        <f t="shared" si="19"/>
        <v>0</v>
      </c>
    </row>
    <row r="7" spans="1:41" x14ac:dyDescent="0.25">
      <c r="A7" s="28" t="s">
        <v>71</v>
      </c>
      <c r="B7" s="52"/>
      <c r="C7" s="53">
        <f t="shared" si="0"/>
        <v>0</v>
      </c>
      <c r="D7" s="54">
        <v>0</v>
      </c>
      <c r="E7" s="53">
        <f t="shared" si="1"/>
        <v>0</v>
      </c>
      <c r="F7" s="54"/>
      <c r="G7" s="53">
        <f t="shared" si="2"/>
        <v>0</v>
      </c>
      <c r="H7" s="54">
        <v>0</v>
      </c>
      <c r="I7" s="53">
        <f t="shared" si="3"/>
        <v>0</v>
      </c>
      <c r="J7" s="54">
        <v>0</v>
      </c>
      <c r="K7" s="55">
        <f t="shared" si="4"/>
        <v>0</v>
      </c>
      <c r="L7" s="52"/>
      <c r="M7" s="53">
        <f t="shared" si="5"/>
        <v>0</v>
      </c>
      <c r="N7" s="54">
        <v>0</v>
      </c>
      <c r="O7" s="53">
        <f t="shared" si="6"/>
        <v>0</v>
      </c>
      <c r="P7" s="54"/>
      <c r="Q7" s="53">
        <f t="shared" si="7"/>
        <v>0</v>
      </c>
      <c r="R7" s="54">
        <v>0</v>
      </c>
      <c r="S7" s="53">
        <f t="shared" si="8"/>
        <v>0</v>
      </c>
      <c r="T7" s="54">
        <v>0</v>
      </c>
      <c r="U7" s="55">
        <f t="shared" si="9"/>
        <v>0</v>
      </c>
      <c r="V7" s="52"/>
      <c r="W7" s="53">
        <f t="shared" si="10"/>
        <v>0</v>
      </c>
      <c r="X7" s="54">
        <v>0</v>
      </c>
      <c r="Y7" s="53">
        <f t="shared" si="11"/>
        <v>0</v>
      </c>
      <c r="Z7" s="54"/>
      <c r="AA7" s="53">
        <f t="shared" si="12"/>
        <v>0</v>
      </c>
      <c r="AB7" s="54">
        <v>0</v>
      </c>
      <c r="AC7" s="53">
        <f t="shared" si="13"/>
        <v>0</v>
      </c>
      <c r="AD7" s="54">
        <v>0</v>
      </c>
      <c r="AE7" s="55">
        <f t="shared" si="14"/>
        <v>0</v>
      </c>
      <c r="AF7" s="52"/>
      <c r="AG7" s="53">
        <f t="shared" si="15"/>
        <v>0</v>
      </c>
      <c r="AH7" s="54">
        <v>0</v>
      </c>
      <c r="AI7" s="53">
        <f t="shared" si="16"/>
        <v>0</v>
      </c>
      <c r="AJ7" s="54">
        <v>0</v>
      </c>
      <c r="AK7" s="53">
        <f t="shared" si="17"/>
        <v>0</v>
      </c>
      <c r="AL7" s="54">
        <v>0</v>
      </c>
      <c r="AM7" s="53">
        <f t="shared" si="18"/>
        <v>0</v>
      </c>
      <c r="AN7" s="54">
        <v>0</v>
      </c>
      <c r="AO7" s="55">
        <f t="shared" si="19"/>
        <v>0</v>
      </c>
    </row>
    <row r="8" spans="1:41" x14ac:dyDescent="0.25">
      <c r="A8" s="28" t="s">
        <v>72</v>
      </c>
      <c r="B8" s="52"/>
      <c r="C8" s="53">
        <f t="shared" si="0"/>
        <v>0</v>
      </c>
      <c r="D8" s="54">
        <v>0</v>
      </c>
      <c r="E8" s="53">
        <f t="shared" si="1"/>
        <v>0</v>
      </c>
      <c r="F8" s="54"/>
      <c r="G8" s="53">
        <f t="shared" si="2"/>
        <v>0</v>
      </c>
      <c r="H8" s="54">
        <v>0</v>
      </c>
      <c r="I8" s="53">
        <f t="shared" si="3"/>
        <v>0</v>
      </c>
      <c r="J8" s="54">
        <v>0</v>
      </c>
      <c r="K8" s="55">
        <f t="shared" si="4"/>
        <v>0</v>
      </c>
      <c r="L8" s="52"/>
      <c r="M8" s="53">
        <f t="shared" si="5"/>
        <v>0</v>
      </c>
      <c r="N8" s="54">
        <v>0</v>
      </c>
      <c r="O8" s="53">
        <f t="shared" si="6"/>
        <v>0</v>
      </c>
      <c r="P8" s="54"/>
      <c r="Q8" s="53">
        <f t="shared" si="7"/>
        <v>0</v>
      </c>
      <c r="R8" s="54">
        <v>0</v>
      </c>
      <c r="S8" s="53">
        <f t="shared" si="8"/>
        <v>0</v>
      </c>
      <c r="T8" s="54">
        <v>0</v>
      </c>
      <c r="U8" s="55">
        <f t="shared" si="9"/>
        <v>0</v>
      </c>
      <c r="V8" s="52"/>
      <c r="W8" s="53">
        <f t="shared" si="10"/>
        <v>0</v>
      </c>
      <c r="X8" s="54">
        <v>0</v>
      </c>
      <c r="Y8" s="53">
        <f t="shared" si="11"/>
        <v>0</v>
      </c>
      <c r="Z8" s="54"/>
      <c r="AA8" s="53">
        <f t="shared" si="12"/>
        <v>0</v>
      </c>
      <c r="AB8" s="54">
        <v>0</v>
      </c>
      <c r="AC8" s="53">
        <f t="shared" si="13"/>
        <v>0</v>
      </c>
      <c r="AD8" s="54">
        <v>0</v>
      </c>
      <c r="AE8" s="55">
        <f t="shared" si="14"/>
        <v>0</v>
      </c>
      <c r="AF8" s="52"/>
      <c r="AG8" s="53">
        <f t="shared" si="15"/>
        <v>0</v>
      </c>
      <c r="AH8" s="54">
        <v>0</v>
      </c>
      <c r="AI8" s="53">
        <f t="shared" si="16"/>
        <v>0</v>
      </c>
      <c r="AJ8" s="54">
        <v>0</v>
      </c>
      <c r="AK8" s="53">
        <f t="shared" si="17"/>
        <v>0</v>
      </c>
      <c r="AL8" s="54">
        <v>0</v>
      </c>
      <c r="AM8" s="53">
        <f t="shared" si="18"/>
        <v>0</v>
      </c>
      <c r="AN8" s="54">
        <v>0</v>
      </c>
      <c r="AO8" s="55">
        <f t="shared" si="19"/>
        <v>0</v>
      </c>
    </row>
    <row r="9" spans="1:41" x14ac:dyDescent="0.25">
      <c r="A9" s="28" t="s">
        <v>73</v>
      </c>
      <c r="B9" s="52"/>
      <c r="C9" s="53">
        <f t="shared" si="0"/>
        <v>0</v>
      </c>
      <c r="D9" s="54">
        <v>0</v>
      </c>
      <c r="E9" s="53">
        <f t="shared" si="1"/>
        <v>0</v>
      </c>
      <c r="F9" s="54"/>
      <c r="G9" s="53">
        <f t="shared" si="2"/>
        <v>0</v>
      </c>
      <c r="H9" s="54">
        <v>0</v>
      </c>
      <c r="I9" s="53">
        <f t="shared" si="3"/>
        <v>0</v>
      </c>
      <c r="J9" s="54">
        <v>0</v>
      </c>
      <c r="K9" s="55">
        <f t="shared" si="4"/>
        <v>0</v>
      </c>
      <c r="L9" s="52"/>
      <c r="M9" s="53">
        <f t="shared" si="5"/>
        <v>0</v>
      </c>
      <c r="N9" s="54">
        <v>0</v>
      </c>
      <c r="O9" s="53">
        <f t="shared" si="6"/>
        <v>0</v>
      </c>
      <c r="P9" s="54"/>
      <c r="Q9" s="53">
        <f t="shared" si="7"/>
        <v>0</v>
      </c>
      <c r="R9" s="54">
        <v>0</v>
      </c>
      <c r="S9" s="53">
        <f t="shared" si="8"/>
        <v>0</v>
      </c>
      <c r="T9" s="54">
        <v>0</v>
      </c>
      <c r="U9" s="55">
        <f t="shared" si="9"/>
        <v>0</v>
      </c>
      <c r="V9" s="52"/>
      <c r="W9" s="53">
        <f t="shared" si="10"/>
        <v>0</v>
      </c>
      <c r="X9" s="54">
        <v>0</v>
      </c>
      <c r="Y9" s="53">
        <f t="shared" si="11"/>
        <v>0</v>
      </c>
      <c r="Z9" s="54"/>
      <c r="AA9" s="53">
        <f t="shared" si="12"/>
        <v>0</v>
      </c>
      <c r="AB9" s="54">
        <v>0</v>
      </c>
      <c r="AC9" s="53">
        <f t="shared" si="13"/>
        <v>0</v>
      </c>
      <c r="AD9" s="54">
        <v>0</v>
      </c>
      <c r="AE9" s="55">
        <f t="shared" si="14"/>
        <v>0</v>
      </c>
      <c r="AF9" s="52"/>
      <c r="AG9" s="53">
        <f t="shared" si="15"/>
        <v>0</v>
      </c>
      <c r="AH9" s="54">
        <v>0</v>
      </c>
      <c r="AI9" s="53">
        <f t="shared" si="16"/>
        <v>0</v>
      </c>
      <c r="AJ9" s="54">
        <v>0</v>
      </c>
      <c r="AK9" s="53">
        <f t="shared" si="17"/>
        <v>0</v>
      </c>
      <c r="AL9" s="54">
        <v>0</v>
      </c>
      <c r="AM9" s="53">
        <f t="shared" si="18"/>
        <v>0</v>
      </c>
      <c r="AN9" s="54">
        <v>0</v>
      </c>
      <c r="AO9" s="55">
        <f t="shared" si="19"/>
        <v>0</v>
      </c>
    </row>
    <row r="10" spans="1:41" x14ac:dyDescent="0.25">
      <c r="A10" s="28" t="s">
        <v>74</v>
      </c>
      <c r="B10" s="52"/>
      <c r="C10" s="53">
        <f t="shared" si="0"/>
        <v>0</v>
      </c>
      <c r="D10" s="54">
        <v>0</v>
      </c>
      <c r="E10" s="53">
        <f t="shared" si="1"/>
        <v>0</v>
      </c>
      <c r="F10" s="54"/>
      <c r="G10" s="53">
        <f t="shared" si="2"/>
        <v>0</v>
      </c>
      <c r="H10" s="54">
        <v>0</v>
      </c>
      <c r="I10" s="53">
        <f t="shared" si="3"/>
        <v>0</v>
      </c>
      <c r="J10" s="54">
        <v>0</v>
      </c>
      <c r="K10" s="55">
        <f t="shared" si="4"/>
        <v>0</v>
      </c>
      <c r="L10" s="52"/>
      <c r="M10" s="53">
        <f t="shared" si="5"/>
        <v>0</v>
      </c>
      <c r="N10" s="54">
        <v>1.0416666666666741E-2</v>
      </c>
      <c r="O10" s="53">
        <f t="shared" si="6"/>
        <v>5.8570870753612298E-3</v>
      </c>
      <c r="P10" s="54"/>
      <c r="Q10" s="53">
        <f t="shared" si="7"/>
        <v>0</v>
      </c>
      <c r="R10" s="54">
        <v>3.6111111111111149E-2</v>
      </c>
      <c r="S10" s="53">
        <f t="shared" si="8"/>
        <v>6.3803680981595161E-3</v>
      </c>
      <c r="T10" s="54">
        <v>4.8611111111111382E-2</v>
      </c>
      <c r="U10" s="55">
        <f t="shared" si="9"/>
        <v>6.5359477124183373E-3</v>
      </c>
      <c r="V10" s="52"/>
      <c r="W10" s="53">
        <f t="shared" si="10"/>
        <v>0</v>
      </c>
      <c r="X10" s="54">
        <v>4.7916666666666552E-2</v>
      </c>
      <c r="Y10" s="53">
        <f t="shared" si="11"/>
        <v>1.8888584724883611E-2</v>
      </c>
      <c r="Z10" s="54"/>
      <c r="AA10" s="53">
        <f t="shared" si="12"/>
        <v>0</v>
      </c>
      <c r="AB10" s="54">
        <v>0.12847222222222221</v>
      </c>
      <c r="AC10" s="53">
        <f t="shared" si="13"/>
        <v>1.904075751337999E-2</v>
      </c>
      <c r="AD10" s="54">
        <v>0.17847222222222225</v>
      </c>
      <c r="AE10" s="55">
        <f t="shared" si="14"/>
        <v>2.05567109262518E-2</v>
      </c>
      <c r="AF10" s="52"/>
      <c r="AG10" s="53">
        <f t="shared" si="15"/>
        <v>0</v>
      </c>
      <c r="AH10" s="54">
        <v>3.1249999999999889E-2</v>
      </c>
      <c r="AI10" s="53">
        <f t="shared" si="16"/>
        <v>1.4040561622464847E-2</v>
      </c>
      <c r="AJ10" s="54">
        <v>5.2083333333333148E-2</v>
      </c>
      <c r="AK10" s="53">
        <f t="shared" si="17"/>
        <v>1.2315270935960547E-2</v>
      </c>
      <c r="AL10" s="54">
        <v>6.3194444444444275E-2</v>
      </c>
      <c r="AM10" s="53">
        <f t="shared" si="18"/>
        <v>1.1297330850403445E-2</v>
      </c>
      <c r="AN10" s="54">
        <v>7.361111111111085E-2</v>
      </c>
      <c r="AO10" s="55">
        <f t="shared" si="19"/>
        <v>1.1152025249868448E-2</v>
      </c>
    </row>
    <row r="11" spans="1:41" x14ac:dyDescent="0.25">
      <c r="A11" s="28" t="s">
        <v>75</v>
      </c>
      <c r="B11" s="52"/>
      <c r="C11" s="53">
        <f t="shared" si="0"/>
        <v>0</v>
      </c>
      <c r="D11" s="54">
        <v>0</v>
      </c>
      <c r="E11" s="53">
        <f t="shared" si="1"/>
        <v>0</v>
      </c>
      <c r="F11" s="54"/>
      <c r="G11" s="53">
        <f t="shared" si="2"/>
        <v>0</v>
      </c>
      <c r="H11" s="54">
        <v>0</v>
      </c>
      <c r="I11" s="53">
        <f t="shared" si="3"/>
        <v>0</v>
      </c>
      <c r="J11" s="54">
        <v>0</v>
      </c>
      <c r="K11" s="55">
        <f t="shared" si="4"/>
        <v>0</v>
      </c>
      <c r="L11" s="52"/>
      <c r="M11" s="53">
        <f t="shared" si="5"/>
        <v>0</v>
      </c>
      <c r="N11" s="54">
        <v>0</v>
      </c>
      <c r="O11" s="53">
        <f t="shared" si="6"/>
        <v>0</v>
      </c>
      <c r="P11" s="54"/>
      <c r="Q11" s="53">
        <f t="shared" si="7"/>
        <v>0</v>
      </c>
      <c r="R11" s="54">
        <v>0</v>
      </c>
      <c r="S11" s="53">
        <f t="shared" si="8"/>
        <v>0</v>
      </c>
      <c r="T11" s="54">
        <v>0</v>
      </c>
      <c r="U11" s="55">
        <f t="shared" si="9"/>
        <v>0</v>
      </c>
      <c r="V11" s="52"/>
      <c r="W11" s="53">
        <f t="shared" si="10"/>
        <v>0</v>
      </c>
      <c r="X11" s="54">
        <v>0</v>
      </c>
      <c r="Y11" s="53">
        <f t="shared" si="11"/>
        <v>0</v>
      </c>
      <c r="Z11" s="54"/>
      <c r="AA11" s="53">
        <f t="shared" si="12"/>
        <v>0</v>
      </c>
      <c r="AB11" s="54">
        <v>0</v>
      </c>
      <c r="AC11" s="53">
        <f t="shared" si="13"/>
        <v>0</v>
      </c>
      <c r="AD11" s="54">
        <v>0</v>
      </c>
      <c r="AE11" s="55">
        <f t="shared" si="14"/>
        <v>0</v>
      </c>
      <c r="AF11" s="52"/>
      <c r="AG11" s="53">
        <f t="shared" si="15"/>
        <v>0</v>
      </c>
      <c r="AH11" s="54">
        <v>0</v>
      </c>
      <c r="AI11" s="53">
        <f t="shared" si="16"/>
        <v>0</v>
      </c>
      <c r="AJ11" s="54">
        <v>0</v>
      </c>
      <c r="AK11" s="53">
        <f t="shared" si="17"/>
        <v>0</v>
      </c>
      <c r="AL11" s="54">
        <v>0</v>
      </c>
      <c r="AM11" s="53">
        <f t="shared" si="18"/>
        <v>0</v>
      </c>
      <c r="AN11" s="54">
        <v>0</v>
      </c>
      <c r="AO11" s="55">
        <f t="shared" si="19"/>
        <v>0</v>
      </c>
    </row>
    <row r="12" spans="1:41" x14ac:dyDescent="0.25">
      <c r="A12" s="28" t="s">
        <v>157</v>
      </c>
      <c r="B12" s="52"/>
      <c r="C12" s="53">
        <f t="shared" si="0"/>
        <v>0</v>
      </c>
      <c r="D12" s="54">
        <v>2.0833333333333315E-2</v>
      </c>
      <c r="E12" s="53">
        <f t="shared" si="1"/>
        <v>5.5865921787709452E-2</v>
      </c>
      <c r="F12" s="54"/>
      <c r="G12" s="53">
        <f t="shared" si="2"/>
        <v>0</v>
      </c>
      <c r="H12" s="54">
        <v>7.152777777777769E-2</v>
      </c>
      <c r="I12" s="53">
        <f t="shared" si="3"/>
        <v>2.4494649227110549E-2</v>
      </c>
      <c r="J12" s="54">
        <v>7.152777777777769E-2</v>
      </c>
      <c r="K12" s="55">
        <f t="shared" si="4"/>
        <v>2.4494649227110549E-2</v>
      </c>
      <c r="L12" s="52"/>
      <c r="M12" s="53">
        <f t="shared" si="5"/>
        <v>0</v>
      </c>
      <c r="N12" s="54">
        <v>9.2361111111110838E-2</v>
      </c>
      <c r="O12" s="53">
        <f t="shared" si="6"/>
        <v>5.193283873486905E-2</v>
      </c>
      <c r="P12" s="54"/>
      <c r="Q12" s="53">
        <f t="shared" si="7"/>
        <v>0</v>
      </c>
      <c r="R12" s="54">
        <v>0.25555555555555548</v>
      </c>
      <c r="S12" s="53">
        <f t="shared" si="8"/>
        <v>4.5153374233128818E-2</v>
      </c>
      <c r="T12" s="54">
        <v>0.31180555555555556</v>
      </c>
      <c r="U12" s="55">
        <f t="shared" si="9"/>
        <v>4.1923436041083104E-2</v>
      </c>
      <c r="V12" s="52"/>
      <c r="W12" s="53">
        <f t="shared" si="10"/>
        <v>0</v>
      </c>
      <c r="X12" s="54">
        <v>0.14375000000000004</v>
      </c>
      <c r="Y12" s="53">
        <f t="shared" si="11"/>
        <v>5.6665754174650987E-2</v>
      </c>
      <c r="Z12" s="54"/>
      <c r="AA12" s="53">
        <f t="shared" si="12"/>
        <v>0</v>
      </c>
      <c r="AB12" s="54">
        <v>0.39861111111111103</v>
      </c>
      <c r="AC12" s="53">
        <f t="shared" si="13"/>
        <v>5.9077809798270875E-2</v>
      </c>
      <c r="AD12" s="54">
        <v>0.53263888888888877</v>
      </c>
      <c r="AE12" s="55">
        <f t="shared" si="14"/>
        <v>6.1350183970564687E-2</v>
      </c>
      <c r="AF12" s="52"/>
      <c r="AG12" s="53">
        <f t="shared" si="15"/>
        <v>0</v>
      </c>
      <c r="AH12" s="54">
        <v>2.0833333333333315E-2</v>
      </c>
      <c r="AI12" s="53">
        <f t="shared" si="16"/>
        <v>9.3603744149765907E-3</v>
      </c>
      <c r="AJ12" s="54">
        <v>4.1666666666666685E-2</v>
      </c>
      <c r="AK12" s="53">
        <f t="shared" si="17"/>
        <v>9.8522167487684765E-3</v>
      </c>
      <c r="AL12" s="54">
        <v>7.0138888888889084E-2</v>
      </c>
      <c r="AM12" s="53">
        <f t="shared" si="18"/>
        <v>1.2538795779019278E-2</v>
      </c>
      <c r="AN12" s="54">
        <v>8.4027777777778034E-2</v>
      </c>
      <c r="AO12" s="55">
        <f t="shared" si="19"/>
        <v>1.2730142030510294E-2</v>
      </c>
    </row>
    <row r="13" spans="1:41" x14ac:dyDescent="0.25">
      <c r="A13" s="28" t="s">
        <v>158</v>
      </c>
      <c r="B13" s="52"/>
      <c r="C13" s="53">
        <f t="shared" si="0"/>
        <v>0</v>
      </c>
      <c r="D13" s="54">
        <v>0</v>
      </c>
      <c r="E13" s="53">
        <f t="shared" si="1"/>
        <v>0</v>
      </c>
      <c r="F13" s="54"/>
      <c r="G13" s="53">
        <f t="shared" si="2"/>
        <v>0</v>
      </c>
      <c r="H13" s="54">
        <v>0.10694444444444445</v>
      </c>
      <c r="I13" s="53">
        <f t="shared" si="3"/>
        <v>3.6623067776456596E-2</v>
      </c>
      <c r="J13" s="54">
        <v>0.10694444444444445</v>
      </c>
      <c r="K13" s="55">
        <f t="shared" si="4"/>
        <v>3.6623067776456596E-2</v>
      </c>
      <c r="L13" s="52"/>
      <c r="M13" s="53">
        <f t="shared" si="5"/>
        <v>0</v>
      </c>
      <c r="N13" s="54">
        <v>7.2916666666666685E-2</v>
      </c>
      <c r="O13" s="53">
        <f t="shared" si="6"/>
        <v>4.0999609527528333E-2</v>
      </c>
      <c r="P13" s="54"/>
      <c r="Q13" s="53">
        <f t="shared" si="7"/>
        <v>0</v>
      </c>
      <c r="R13" s="54">
        <v>7.2916666666666685E-2</v>
      </c>
      <c r="S13" s="53">
        <f t="shared" si="8"/>
        <v>1.288343558282209E-2</v>
      </c>
      <c r="T13" s="54">
        <v>7.2916666666666685E-2</v>
      </c>
      <c r="U13" s="55">
        <f t="shared" si="9"/>
        <v>9.8039215686274543E-3</v>
      </c>
      <c r="V13" s="52"/>
      <c r="W13" s="53">
        <f t="shared" si="10"/>
        <v>0</v>
      </c>
      <c r="X13" s="54">
        <v>0</v>
      </c>
      <c r="Y13" s="53">
        <f t="shared" si="11"/>
        <v>0</v>
      </c>
      <c r="Z13" s="54"/>
      <c r="AA13" s="53">
        <f t="shared" si="12"/>
        <v>0</v>
      </c>
      <c r="AB13" s="54">
        <v>0</v>
      </c>
      <c r="AC13" s="53">
        <f t="shared" si="13"/>
        <v>0</v>
      </c>
      <c r="AD13" s="54">
        <v>8.3333333333333259E-2</v>
      </c>
      <c r="AE13" s="55">
        <f t="shared" si="14"/>
        <v>9.5984642457206757E-3</v>
      </c>
      <c r="AF13" s="52"/>
      <c r="AG13" s="53">
        <f t="shared" si="15"/>
        <v>0</v>
      </c>
      <c r="AH13" s="54">
        <v>0.11805555555555547</v>
      </c>
      <c r="AI13" s="53">
        <f t="shared" si="16"/>
        <v>5.3042121684867348E-2</v>
      </c>
      <c r="AJ13" s="54">
        <v>0.14236111111111116</v>
      </c>
      <c r="AK13" s="53">
        <f t="shared" si="17"/>
        <v>3.366174055829229E-2</v>
      </c>
      <c r="AL13" s="54">
        <v>0.19097222222222232</v>
      </c>
      <c r="AM13" s="53">
        <f t="shared" si="18"/>
        <v>3.4140285536933601E-2</v>
      </c>
      <c r="AN13" s="54">
        <v>0.20486111111111116</v>
      </c>
      <c r="AO13" s="55">
        <f t="shared" si="19"/>
        <v>3.1036296685954763E-2</v>
      </c>
    </row>
    <row r="14" spans="1:41" x14ac:dyDescent="0.25">
      <c r="A14" s="28" t="s">
        <v>159</v>
      </c>
      <c r="B14" s="52"/>
      <c r="C14" s="53">
        <f t="shared" si="0"/>
        <v>0</v>
      </c>
      <c r="D14" s="54">
        <v>0</v>
      </c>
      <c r="E14" s="53">
        <f t="shared" si="1"/>
        <v>0</v>
      </c>
      <c r="F14" s="54"/>
      <c r="G14" s="53">
        <f t="shared" si="2"/>
        <v>0</v>
      </c>
      <c r="H14" s="54">
        <v>0</v>
      </c>
      <c r="I14" s="53">
        <f t="shared" si="3"/>
        <v>0</v>
      </c>
      <c r="J14" s="54">
        <v>0</v>
      </c>
      <c r="K14" s="55">
        <f t="shared" si="4"/>
        <v>0</v>
      </c>
      <c r="L14" s="52"/>
      <c r="M14" s="53">
        <f t="shared" si="5"/>
        <v>0</v>
      </c>
      <c r="N14" s="54">
        <v>0</v>
      </c>
      <c r="O14" s="53">
        <f t="shared" si="6"/>
        <v>0</v>
      </c>
      <c r="P14" s="54"/>
      <c r="Q14" s="53">
        <f t="shared" si="7"/>
        <v>0</v>
      </c>
      <c r="R14" s="54">
        <v>0</v>
      </c>
      <c r="S14" s="53">
        <f t="shared" si="8"/>
        <v>0</v>
      </c>
      <c r="T14" s="54">
        <v>0</v>
      </c>
      <c r="U14" s="55">
        <f t="shared" si="9"/>
        <v>0</v>
      </c>
      <c r="V14" s="52"/>
      <c r="W14" s="53">
        <f t="shared" si="10"/>
        <v>0</v>
      </c>
      <c r="X14" s="54">
        <v>0</v>
      </c>
      <c r="Y14" s="53">
        <f t="shared" si="11"/>
        <v>0</v>
      </c>
      <c r="Z14" s="54"/>
      <c r="AA14" s="53">
        <f t="shared" si="12"/>
        <v>0</v>
      </c>
      <c r="AB14" s="54">
        <v>0</v>
      </c>
      <c r="AC14" s="53">
        <f t="shared" si="13"/>
        <v>0</v>
      </c>
      <c r="AD14" s="54">
        <v>0</v>
      </c>
      <c r="AE14" s="55">
        <f t="shared" si="14"/>
        <v>0</v>
      </c>
      <c r="AF14" s="52"/>
      <c r="AG14" s="53">
        <f t="shared" si="15"/>
        <v>0</v>
      </c>
      <c r="AH14" s="54">
        <v>0</v>
      </c>
      <c r="AI14" s="53">
        <f t="shared" si="16"/>
        <v>0</v>
      </c>
      <c r="AJ14" s="54">
        <v>0</v>
      </c>
      <c r="AK14" s="53">
        <f t="shared" si="17"/>
        <v>0</v>
      </c>
      <c r="AL14" s="54">
        <v>0</v>
      </c>
      <c r="AM14" s="53">
        <f t="shared" si="18"/>
        <v>0</v>
      </c>
      <c r="AN14" s="54">
        <v>0</v>
      </c>
      <c r="AO14" s="55">
        <f t="shared" si="19"/>
        <v>0</v>
      </c>
    </row>
    <row r="15" spans="1:41" x14ac:dyDescent="0.25">
      <c r="A15" s="28" t="s">
        <v>160</v>
      </c>
      <c r="B15" s="52"/>
      <c r="C15" s="53">
        <f t="shared" si="0"/>
        <v>0</v>
      </c>
      <c r="D15" s="54">
        <v>0</v>
      </c>
      <c r="E15" s="53">
        <f t="shared" si="1"/>
        <v>0</v>
      </c>
      <c r="F15" s="54"/>
      <c r="G15" s="53">
        <f t="shared" si="2"/>
        <v>0</v>
      </c>
      <c r="H15" s="54">
        <v>0</v>
      </c>
      <c r="I15" s="53">
        <f t="shared" si="3"/>
        <v>0</v>
      </c>
      <c r="J15" s="54">
        <v>0</v>
      </c>
      <c r="K15" s="55">
        <f t="shared" si="4"/>
        <v>0</v>
      </c>
      <c r="L15" s="52"/>
      <c r="M15" s="53">
        <f t="shared" si="5"/>
        <v>0</v>
      </c>
      <c r="N15" s="54">
        <v>0</v>
      </c>
      <c r="O15" s="53">
        <f t="shared" si="6"/>
        <v>0</v>
      </c>
      <c r="P15" s="54"/>
      <c r="Q15" s="53">
        <f t="shared" si="7"/>
        <v>0</v>
      </c>
      <c r="R15" s="54">
        <v>0</v>
      </c>
      <c r="S15" s="53">
        <f t="shared" si="8"/>
        <v>0</v>
      </c>
      <c r="T15" s="54">
        <v>0</v>
      </c>
      <c r="U15" s="55">
        <f t="shared" si="9"/>
        <v>0</v>
      </c>
      <c r="V15" s="52"/>
      <c r="W15" s="53">
        <f t="shared" si="10"/>
        <v>0</v>
      </c>
      <c r="X15" s="54">
        <v>0</v>
      </c>
      <c r="Y15" s="53">
        <f t="shared" si="11"/>
        <v>0</v>
      </c>
      <c r="Z15" s="54"/>
      <c r="AA15" s="53">
        <f t="shared" si="12"/>
        <v>0</v>
      </c>
      <c r="AB15" s="54">
        <v>0</v>
      </c>
      <c r="AC15" s="53">
        <f t="shared" si="13"/>
        <v>0</v>
      </c>
      <c r="AD15" s="54">
        <v>0</v>
      </c>
      <c r="AE15" s="55">
        <f t="shared" si="14"/>
        <v>0</v>
      </c>
      <c r="AF15" s="52"/>
      <c r="AG15" s="53">
        <f t="shared" si="15"/>
        <v>0</v>
      </c>
      <c r="AH15" s="54">
        <v>0</v>
      </c>
      <c r="AI15" s="53">
        <f t="shared" si="16"/>
        <v>0</v>
      </c>
      <c r="AJ15" s="54">
        <v>0</v>
      </c>
      <c r="AK15" s="53">
        <f t="shared" si="17"/>
        <v>0</v>
      </c>
      <c r="AL15" s="54">
        <v>0</v>
      </c>
      <c r="AM15" s="53">
        <f t="shared" si="18"/>
        <v>0</v>
      </c>
      <c r="AN15" s="54">
        <v>0</v>
      </c>
      <c r="AO15" s="55">
        <f t="shared" si="19"/>
        <v>0</v>
      </c>
    </row>
    <row r="16" spans="1:41" x14ac:dyDescent="0.25">
      <c r="A16" s="28" t="s">
        <v>161</v>
      </c>
      <c r="B16" s="52"/>
      <c r="C16" s="53">
        <f t="shared" si="0"/>
        <v>0</v>
      </c>
      <c r="D16" s="54">
        <v>0</v>
      </c>
      <c r="E16" s="53">
        <f t="shared" si="1"/>
        <v>0</v>
      </c>
      <c r="F16" s="54"/>
      <c r="G16" s="53">
        <f t="shared" si="2"/>
        <v>0</v>
      </c>
      <c r="H16" s="54">
        <v>0</v>
      </c>
      <c r="I16" s="53">
        <f t="shared" si="3"/>
        <v>0</v>
      </c>
      <c r="J16" s="54">
        <v>0</v>
      </c>
      <c r="K16" s="55">
        <f t="shared" si="4"/>
        <v>0</v>
      </c>
      <c r="L16" s="52"/>
      <c r="M16" s="53">
        <f t="shared" si="5"/>
        <v>0</v>
      </c>
      <c r="N16" s="54">
        <v>0</v>
      </c>
      <c r="O16" s="53">
        <f t="shared" si="6"/>
        <v>0</v>
      </c>
      <c r="P16" s="54"/>
      <c r="Q16" s="53">
        <f t="shared" si="7"/>
        <v>0</v>
      </c>
      <c r="R16" s="54">
        <v>0</v>
      </c>
      <c r="S16" s="53">
        <f t="shared" si="8"/>
        <v>0</v>
      </c>
      <c r="T16" s="54">
        <v>0</v>
      </c>
      <c r="U16" s="55">
        <f t="shared" si="9"/>
        <v>0</v>
      </c>
      <c r="V16" s="52"/>
      <c r="W16" s="53">
        <f t="shared" si="10"/>
        <v>0</v>
      </c>
      <c r="X16" s="54">
        <v>0</v>
      </c>
      <c r="Y16" s="53">
        <f t="shared" si="11"/>
        <v>0</v>
      </c>
      <c r="Z16" s="54"/>
      <c r="AA16" s="53">
        <f t="shared" si="12"/>
        <v>0</v>
      </c>
      <c r="AB16" s="54">
        <v>0</v>
      </c>
      <c r="AC16" s="53">
        <f t="shared" si="13"/>
        <v>0</v>
      </c>
      <c r="AD16" s="54">
        <v>0</v>
      </c>
      <c r="AE16" s="55">
        <f t="shared" si="14"/>
        <v>0</v>
      </c>
      <c r="AF16" s="52"/>
      <c r="AG16" s="53">
        <f t="shared" si="15"/>
        <v>0</v>
      </c>
      <c r="AH16" s="54">
        <v>0</v>
      </c>
      <c r="AI16" s="53">
        <f t="shared" si="16"/>
        <v>0</v>
      </c>
      <c r="AJ16" s="54">
        <v>0</v>
      </c>
      <c r="AK16" s="53">
        <f t="shared" si="17"/>
        <v>0</v>
      </c>
      <c r="AL16" s="54">
        <v>0</v>
      </c>
      <c r="AM16" s="53">
        <f t="shared" si="18"/>
        <v>0</v>
      </c>
      <c r="AN16" s="54">
        <v>0</v>
      </c>
      <c r="AO16" s="55">
        <f t="shared" si="19"/>
        <v>0</v>
      </c>
    </row>
    <row r="17" spans="1:41" x14ac:dyDescent="0.25">
      <c r="A17" s="28" t="s">
        <v>162</v>
      </c>
      <c r="B17" s="52"/>
      <c r="C17" s="53">
        <f t="shared" si="0"/>
        <v>0</v>
      </c>
      <c r="D17" s="54">
        <v>0</v>
      </c>
      <c r="E17" s="53">
        <f t="shared" si="1"/>
        <v>0</v>
      </c>
      <c r="F17" s="54"/>
      <c r="G17" s="53">
        <f t="shared" si="2"/>
        <v>0</v>
      </c>
      <c r="H17" s="54">
        <v>0</v>
      </c>
      <c r="I17" s="53">
        <f t="shared" si="3"/>
        <v>0</v>
      </c>
      <c r="J17" s="54">
        <v>0</v>
      </c>
      <c r="K17" s="55">
        <f t="shared" si="4"/>
        <v>0</v>
      </c>
      <c r="L17" s="52"/>
      <c r="M17" s="53">
        <f t="shared" si="5"/>
        <v>0</v>
      </c>
      <c r="N17" s="54">
        <v>0</v>
      </c>
      <c r="O17" s="53">
        <f t="shared" si="6"/>
        <v>0</v>
      </c>
      <c r="P17" s="54"/>
      <c r="Q17" s="53">
        <f t="shared" si="7"/>
        <v>0</v>
      </c>
      <c r="R17" s="54">
        <v>0</v>
      </c>
      <c r="S17" s="53">
        <f t="shared" si="8"/>
        <v>0</v>
      </c>
      <c r="T17" s="54">
        <v>0</v>
      </c>
      <c r="U17" s="55">
        <f t="shared" si="9"/>
        <v>0</v>
      </c>
      <c r="V17" s="52"/>
      <c r="W17" s="53">
        <f t="shared" si="10"/>
        <v>0</v>
      </c>
      <c r="X17" s="54">
        <v>0</v>
      </c>
      <c r="Y17" s="53">
        <f t="shared" si="11"/>
        <v>0</v>
      </c>
      <c r="Z17" s="54"/>
      <c r="AA17" s="53">
        <f t="shared" si="12"/>
        <v>0</v>
      </c>
      <c r="AB17" s="54">
        <v>0</v>
      </c>
      <c r="AC17" s="53">
        <f t="shared" si="13"/>
        <v>0</v>
      </c>
      <c r="AD17" s="54">
        <v>0</v>
      </c>
      <c r="AE17" s="55">
        <f t="shared" si="14"/>
        <v>0</v>
      </c>
      <c r="AF17" s="52"/>
      <c r="AG17" s="53">
        <f t="shared" si="15"/>
        <v>0</v>
      </c>
      <c r="AH17" s="54">
        <v>0</v>
      </c>
      <c r="AI17" s="53">
        <f t="shared" si="16"/>
        <v>0</v>
      </c>
      <c r="AJ17" s="54">
        <v>0</v>
      </c>
      <c r="AK17" s="53">
        <f t="shared" si="17"/>
        <v>0</v>
      </c>
      <c r="AL17" s="54">
        <v>0</v>
      </c>
      <c r="AM17" s="53">
        <f t="shared" si="18"/>
        <v>0</v>
      </c>
      <c r="AN17" s="54">
        <v>0</v>
      </c>
      <c r="AO17" s="55">
        <f t="shared" si="19"/>
        <v>0</v>
      </c>
    </row>
    <row r="18" spans="1:41" x14ac:dyDescent="0.25">
      <c r="A18" s="28" t="s">
        <v>163</v>
      </c>
      <c r="B18" s="52"/>
      <c r="C18" s="53">
        <f t="shared" si="0"/>
        <v>0</v>
      </c>
      <c r="D18" s="54">
        <v>0</v>
      </c>
      <c r="E18" s="53">
        <f t="shared" si="1"/>
        <v>0</v>
      </c>
      <c r="F18" s="54"/>
      <c r="G18" s="53">
        <f t="shared" si="2"/>
        <v>0</v>
      </c>
      <c r="H18" s="54">
        <v>0</v>
      </c>
      <c r="I18" s="53">
        <f t="shared" si="3"/>
        <v>0</v>
      </c>
      <c r="J18" s="54">
        <v>0</v>
      </c>
      <c r="K18" s="55">
        <f t="shared" si="4"/>
        <v>0</v>
      </c>
      <c r="L18" s="52"/>
      <c r="M18" s="53">
        <f t="shared" si="5"/>
        <v>0</v>
      </c>
      <c r="N18" s="54">
        <v>0</v>
      </c>
      <c r="O18" s="53">
        <f t="shared" si="6"/>
        <v>0</v>
      </c>
      <c r="P18" s="54"/>
      <c r="Q18" s="53">
        <f t="shared" si="7"/>
        <v>0</v>
      </c>
      <c r="R18" s="54">
        <v>0</v>
      </c>
      <c r="S18" s="53">
        <f t="shared" si="8"/>
        <v>0</v>
      </c>
      <c r="T18" s="54">
        <v>0</v>
      </c>
      <c r="U18" s="55">
        <f t="shared" si="9"/>
        <v>0</v>
      </c>
      <c r="V18" s="52"/>
      <c r="W18" s="53">
        <f t="shared" si="10"/>
        <v>0</v>
      </c>
      <c r="X18" s="54">
        <v>0</v>
      </c>
      <c r="Y18" s="53">
        <f t="shared" si="11"/>
        <v>0</v>
      </c>
      <c r="Z18" s="54"/>
      <c r="AA18" s="53">
        <f t="shared" si="12"/>
        <v>0</v>
      </c>
      <c r="AB18" s="54">
        <v>4.166666666666663E-2</v>
      </c>
      <c r="AC18" s="53">
        <f t="shared" si="13"/>
        <v>6.1753808151502618E-3</v>
      </c>
      <c r="AD18" s="54">
        <v>0.1118055555555556</v>
      </c>
      <c r="AE18" s="55">
        <f t="shared" si="14"/>
        <v>1.2877939529675256E-2</v>
      </c>
      <c r="AF18" s="52"/>
      <c r="AG18" s="53">
        <f t="shared" si="15"/>
        <v>0</v>
      </c>
      <c r="AH18" s="54">
        <v>0</v>
      </c>
      <c r="AI18" s="53">
        <f t="shared" si="16"/>
        <v>0</v>
      </c>
      <c r="AJ18" s="54">
        <v>0</v>
      </c>
      <c r="AK18" s="53">
        <f t="shared" si="17"/>
        <v>0</v>
      </c>
      <c r="AL18" s="54">
        <v>0</v>
      </c>
      <c r="AM18" s="53">
        <f t="shared" si="18"/>
        <v>0</v>
      </c>
      <c r="AN18" s="54">
        <v>0</v>
      </c>
      <c r="AO18" s="55">
        <f t="shared" si="19"/>
        <v>0</v>
      </c>
    </row>
    <row r="19" spans="1:41" x14ac:dyDescent="0.25">
      <c r="A19" s="28" t="s">
        <v>164</v>
      </c>
      <c r="B19" s="52"/>
      <c r="C19" s="53">
        <f t="shared" si="0"/>
        <v>0</v>
      </c>
      <c r="D19" s="54">
        <v>0</v>
      </c>
      <c r="E19" s="53">
        <f t="shared" si="1"/>
        <v>0</v>
      </c>
      <c r="F19" s="54"/>
      <c r="G19" s="53">
        <f t="shared" si="2"/>
        <v>0</v>
      </c>
      <c r="H19" s="54">
        <v>0</v>
      </c>
      <c r="I19" s="53">
        <f t="shared" si="3"/>
        <v>0</v>
      </c>
      <c r="J19" s="54">
        <v>0</v>
      </c>
      <c r="K19" s="55">
        <f t="shared" si="4"/>
        <v>0</v>
      </c>
      <c r="L19" s="52"/>
      <c r="M19" s="53">
        <f t="shared" si="5"/>
        <v>0</v>
      </c>
      <c r="N19" s="54">
        <v>0</v>
      </c>
      <c r="O19" s="53">
        <f t="shared" si="6"/>
        <v>0</v>
      </c>
      <c r="P19" s="54"/>
      <c r="Q19" s="53">
        <f t="shared" si="7"/>
        <v>0</v>
      </c>
      <c r="R19" s="54">
        <v>0</v>
      </c>
      <c r="S19" s="53">
        <f t="shared" si="8"/>
        <v>0</v>
      </c>
      <c r="T19" s="54">
        <v>0</v>
      </c>
      <c r="U19" s="55">
        <f t="shared" si="9"/>
        <v>0</v>
      </c>
      <c r="V19" s="52"/>
      <c r="W19" s="53">
        <f t="shared" si="10"/>
        <v>0</v>
      </c>
      <c r="X19" s="54">
        <v>0</v>
      </c>
      <c r="Y19" s="53">
        <f t="shared" si="11"/>
        <v>0</v>
      </c>
      <c r="Z19" s="54"/>
      <c r="AA19" s="53">
        <f t="shared" si="12"/>
        <v>0</v>
      </c>
      <c r="AB19" s="54">
        <v>0</v>
      </c>
      <c r="AC19" s="53">
        <f t="shared" si="13"/>
        <v>0</v>
      </c>
      <c r="AD19" s="54">
        <v>0</v>
      </c>
      <c r="AE19" s="55">
        <f t="shared" si="14"/>
        <v>0</v>
      </c>
      <c r="AF19" s="52"/>
      <c r="AG19" s="53">
        <f t="shared" si="15"/>
        <v>0</v>
      </c>
      <c r="AH19" s="54">
        <v>0</v>
      </c>
      <c r="AI19" s="53">
        <f t="shared" si="16"/>
        <v>0</v>
      </c>
      <c r="AJ19" s="54">
        <v>0</v>
      </c>
      <c r="AK19" s="53">
        <f t="shared" si="17"/>
        <v>0</v>
      </c>
      <c r="AL19" s="54">
        <v>0</v>
      </c>
      <c r="AM19" s="53">
        <f t="shared" si="18"/>
        <v>0</v>
      </c>
      <c r="AN19" s="54">
        <v>0</v>
      </c>
      <c r="AO19" s="55">
        <f t="shared" si="19"/>
        <v>0</v>
      </c>
    </row>
    <row r="20" spans="1:41" x14ac:dyDescent="0.25">
      <c r="A20" s="28" t="s">
        <v>165</v>
      </c>
      <c r="B20" s="52"/>
      <c r="C20" s="53">
        <f t="shared" si="0"/>
        <v>0</v>
      </c>
      <c r="D20" s="54">
        <v>0</v>
      </c>
      <c r="E20" s="53">
        <f t="shared" si="1"/>
        <v>0</v>
      </c>
      <c r="F20" s="54"/>
      <c r="G20" s="53">
        <f t="shared" si="2"/>
        <v>0</v>
      </c>
      <c r="H20" s="54">
        <v>0</v>
      </c>
      <c r="I20" s="53">
        <f t="shared" si="3"/>
        <v>0</v>
      </c>
      <c r="J20" s="54">
        <v>0</v>
      </c>
      <c r="K20" s="55">
        <f t="shared" si="4"/>
        <v>0</v>
      </c>
      <c r="L20" s="52"/>
      <c r="M20" s="53">
        <f t="shared" si="5"/>
        <v>0</v>
      </c>
      <c r="N20" s="54">
        <v>0</v>
      </c>
      <c r="O20" s="53">
        <f t="shared" si="6"/>
        <v>0</v>
      </c>
      <c r="P20" s="54"/>
      <c r="Q20" s="53">
        <f t="shared" si="7"/>
        <v>0</v>
      </c>
      <c r="R20" s="54">
        <v>0</v>
      </c>
      <c r="S20" s="53">
        <f t="shared" si="8"/>
        <v>0</v>
      </c>
      <c r="T20" s="54">
        <v>0</v>
      </c>
      <c r="U20" s="55">
        <f t="shared" si="9"/>
        <v>0</v>
      </c>
      <c r="V20" s="52"/>
      <c r="W20" s="53">
        <f t="shared" si="10"/>
        <v>0</v>
      </c>
      <c r="X20" s="54">
        <v>0</v>
      </c>
      <c r="Y20" s="53">
        <f t="shared" si="11"/>
        <v>0</v>
      </c>
      <c r="Z20" s="54"/>
      <c r="AA20" s="53">
        <f t="shared" si="12"/>
        <v>0</v>
      </c>
      <c r="AB20" s="54">
        <v>0</v>
      </c>
      <c r="AC20" s="53">
        <f t="shared" si="13"/>
        <v>0</v>
      </c>
      <c r="AD20" s="54">
        <v>0</v>
      </c>
      <c r="AE20" s="55">
        <f t="shared" si="14"/>
        <v>0</v>
      </c>
      <c r="AF20" s="52"/>
      <c r="AG20" s="53">
        <f t="shared" si="15"/>
        <v>0</v>
      </c>
      <c r="AH20" s="54">
        <v>0</v>
      </c>
      <c r="AI20" s="53">
        <f t="shared" si="16"/>
        <v>0</v>
      </c>
      <c r="AJ20" s="54">
        <v>0</v>
      </c>
      <c r="AK20" s="53">
        <f t="shared" si="17"/>
        <v>0</v>
      </c>
      <c r="AL20" s="54">
        <v>0</v>
      </c>
      <c r="AM20" s="53">
        <f t="shared" si="18"/>
        <v>0</v>
      </c>
      <c r="AN20" s="54">
        <v>0</v>
      </c>
      <c r="AO20" s="55">
        <f t="shared" si="19"/>
        <v>0</v>
      </c>
    </row>
    <row r="21" spans="1:41" x14ac:dyDescent="0.25">
      <c r="A21" s="28" t="s">
        <v>166</v>
      </c>
      <c r="B21" s="52"/>
      <c r="C21" s="53">
        <f t="shared" si="0"/>
        <v>0</v>
      </c>
      <c r="D21" s="54">
        <v>0</v>
      </c>
      <c r="E21" s="53">
        <f t="shared" si="1"/>
        <v>0</v>
      </c>
      <c r="F21" s="54"/>
      <c r="G21" s="53">
        <f t="shared" si="2"/>
        <v>0</v>
      </c>
      <c r="H21" s="54">
        <v>0</v>
      </c>
      <c r="I21" s="53">
        <f t="shared" si="3"/>
        <v>0</v>
      </c>
      <c r="J21" s="54">
        <v>0</v>
      </c>
      <c r="K21" s="55">
        <f t="shared" si="4"/>
        <v>0</v>
      </c>
      <c r="L21" s="52"/>
      <c r="M21" s="53">
        <f t="shared" si="5"/>
        <v>0</v>
      </c>
      <c r="N21" s="54">
        <v>0</v>
      </c>
      <c r="O21" s="53">
        <f t="shared" si="6"/>
        <v>0</v>
      </c>
      <c r="P21" s="54"/>
      <c r="Q21" s="53">
        <f t="shared" si="7"/>
        <v>0</v>
      </c>
      <c r="R21" s="54">
        <v>0</v>
      </c>
      <c r="S21" s="53">
        <f t="shared" si="8"/>
        <v>0</v>
      </c>
      <c r="T21" s="54">
        <v>0</v>
      </c>
      <c r="U21" s="55">
        <f t="shared" si="9"/>
        <v>0</v>
      </c>
      <c r="V21" s="52"/>
      <c r="W21" s="53">
        <f t="shared" si="10"/>
        <v>0</v>
      </c>
      <c r="X21" s="54">
        <v>0</v>
      </c>
      <c r="Y21" s="53">
        <f t="shared" si="11"/>
        <v>0</v>
      </c>
      <c r="Z21" s="54"/>
      <c r="AA21" s="53">
        <f t="shared" si="12"/>
        <v>0</v>
      </c>
      <c r="AB21" s="54">
        <v>0</v>
      </c>
      <c r="AC21" s="53">
        <f t="shared" si="13"/>
        <v>0</v>
      </c>
      <c r="AD21" s="54">
        <v>0</v>
      </c>
      <c r="AE21" s="55">
        <f t="shared" si="14"/>
        <v>0</v>
      </c>
      <c r="AF21" s="52"/>
      <c r="AG21" s="53">
        <f t="shared" si="15"/>
        <v>0</v>
      </c>
      <c r="AH21" s="54">
        <v>0</v>
      </c>
      <c r="AI21" s="53">
        <f t="shared" si="16"/>
        <v>0</v>
      </c>
      <c r="AJ21" s="54">
        <v>0</v>
      </c>
      <c r="AK21" s="53">
        <f t="shared" si="17"/>
        <v>0</v>
      </c>
      <c r="AL21" s="54">
        <v>0</v>
      </c>
      <c r="AM21" s="53">
        <f t="shared" si="18"/>
        <v>0</v>
      </c>
      <c r="AN21" s="54">
        <v>0</v>
      </c>
      <c r="AO21" s="55">
        <f t="shared" si="19"/>
        <v>0</v>
      </c>
    </row>
    <row r="22" spans="1:41" x14ac:dyDescent="0.25">
      <c r="A22" s="28" t="s">
        <v>167</v>
      </c>
      <c r="B22" s="52"/>
      <c r="C22" s="53">
        <f t="shared" si="0"/>
        <v>0</v>
      </c>
      <c r="D22" s="54">
        <v>6.2499999999999778E-3</v>
      </c>
      <c r="E22" s="53">
        <f t="shared" si="1"/>
        <v>1.6759776536312793E-2</v>
      </c>
      <c r="F22" s="54"/>
      <c r="G22" s="53">
        <f t="shared" si="2"/>
        <v>0</v>
      </c>
      <c r="H22" s="54">
        <v>9.9305555555555536E-2</v>
      </c>
      <c r="I22" s="53">
        <f t="shared" si="3"/>
        <v>3.4007134363852547E-2</v>
      </c>
      <c r="J22" s="54">
        <v>9.9305555555555536E-2</v>
      </c>
      <c r="K22" s="55">
        <f t="shared" si="4"/>
        <v>3.4007134363852547E-2</v>
      </c>
      <c r="L22" s="52"/>
      <c r="M22" s="53">
        <f t="shared" si="5"/>
        <v>0</v>
      </c>
      <c r="N22" s="54">
        <v>0</v>
      </c>
      <c r="O22" s="53">
        <f t="shared" si="6"/>
        <v>0</v>
      </c>
      <c r="P22" s="54"/>
      <c r="Q22" s="53">
        <f t="shared" si="7"/>
        <v>0</v>
      </c>
      <c r="R22" s="54">
        <v>5.9027777777777679E-2</v>
      </c>
      <c r="S22" s="53">
        <f t="shared" si="8"/>
        <v>1.0429447852760719E-2</v>
      </c>
      <c r="T22" s="54">
        <v>5.9027777777777679E-2</v>
      </c>
      <c r="U22" s="55">
        <f t="shared" si="9"/>
        <v>7.9365079365079239E-3</v>
      </c>
      <c r="V22" s="52"/>
      <c r="W22" s="53">
        <f t="shared" si="10"/>
        <v>0</v>
      </c>
      <c r="X22" s="54">
        <v>0</v>
      </c>
      <c r="Y22" s="53">
        <f t="shared" si="11"/>
        <v>0</v>
      </c>
      <c r="Z22" s="54"/>
      <c r="AA22" s="53">
        <f t="shared" si="12"/>
        <v>0</v>
      </c>
      <c r="AB22" s="54">
        <v>9.0277777777777901E-2</v>
      </c>
      <c r="AC22" s="53">
        <f t="shared" si="13"/>
        <v>1.3379991766158931E-2</v>
      </c>
      <c r="AD22" s="54">
        <v>9.0277777777777901E-2</v>
      </c>
      <c r="AE22" s="55">
        <f t="shared" si="14"/>
        <v>1.0398336266197421E-2</v>
      </c>
      <c r="AF22" s="52"/>
      <c r="AG22" s="53">
        <f t="shared" si="15"/>
        <v>0</v>
      </c>
      <c r="AH22" s="54">
        <v>0</v>
      </c>
      <c r="AI22" s="53">
        <f t="shared" si="16"/>
        <v>0</v>
      </c>
      <c r="AJ22" s="54">
        <v>5.5555555555555469E-2</v>
      </c>
      <c r="AK22" s="53">
        <f t="shared" si="17"/>
        <v>1.3136288998357943E-2</v>
      </c>
      <c r="AL22" s="54">
        <v>5.5555555555555469E-2</v>
      </c>
      <c r="AM22" s="53">
        <f t="shared" si="18"/>
        <v>9.9317194289261172E-3</v>
      </c>
      <c r="AN22" s="54">
        <v>5.5555555555555469E-2</v>
      </c>
      <c r="AO22" s="55">
        <f t="shared" si="19"/>
        <v>8.4166228300894125E-3</v>
      </c>
    </row>
    <row r="23" spans="1:41" x14ac:dyDescent="0.25">
      <c r="A23" s="28" t="s">
        <v>168</v>
      </c>
      <c r="B23" s="52"/>
      <c r="C23" s="53">
        <f t="shared" si="0"/>
        <v>0</v>
      </c>
      <c r="D23" s="54">
        <v>0</v>
      </c>
      <c r="E23" s="53">
        <f t="shared" si="1"/>
        <v>0</v>
      </c>
      <c r="F23" s="54"/>
      <c r="G23" s="53">
        <f t="shared" si="2"/>
        <v>0</v>
      </c>
      <c r="H23" s="54">
        <v>0</v>
      </c>
      <c r="I23" s="53">
        <f t="shared" si="3"/>
        <v>0</v>
      </c>
      <c r="J23" s="54">
        <v>0</v>
      </c>
      <c r="K23" s="55">
        <f t="shared" si="4"/>
        <v>0</v>
      </c>
      <c r="L23" s="52"/>
      <c r="M23" s="53">
        <f t="shared" si="5"/>
        <v>0</v>
      </c>
      <c r="N23" s="54">
        <v>0</v>
      </c>
      <c r="O23" s="53">
        <f t="shared" si="6"/>
        <v>0</v>
      </c>
      <c r="P23" s="54"/>
      <c r="Q23" s="53">
        <f t="shared" si="7"/>
        <v>0</v>
      </c>
      <c r="R23" s="54">
        <v>0</v>
      </c>
      <c r="S23" s="53">
        <f t="shared" si="8"/>
        <v>0</v>
      </c>
      <c r="T23" s="54">
        <v>0</v>
      </c>
      <c r="U23" s="55">
        <f t="shared" si="9"/>
        <v>0</v>
      </c>
      <c r="V23" s="52"/>
      <c r="W23" s="53">
        <f t="shared" si="10"/>
        <v>0</v>
      </c>
      <c r="X23" s="54">
        <v>0</v>
      </c>
      <c r="Y23" s="53">
        <f t="shared" si="11"/>
        <v>0</v>
      </c>
      <c r="Z23" s="54"/>
      <c r="AA23" s="53">
        <f t="shared" si="12"/>
        <v>0</v>
      </c>
      <c r="AB23" s="54">
        <v>0</v>
      </c>
      <c r="AC23" s="53">
        <f t="shared" si="13"/>
        <v>0</v>
      </c>
      <c r="AD23" s="54">
        <v>0</v>
      </c>
      <c r="AE23" s="55">
        <f t="shared" si="14"/>
        <v>0</v>
      </c>
      <c r="AF23" s="52"/>
      <c r="AG23" s="53">
        <f t="shared" si="15"/>
        <v>0</v>
      </c>
      <c r="AH23" s="54">
        <v>0</v>
      </c>
      <c r="AI23" s="53">
        <f t="shared" si="16"/>
        <v>0</v>
      </c>
      <c r="AJ23" s="54">
        <v>0</v>
      </c>
      <c r="AK23" s="53">
        <f t="shared" si="17"/>
        <v>0</v>
      </c>
      <c r="AL23" s="54">
        <v>0</v>
      </c>
      <c r="AM23" s="53">
        <f t="shared" si="18"/>
        <v>0</v>
      </c>
      <c r="AN23" s="54">
        <v>0</v>
      </c>
      <c r="AO23" s="55">
        <f t="shared" si="19"/>
        <v>0</v>
      </c>
    </row>
    <row r="24" spans="1:41" x14ac:dyDescent="0.25">
      <c r="A24" s="28" t="s">
        <v>169</v>
      </c>
      <c r="B24" s="52"/>
      <c r="C24" s="53">
        <f t="shared" si="0"/>
        <v>0</v>
      </c>
      <c r="D24" s="54">
        <v>2.7083333333333348E-2</v>
      </c>
      <c r="E24" s="53">
        <f t="shared" si="1"/>
        <v>7.2625698324022395E-2</v>
      </c>
      <c r="F24" s="54"/>
      <c r="G24" s="53">
        <f t="shared" si="2"/>
        <v>0</v>
      </c>
      <c r="H24" s="54">
        <v>0.23611111111111094</v>
      </c>
      <c r="I24" s="53">
        <f t="shared" si="3"/>
        <v>8.0856123662306711E-2</v>
      </c>
      <c r="J24" s="54">
        <v>0.23611111111111094</v>
      </c>
      <c r="K24" s="55">
        <f t="shared" si="4"/>
        <v>8.0856123662306711E-2</v>
      </c>
      <c r="L24" s="52"/>
      <c r="M24" s="53">
        <f t="shared" si="5"/>
        <v>0</v>
      </c>
      <c r="N24" s="54">
        <v>0.93055555555555536</v>
      </c>
      <c r="O24" s="53">
        <f t="shared" si="6"/>
        <v>0.52323311206559941</v>
      </c>
      <c r="P24" s="54"/>
      <c r="Q24" s="53">
        <f t="shared" si="7"/>
        <v>0</v>
      </c>
      <c r="R24" s="54">
        <v>1.8659722222222221</v>
      </c>
      <c r="S24" s="53">
        <f t="shared" si="8"/>
        <v>0.32969325153374229</v>
      </c>
      <c r="T24" s="54">
        <v>1.8659722222222221</v>
      </c>
      <c r="U24" s="55">
        <f t="shared" si="9"/>
        <v>0.25088702147525677</v>
      </c>
      <c r="V24" s="52"/>
      <c r="W24" s="53">
        <f t="shared" si="10"/>
        <v>0</v>
      </c>
      <c r="X24" s="54">
        <v>1.4187500000000004</v>
      </c>
      <c r="Y24" s="53">
        <f t="shared" si="11"/>
        <v>0.55926635641938149</v>
      </c>
      <c r="Z24" s="54"/>
      <c r="AA24" s="53">
        <f t="shared" si="12"/>
        <v>0</v>
      </c>
      <c r="AB24" s="54">
        <v>2.7951388888888893</v>
      </c>
      <c r="AC24" s="53">
        <f t="shared" si="13"/>
        <v>0.41426512968299717</v>
      </c>
      <c r="AD24" s="54">
        <v>2.7951388888888893</v>
      </c>
      <c r="AE24" s="55">
        <f t="shared" si="14"/>
        <v>0.32194848824188133</v>
      </c>
      <c r="AF24" s="52"/>
      <c r="AG24" s="53">
        <f t="shared" si="15"/>
        <v>0</v>
      </c>
      <c r="AH24" s="54">
        <v>0.39583333333333337</v>
      </c>
      <c r="AI24" s="53">
        <f t="shared" si="16"/>
        <v>0.17784711388455537</v>
      </c>
      <c r="AJ24" s="54">
        <v>0.39583333333333337</v>
      </c>
      <c r="AK24" s="53">
        <f t="shared" si="17"/>
        <v>9.3596059113300489E-2</v>
      </c>
      <c r="AL24" s="54">
        <v>0.39583333333333337</v>
      </c>
      <c r="AM24" s="53">
        <f t="shared" si="18"/>
        <v>7.0763500931098705E-2</v>
      </c>
      <c r="AN24" s="54">
        <v>0.39583333333333337</v>
      </c>
      <c r="AO24" s="55">
        <f t="shared" si="19"/>
        <v>5.9968437664387163E-2</v>
      </c>
    </row>
    <row r="25" spans="1:41" x14ac:dyDescent="0.25">
      <c r="A25" s="28" t="s">
        <v>170</v>
      </c>
      <c r="B25" s="52"/>
      <c r="C25" s="53">
        <f t="shared" si="0"/>
        <v>0</v>
      </c>
      <c r="D25" s="54">
        <v>0</v>
      </c>
      <c r="E25" s="53">
        <f t="shared" si="1"/>
        <v>0</v>
      </c>
      <c r="F25" s="54"/>
      <c r="G25" s="53">
        <f t="shared" si="2"/>
        <v>0</v>
      </c>
      <c r="H25" s="54">
        <v>0</v>
      </c>
      <c r="I25" s="53">
        <f t="shared" si="3"/>
        <v>0</v>
      </c>
      <c r="J25" s="54">
        <v>0</v>
      </c>
      <c r="K25" s="55">
        <f t="shared" si="4"/>
        <v>0</v>
      </c>
      <c r="L25" s="52"/>
      <c r="M25" s="53">
        <f t="shared" si="5"/>
        <v>0</v>
      </c>
      <c r="N25" s="54">
        <v>0</v>
      </c>
      <c r="O25" s="53">
        <f t="shared" si="6"/>
        <v>0</v>
      </c>
      <c r="P25" s="54"/>
      <c r="Q25" s="53">
        <f t="shared" si="7"/>
        <v>0</v>
      </c>
      <c r="R25" s="54">
        <v>0</v>
      </c>
      <c r="S25" s="53">
        <f t="shared" si="8"/>
        <v>0</v>
      </c>
      <c r="T25" s="54">
        <v>0</v>
      </c>
      <c r="U25" s="55">
        <f t="shared" si="9"/>
        <v>0</v>
      </c>
      <c r="V25" s="52"/>
      <c r="W25" s="53">
        <f t="shared" si="10"/>
        <v>0</v>
      </c>
      <c r="X25" s="54">
        <v>0</v>
      </c>
      <c r="Y25" s="53">
        <f t="shared" si="11"/>
        <v>0</v>
      </c>
      <c r="Z25" s="54"/>
      <c r="AA25" s="53">
        <f t="shared" si="12"/>
        <v>0</v>
      </c>
      <c r="AB25" s="54">
        <v>0</v>
      </c>
      <c r="AC25" s="53">
        <f t="shared" si="13"/>
        <v>0</v>
      </c>
      <c r="AD25" s="54">
        <v>0</v>
      </c>
      <c r="AE25" s="55">
        <f t="shared" si="14"/>
        <v>0</v>
      </c>
      <c r="AF25" s="52"/>
      <c r="AG25" s="53">
        <f t="shared" si="15"/>
        <v>0</v>
      </c>
      <c r="AH25" s="54">
        <v>0</v>
      </c>
      <c r="AI25" s="53">
        <f t="shared" si="16"/>
        <v>0</v>
      </c>
      <c r="AJ25" s="54">
        <v>0</v>
      </c>
      <c r="AK25" s="53">
        <f t="shared" si="17"/>
        <v>0</v>
      </c>
      <c r="AL25" s="54">
        <v>0</v>
      </c>
      <c r="AM25" s="53">
        <f t="shared" si="18"/>
        <v>0</v>
      </c>
      <c r="AN25" s="54">
        <v>0</v>
      </c>
      <c r="AO25" s="55">
        <f t="shared" si="19"/>
        <v>0</v>
      </c>
    </row>
    <row r="26" spans="1:41" x14ac:dyDescent="0.25">
      <c r="A26" s="28" t="s">
        <v>171</v>
      </c>
      <c r="B26" s="52"/>
      <c r="C26" s="53">
        <f t="shared" si="0"/>
        <v>0</v>
      </c>
      <c r="D26" s="54">
        <v>0</v>
      </c>
      <c r="E26" s="53">
        <f t="shared" si="1"/>
        <v>0</v>
      </c>
      <c r="F26" s="54"/>
      <c r="G26" s="53">
        <f t="shared" si="2"/>
        <v>0</v>
      </c>
      <c r="H26" s="54">
        <v>0</v>
      </c>
      <c r="I26" s="53">
        <f t="shared" si="3"/>
        <v>0</v>
      </c>
      <c r="J26" s="54">
        <v>0</v>
      </c>
      <c r="K26" s="55">
        <f t="shared" si="4"/>
        <v>0</v>
      </c>
      <c r="L26" s="52"/>
      <c r="M26" s="53">
        <f t="shared" si="5"/>
        <v>0</v>
      </c>
      <c r="N26" s="54">
        <v>0</v>
      </c>
      <c r="O26" s="53">
        <f t="shared" si="6"/>
        <v>0</v>
      </c>
      <c r="P26" s="54"/>
      <c r="Q26" s="53">
        <f t="shared" si="7"/>
        <v>0</v>
      </c>
      <c r="R26" s="54">
        <v>0</v>
      </c>
      <c r="S26" s="53">
        <f t="shared" si="8"/>
        <v>0</v>
      </c>
      <c r="T26" s="54">
        <v>0</v>
      </c>
      <c r="U26" s="55">
        <f t="shared" si="9"/>
        <v>0</v>
      </c>
      <c r="V26" s="52"/>
      <c r="W26" s="53">
        <f t="shared" si="10"/>
        <v>0</v>
      </c>
      <c r="X26" s="54">
        <v>0</v>
      </c>
      <c r="Y26" s="53">
        <f t="shared" si="11"/>
        <v>0</v>
      </c>
      <c r="Z26" s="54"/>
      <c r="AA26" s="53">
        <f t="shared" si="12"/>
        <v>0</v>
      </c>
      <c r="AB26" s="54">
        <v>0</v>
      </c>
      <c r="AC26" s="53">
        <f t="shared" si="13"/>
        <v>0</v>
      </c>
      <c r="AD26" s="54">
        <v>0</v>
      </c>
      <c r="AE26" s="55">
        <f t="shared" si="14"/>
        <v>0</v>
      </c>
      <c r="AF26" s="52"/>
      <c r="AG26" s="53">
        <f t="shared" si="15"/>
        <v>0</v>
      </c>
      <c r="AH26" s="54">
        <v>0</v>
      </c>
      <c r="AI26" s="53">
        <f t="shared" si="16"/>
        <v>0</v>
      </c>
      <c r="AJ26" s="54">
        <v>0</v>
      </c>
      <c r="AK26" s="53">
        <f t="shared" si="17"/>
        <v>0</v>
      </c>
      <c r="AL26" s="54">
        <v>0</v>
      </c>
      <c r="AM26" s="53">
        <f t="shared" si="18"/>
        <v>0</v>
      </c>
      <c r="AN26" s="54">
        <v>0</v>
      </c>
      <c r="AO26" s="55">
        <f t="shared" si="19"/>
        <v>0</v>
      </c>
    </row>
    <row r="27" spans="1:41" x14ac:dyDescent="0.25">
      <c r="A27" s="28" t="s">
        <v>172</v>
      </c>
      <c r="B27" s="52"/>
      <c r="C27" s="53">
        <f t="shared" si="0"/>
        <v>0</v>
      </c>
      <c r="D27" s="54">
        <v>0</v>
      </c>
      <c r="E27" s="53">
        <f t="shared" si="1"/>
        <v>0</v>
      </c>
      <c r="F27" s="54"/>
      <c r="G27" s="53">
        <f t="shared" si="2"/>
        <v>0</v>
      </c>
      <c r="H27" s="54">
        <v>0</v>
      </c>
      <c r="I27" s="53">
        <f t="shared" si="3"/>
        <v>0</v>
      </c>
      <c r="J27" s="54">
        <v>0</v>
      </c>
      <c r="K27" s="55">
        <f t="shared" si="4"/>
        <v>0</v>
      </c>
      <c r="L27" s="52"/>
      <c r="M27" s="53">
        <f t="shared" si="5"/>
        <v>0</v>
      </c>
      <c r="N27" s="54">
        <v>0</v>
      </c>
      <c r="O27" s="53">
        <f t="shared" si="6"/>
        <v>0</v>
      </c>
      <c r="P27" s="54"/>
      <c r="Q27" s="53">
        <f t="shared" si="7"/>
        <v>0</v>
      </c>
      <c r="R27" s="54">
        <v>0</v>
      </c>
      <c r="S27" s="53">
        <f t="shared" si="8"/>
        <v>0</v>
      </c>
      <c r="T27" s="54">
        <v>0</v>
      </c>
      <c r="U27" s="55">
        <f t="shared" si="9"/>
        <v>0</v>
      </c>
      <c r="V27" s="52"/>
      <c r="W27" s="53">
        <f t="shared" si="10"/>
        <v>0</v>
      </c>
      <c r="X27" s="54">
        <v>0</v>
      </c>
      <c r="Y27" s="53">
        <f t="shared" si="11"/>
        <v>0</v>
      </c>
      <c r="Z27" s="54"/>
      <c r="AA27" s="53">
        <f t="shared" si="12"/>
        <v>0</v>
      </c>
      <c r="AB27" s="54">
        <v>0</v>
      </c>
      <c r="AC27" s="53">
        <f t="shared" si="13"/>
        <v>0</v>
      </c>
      <c r="AD27" s="54">
        <v>0</v>
      </c>
      <c r="AE27" s="55">
        <f t="shared" si="14"/>
        <v>0</v>
      </c>
      <c r="AF27" s="52"/>
      <c r="AG27" s="53">
        <f t="shared" si="15"/>
        <v>0</v>
      </c>
      <c r="AH27" s="54">
        <v>0</v>
      </c>
      <c r="AI27" s="53">
        <f t="shared" si="16"/>
        <v>0</v>
      </c>
      <c r="AJ27" s="54">
        <v>0</v>
      </c>
      <c r="AK27" s="53">
        <f t="shared" si="17"/>
        <v>0</v>
      </c>
      <c r="AL27" s="54">
        <v>0</v>
      </c>
      <c r="AM27" s="53">
        <f t="shared" si="18"/>
        <v>0</v>
      </c>
      <c r="AN27" s="54">
        <v>0</v>
      </c>
      <c r="AO27" s="55">
        <f t="shared" si="19"/>
        <v>0</v>
      </c>
    </row>
    <row r="28" spans="1:41" x14ac:dyDescent="0.25">
      <c r="A28" s="29" t="s">
        <v>78</v>
      </c>
      <c r="B28" s="52"/>
      <c r="C28" s="53">
        <f t="shared" si="0"/>
        <v>0</v>
      </c>
      <c r="D28" s="54">
        <v>7.0138888888888862E-2</v>
      </c>
      <c r="E28" s="53">
        <f t="shared" si="1"/>
        <v>0.18808193668528858</v>
      </c>
      <c r="F28" s="54"/>
      <c r="G28" s="53">
        <f t="shared" si="2"/>
        <v>0</v>
      </c>
      <c r="H28" s="54">
        <v>1.21875</v>
      </c>
      <c r="I28" s="53">
        <f t="shared" si="3"/>
        <v>0.41736028537455405</v>
      </c>
      <c r="J28" s="54">
        <v>1.21875</v>
      </c>
      <c r="K28" s="55">
        <f t="shared" si="4"/>
        <v>0.41736028537455405</v>
      </c>
      <c r="L28" s="52"/>
      <c r="M28" s="53">
        <f t="shared" si="5"/>
        <v>0</v>
      </c>
      <c r="N28" s="54">
        <v>3.472222222222221E-2</v>
      </c>
      <c r="O28" s="53">
        <f t="shared" si="6"/>
        <v>1.9523623584537287E-2</v>
      </c>
      <c r="P28" s="54"/>
      <c r="Q28" s="53">
        <f t="shared" si="7"/>
        <v>0</v>
      </c>
      <c r="R28" s="54">
        <v>0.76875000000000027</v>
      </c>
      <c r="S28" s="53">
        <f t="shared" si="8"/>
        <v>0.13582822085889576</v>
      </c>
      <c r="T28" s="54">
        <v>1.3861111111111111</v>
      </c>
      <c r="U28" s="55">
        <f t="shared" si="9"/>
        <v>0.18636788048552755</v>
      </c>
      <c r="V28" s="52"/>
      <c r="W28" s="53">
        <f t="shared" si="10"/>
        <v>0</v>
      </c>
      <c r="X28" s="54">
        <v>0.24791666666666667</v>
      </c>
      <c r="Y28" s="53">
        <f t="shared" si="11"/>
        <v>9.7727894880919791E-2</v>
      </c>
      <c r="Z28" s="54"/>
      <c r="AA28" s="53">
        <f t="shared" si="12"/>
        <v>0</v>
      </c>
      <c r="AB28" s="54">
        <v>1.0791666666666666</v>
      </c>
      <c r="AC28" s="53">
        <f t="shared" si="13"/>
        <v>0.15994236311239191</v>
      </c>
      <c r="AD28" s="54">
        <v>1.770833333333333</v>
      </c>
      <c r="AE28" s="55">
        <f t="shared" si="14"/>
        <v>0.2039673652215645</v>
      </c>
      <c r="AF28" s="52"/>
      <c r="AG28" s="53">
        <f t="shared" si="15"/>
        <v>0</v>
      </c>
      <c r="AH28" s="54">
        <v>0</v>
      </c>
      <c r="AI28" s="53">
        <f t="shared" si="16"/>
        <v>0</v>
      </c>
      <c r="AJ28" s="54">
        <v>0.3125</v>
      </c>
      <c r="AK28" s="53">
        <f t="shared" si="17"/>
        <v>7.389162561576354E-2</v>
      </c>
      <c r="AL28" s="54">
        <v>1.213888888888889</v>
      </c>
      <c r="AM28" s="53">
        <f t="shared" si="18"/>
        <v>0.21700806952203602</v>
      </c>
      <c r="AN28" s="54">
        <v>1.213888888888889</v>
      </c>
      <c r="AO28" s="55">
        <f t="shared" si="19"/>
        <v>0.18390320883745395</v>
      </c>
    </row>
    <row r="29" spans="1:41" x14ac:dyDescent="0.25">
      <c r="A29" s="29" t="s">
        <v>79</v>
      </c>
      <c r="B29" s="52"/>
      <c r="C29" s="53">
        <f t="shared" si="0"/>
        <v>0</v>
      </c>
      <c r="D29" s="54">
        <v>0</v>
      </c>
      <c r="E29" s="53">
        <f t="shared" si="1"/>
        <v>0</v>
      </c>
      <c r="F29" s="54"/>
      <c r="G29" s="53">
        <f t="shared" si="2"/>
        <v>0</v>
      </c>
      <c r="H29" s="54">
        <v>1.9444444444444375E-2</v>
      </c>
      <c r="I29" s="53">
        <f t="shared" si="3"/>
        <v>6.658739595719357E-3</v>
      </c>
      <c r="J29" s="54">
        <v>1.9444444444444375E-2</v>
      </c>
      <c r="K29" s="55">
        <f t="shared" si="4"/>
        <v>6.658739595719357E-3</v>
      </c>
      <c r="L29" s="52"/>
      <c r="M29" s="53">
        <f t="shared" si="5"/>
        <v>0</v>
      </c>
      <c r="N29" s="54">
        <v>0</v>
      </c>
      <c r="O29" s="53">
        <f t="shared" si="6"/>
        <v>0</v>
      </c>
      <c r="P29" s="54"/>
      <c r="Q29" s="53">
        <f t="shared" si="7"/>
        <v>0</v>
      </c>
      <c r="R29" s="54">
        <v>0</v>
      </c>
      <c r="S29" s="53">
        <f t="shared" si="8"/>
        <v>0</v>
      </c>
      <c r="T29" s="54">
        <v>0</v>
      </c>
      <c r="U29" s="55">
        <f t="shared" si="9"/>
        <v>0</v>
      </c>
      <c r="V29" s="52"/>
      <c r="W29" s="53">
        <f t="shared" si="10"/>
        <v>0</v>
      </c>
      <c r="X29" s="54">
        <v>0</v>
      </c>
      <c r="Y29" s="53">
        <f t="shared" si="11"/>
        <v>0</v>
      </c>
      <c r="Z29" s="54"/>
      <c r="AA29" s="53">
        <f t="shared" si="12"/>
        <v>0</v>
      </c>
      <c r="AB29" s="54">
        <v>0</v>
      </c>
      <c r="AC29" s="53">
        <f t="shared" si="13"/>
        <v>0</v>
      </c>
      <c r="AD29" s="54">
        <v>0</v>
      </c>
      <c r="AE29" s="55">
        <f t="shared" si="14"/>
        <v>0</v>
      </c>
      <c r="AF29" s="52"/>
      <c r="AG29" s="53">
        <f t="shared" si="15"/>
        <v>0</v>
      </c>
      <c r="AH29" s="54">
        <v>0</v>
      </c>
      <c r="AI29" s="53">
        <f t="shared" si="16"/>
        <v>0</v>
      </c>
      <c r="AJ29" s="54">
        <v>0</v>
      </c>
      <c r="AK29" s="53">
        <f t="shared" si="17"/>
        <v>0</v>
      </c>
      <c r="AL29" s="54">
        <v>0</v>
      </c>
      <c r="AM29" s="53">
        <f t="shared" si="18"/>
        <v>0</v>
      </c>
      <c r="AN29" s="54">
        <v>0</v>
      </c>
      <c r="AO29" s="55">
        <f t="shared" si="19"/>
        <v>0</v>
      </c>
    </row>
    <row r="30" spans="1:41" x14ac:dyDescent="0.25">
      <c r="A30" s="29" t="s">
        <v>80</v>
      </c>
      <c r="B30" s="52"/>
      <c r="C30" s="53">
        <f t="shared" si="0"/>
        <v>0</v>
      </c>
      <c r="D30" s="54">
        <v>0</v>
      </c>
      <c r="E30" s="53">
        <f t="shared" si="1"/>
        <v>0</v>
      </c>
      <c r="F30" s="54"/>
      <c r="G30" s="53">
        <f t="shared" si="2"/>
        <v>0</v>
      </c>
      <c r="H30" s="54">
        <v>0</v>
      </c>
      <c r="I30" s="53">
        <f t="shared" si="3"/>
        <v>0</v>
      </c>
      <c r="J30" s="54">
        <v>0</v>
      </c>
      <c r="K30" s="55">
        <f t="shared" si="4"/>
        <v>0</v>
      </c>
      <c r="L30" s="52"/>
      <c r="M30" s="53">
        <f t="shared" si="5"/>
        <v>0</v>
      </c>
      <c r="N30" s="54">
        <v>0</v>
      </c>
      <c r="O30" s="53">
        <f t="shared" si="6"/>
        <v>0</v>
      </c>
      <c r="P30" s="54"/>
      <c r="Q30" s="53">
        <f t="shared" si="7"/>
        <v>0</v>
      </c>
      <c r="R30" s="54">
        <v>0</v>
      </c>
      <c r="S30" s="53">
        <f t="shared" si="8"/>
        <v>0</v>
      </c>
      <c r="T30" s="54">
        <v>0</v>
      </c>
      <c r="U30" s="55">
        <f t="shared" si="9"/>
        <v>0</v>
      </c>
      <c r="V30" s="52"/>
      <c r="W30" s="53">
        <f t="shared" si="10"/>
        <v>0</v>
      </c>
      <c r="X30" s="54">
        <v>0</v>
      </c>
      <c r="Y30" s="53">
        <f t="shared" si="11"/>
        <v>0</v>
      </c>
      <c r="Z30" s="54"/>
      <c r="AA30" s="53">
        <f t="shared" si="12"/>
        <v>0</v>
      </c>
      <c r="AB30" s="54">
        <v>0</v>
      </c>
      <c r="AC30" s="53">
        <f t="shared" si="13"/>
        <v>0</v>
      </c>
      <c r="AD30" s="54">
        <v>0</v>
      </c>
      <c r="AE30" s="55">
        <f t="shared" si="14"/>
        <v>0</v>
      </c>
      <c r="AF30" s="52"/>
      <c r="AG30" s="53">
        <f t="shared" si="15"/>
        <v>0</v>
      </c>
      <c r="AH30" s="54">
        <v>0</v>
      </c>
      <c r="AI30" s="53">
        <f t="shared" si="16"/>
        <v>0</v>
      </c>
      <c r="AJ30" s="54">
        <v>0</v>
      </c>
      <c r="AK30" s="53">
        <f t="shared" si="17"/>
        <v>0</v>
      </c>
      <c r="AL30" s="54">
        <v>0</v>
      </c>
      <c r="AM30" s="53">
        <f t="shared" si="18"/>
        <v>0</v>
      </c>
      <c r="AN30" s="54">
        <v>0</v>
      </c>
      <c r="AO30" s="55">
        <f t="shared" si="19"/>
        <v>0</v>
      </c>
    </row>
    <row r="31" spans="1:41" x14ac:dyDescent="0.25">
      <c r="A31" s="29" t="s">
        <v>81</v>
      </c>
      <c r="B31" s="52"/>
      <c r="C31" s="53">
        <f t="shared" si="0"/>
        <v>0</v>
      </c>
      <c r="D31" s="54">
        <v>0</v>
      </c>
      <c r="E31" s="53">
        <f t="shared" si="1"/>
        <v>0</v>
      </c>
      <c r="F31" s="54"/>
      <c r="G31" s="53">
        <f t="shared" si="2"/>
        <v>0</v>
      </c>
      <c r="H31" s="54">
        <v>0</v>
      </c>
      <c r="I31" s="53">
        <f t="shared" si="3"/>
        <v>0</v>
      </c>
      <c r="J31" s="54">
        <v>0</v>
      </c>
      <c r="K31" s="55">
        <f t="shared" si="4"/>
        <v>0</v>
      </c>
      <c r="L31" s="52"/>
      <c r="M31" s="53">
        <f t="shared" si="5"/>
        <v>0</v>
      </c>
      <c r="N31" s="54">
        <v>0</v>
      </c>
      <c r="O31" s="53">
        <f t="shared" si="6"/>
        <v>0</v>
      </c>
      <c r="P31" s="54"/>
      <c r="Q31" s="53">
        <f t="shared" si="7"/>
        <v>0</v>
      </c>
      <c r="R31" s="54">
        <v>0</v>
      </c>
      <c r="S31" s="53">
        <f t="shared" si="8"/>
        <v>0</v>
      </c>
      <c r="T31" s="54">
        <v>0</v>
      </c>
      <c r="U31" s="55">
        <f t="shared" si="9"/>
        <v>0</v>
      </c>
      <c r="V31" s="52"/>
      <c r="W31" s="53">
        <f t="shared" si="10"/>
        <v>0</v>
      </c>
      <c r="X31" s="54">
        <v>0</v>
      </c>
      <c r="Y31" s="53">
        <f t="shared" si="11"/>
        <v>0</v>
      </c>
      <c r="Z31" s="54"/>
      <c r="AA31" s="53">
        <f t="shared" si="12"/>
        <v>0</v>
      </c>
      <c r="AB31" s="54">
        <v>0</v>
      </c>
      <c r="AC31" s="53">
        <f t="shared" si="13"/>
        <v>0</v>
      </c>
      <c r="AD31" s="54">
        <v>0</v>
      </c>
      <c r="AE31" s="55">
        <f t="shared" si="14"/>
        <v>0</v>
      </c>
      <c r="AF31" s="52"/>
      <c r="AG31" s="53">
        <f t="shared" si="15"/>
        <v>0</v>
      </c>
      <c r="AH31" s="54">
        <v>0</v>
      </c>
      <c r="AI31" s="53">
        <f t="shared" si="16"/>
        <v>0</v>
      </c>
      <c r="AJ31" s="54">
        <v>0</v>
      </c>
      <c r="AK31" s="53">
        <f t="shared" si="17"/>
        <v>0</v>
      </c>
      <c r="AL31" s="54">
        <v>0</v>
      </c>
      <c r="AM31" s="53">
        <f t="shared" si="18"/>
        <v>0</v>
      </c>
      <c r="AN31" s="54">
        <v>0</v>
      </c>
      <c r="AO31" s="55">
        <f t="shared" si="19"/>
        <v>0</v>
      </c>
    </row>
    <row r="32" spans="1:41" x14ac:dyDescent="0.25">
      <c r="A32" s="29" t="s">
        <v>82</v>
      </c>
      <c r="B32" s="52"/>
      <c r="C32" s="53">
        <f t="shared" si="0"/>
        <v>0</v>
      </c>
      <c r="D32" s="54">
        <v>0</v>
      </c>
      <c r="E32" s="53">
        <f t="shared" si="1"/>
        <v>0</v>
      </c>
      <c r="F32" s="54"/>
      <c r="G32" s="53">
        <f t="shared" si="2"/>
        <v>0</v>
      </c>
      <c r="H32" s="54">
        <v>0</v>
      </c>
      <c r="I32" s="53">
        <f t="shared" si="3"/>
        <v>0</v>
      </c>
      <c r="J32" s="54">
        <v>0</v>
      </c>
      <c r="K32" s="55">
        <f t="shared" si="4"/>
        <v>0</v>
      </c>
      <c r="L32" s="52"/>
      <c r="M32" s="53">
        <f t="shared" si="5"/>
        <v>0</v>
      </c>
      <c r="N32" s="54">
        <v>0</v>
      </c>
      <c r="O32" s="53">
        <f t="shared" si="6"/>
        <v>0</v>
      </c>
      <c r="P32" s="54"/>
      <c r="Q32" s="53">
        <f t="shared" si="7"/>
        <v>0</v>
      </c>
      <c r="R32" s="54">
        <v>0</v>
      </c>
      <c r="S32" s="53">
        <f t="shared" si="8"/>
        <v>0</v>
      </c>
      <c r="T32" s="54">
        <v>0</v>
      </c>
      <c r="U32" s="55">
        <f t="shared" si="9"/>
        <v>0</v>
      </c>
      <c r="V32" s="52"/>
      <c r="W32" s="53">
        <f t="shared" si="10"/>
        <v>0</v>
      </c>
      <c r="X32" s="54">
        <v>0</v>
      </c>
      <c r="Y32" s="53">
        <f t="shared" si="11"/>
        <v>0</v>
      </c>
      <c r="Z32" s="54"/>
      <c r="AA32" s="53">
        <f t="shared" si="12"/>
        <v>0</v>
      </c>
      <c r="AB32" s="54">
        <v>0</v>
      </c>
      <c r="AC32" s="53">
        <f t="shared" si="13"/>
        <v>0</v>
      </c>
      <c r="AD32" s="54">
        <v>0</v>
      </c>
      <c r="AE32" s="55">
        <f t="shared" si="14"/>
        <v>0</v>
      </c>
      <c r="AF32" s="52"/>
      <c r="AG32" s="53">
        <f t="shared" si="15"/>
        <v>0</v>
      </c>
      <c r="AH32" s="54">
        <v>0</v>
      </c>
      <c r="AI32" s="53">
        <f t="shared" si="16"/>
        <v>0</v>
      </c>
      <c r="AJ32" s="54">
        <v>0</v>
      </c>
      <c r="AK32" s="53">
        <f t="shared" si="17"/>
        <v>0</v>
      </c>
      <c r="AL32" s="54">
        <v>0</v>
      </c>
      <c r="AM32" s="53">
        <f t="shared" si="18"/>
        <v>0</v>
      </c>
      <c r="AN32" s="54">
        <v>0</v>
      </c>
      <c r="AO32" s="55">
        <f t="shared" si="19"/>
        <v>0</v>
      </c>
    </row>
    <row r="33" spans="1:41" x14ac:dyDescent="0.25">
      <c r="A33" s="29" t="s">
        <v>83</v>
      </c>
      <c r="B33" s="52"/>
      <c r="C33" s="53">
        <f t="shared" si="0"/>
        <v>0</v>
      </c>
      <c r="D33" s="54">
        <v>0</v>
      </c>
      <c r="E33" s="53">
        <f t="shared" si="1"/>
        <v>0</v>
      </c>
      <c r="F33" s="54"/>
      <c r="G33" s="53">
        <f t="shared" si="2"/>
        <v>0</v>
      </c>
      <c r="H33" s="54">
        <v>0</v>
      </c>
      <c r="I33" s="53">
        <f t="shared" si="3"/>
        <v>0</v>
      </c>
      <c r="J33" s="54">
        <v>0</v>
      </c>
      <c r="K33" s="55">
        <f t="shared" si="4"/>
        <v>0</v>
      </c>
      <c r="L33" s="52"/>
      <c r="M33" s="53">
        <f t="shared" si="5"/>
        <v>0</v>
      </c>
      <c r="N33" s="54">
        <v>3.125E-2</v>
      </c>
      <c r="O33" s="53">
        <f t="shared" si="6"/>
        <v>1.7571261226083566E-2</v>
      </c>
      <c r="P33" s="54"/>
      <c r="Q33" s="53">
        <f t="shared" si="7"/>
        <v>0</v>
      </c>
      <c r="R33" s="54">
        <v>0.15972222222222221</v>
      </c>
      <c r="S33" s="53">
        <f t="shared" si="8"/>
        <v>2.8220858895705518E-2</v>
      </c>
      <c r="T33" s="54">
        <v>0.28611111111111132</v>
      </c>
      <c r="U33" s="55">
        <f t="shared" si="9"/>
        <v>3.8468720821662028E-2</v>
      </c>
      <c r="V33" s="52"/>
      <c r="W33" s="53">
        <f t="shared" si="10"/>
        <v>0</v>
      </c>
      <c r="X33" s="54">
        <v>0</v>
      </c>
      <c r="Y33" s="53">
        <f t="shared" si="11"/>
        <v>0</v>
      </c>
      <c r="Z33" s="54"/>
      <c r="AA33" s="53">
        <f t="shared" si="12"/>
        <v>0</v>
      </c>
      <c r="AB33" s="54">
        <v>0</v>
      </c>
      <c r="AC33" s="53">
        <f t="shared" si="13"/>
        <v>0</v>
      </c>
      <c r="AD33" s="54">
        <v>0</v>
      </c>
      <c r="AE33" s="55">
        <f t="shared" si="14"/>
        <v>0</v>
      </c>
      <c r="AF33" s="52"/>
      <c r="AG33" s="53">
        <f t="shared" si="15"/>
        <v>0</v>
      </c>
      <c r="AH33" s="54">
        <v>0</v>
      </c>
      <c r="AI33" s="53">
        <f t="shared" si="16"/>
        <v>0</v>
      </c>
      <c r="AJ33" s="54">
        <v>0</v>
      </c>
      <c r="AK33" s="53">
        <f t="shared" si="17"/>
        <v>0</v>
      </c>
      <c r="AL33" s="54">
        <v>0</v>
      </c>
      <c r="AM33" s="53">
        <f t="shared" si="18"/>
        <v>0</v>
      </c>
      <c r="AN33" s="54">
        <v>0</v>
      </c>
      <c r="AO33" s="55">
        <f t="shared" si="19"/>
        <v>0</v>
      </c>
    </row>
    <row r="34" spans="1:41" x14ac:dyDescent="0.25">
      <c r="A34" s="29" t="s">
        <v>84</v>
      </c>
      <c r="B34" s="52"/>
      <c r="C34" s="53">
        <f t="shared" si="0"/>
        <v>0</v>
      </c>
      <c r="D34" s="54">
        <v>0</v>
      </c>
      <c r="E34" s="53">
        <f t="shared" si="1"/>
        <v>0</v>
      </c>
      <c r="F34" s="54"/>
      <c r="G34" s="53">
        <f t="shared" si="2"/>
        <v>0</v>
      </c>
      <c r="H34" s="54">
        <v>0</v>
      </c>
      <c r="I34" s="53">
        <f t="shared" si="3"/>
        <v>0</v>
      </c>
      <c r="J34" s="54">
        <v>0</v>
      </c>
      <c r="K34" s="55">
        <f t="shared" si="4"/>
        <v>0</v>
      </c>
      <c r="L34" s="52"/>
      <c r="M34" s="53">
        <f t="shared" si="5"/>
        <v>0</v>
      </c>
      <c r="N34" s="54">
        <v>0</v>
      </c>
      <c r="O34" s="53">
        <f t="shared" si="6"/>
        <v>0</v>
      </c>
      <c r="P34" s="54"/>
      <c r="Q34" s="53">
        <f t="shared" si="7"/>
        <v>0</v>
      </c>
      <c r="R34" s="54">
        <v>0</v>
      </c>
      <c r="S34" s="53">
        <f t="shared" si="8"/>
        <v>0</v>
      </c>
      <c r="T34" s="54">
        <v>0</v>
      </c>
      <c r="U34" s="55">
        <f t="shared" si="9"/>
        <v>0</v>
      </c>
      <c r="V34" s="52"/>
      <c r="W34" s="53">
        <f t="shared" si="10"/>
        <v>0</v>
      </c>
      <c r="X34" s="54">
        <v>0</v>
      </c>
      <c r="Y34" s="53">
        <f t="shared" si="11"/>
        <v>0</v>
      </c>
      <c r="Z34" s="54"/>
      <c r="AA34" s="53">
        <f t="shared" si="12"/>
        <v>0</v>
      </c>
      <c r="AB34" s="54">
        <v>0</v>
      </c>
      <c r="AC34" s="53">
        <f t="shared" si="13"/>
        <v>0</v>
      </c>
      <c r="AD34" s="54">
        <v>0</v>
      </c>
      <c r="AE34" s="55">
        <f t="shared" si="14"/>
        <v>0</v>
      </c>
      <c r="AF34" s="52"/>
      <c r="AG34" s="53">
        <f t="shared" si="15"/>
        <v>0</v>
      </c>
      <c r="AH34" s="54">
        <v>0</v>
      </c>
      <c r="AI34" s="53">
        <f t="shared" si="16"/>
        <v>0</v>
      </c>
      <c r="AJ34" s="54">
        <v>6.944444444444442E-2</v>
      </c>
      <c r="AK34" s="53">
        <f t="shared" si="17"/>
        <v>1.6420361247947449E-2</v>
      </c>
      <c r="AL34" s="54">
        <v>7.2916666666666685E-2</v>
      </c>
      <c r="AM34" s="53">
        <f t="shared" si="18"/>
        <v>1.3035381750465553E-2</v>
      </c>
      <c r="AN34" s="54">
        <v>8.3333333333333426E-2</v>
      </c>
      <c r="AO34" s="55">
        <f t="shared" si="19"/>
        <v>1.2624934245134152E-2</v>
      </c>
    </row>
    <row r="35" spans="1:41" ht="15.75" thickBot="1" x14ac:dyDescent="0.3">
      <c r="A35" s="30" t="s">
        <v>85</v>
      </c>
      <c r="B35" s="52"/>
      <c r="C35" s="53">
        <f t="shared" si="0"/>
        <v>0</v>
      </c>
      <c r="D35" s="54">
        <v>0</v>
      </c>
      <c r="E35" s="53">
        <f t="shared" si="1"/>
        <v>0</v>
      </c>
      <c r="F35" s="54"/>
      <c r="G35" s="53">
        <f t="shared" si="2"/>
        <v>0</v>
      </c>
      <c r="H35" s="54">
        <v>0</v>
      </c>
      <c r="I35" s="53">
        <f t="shared" si="3"/>
        <v>0</v>
      </c>
      <c r="J35" s="54">
        <v>0</v>
      </c>
      <c r="K35" s="55">
        <f t="shared" si="4"/>
        <v>0</v>
      </c>
      <c r="L35" s="52"/>
      <c r="M35" s="53">
        <f t="shared" si="5"/>
        <v>0</v>
      </c>
      <c r="N35" s="54">
        <v>0</v>
      </c>
      <c r="O35" s="53">
        <f t="shared" si="6"/>
        <v>0</v>
      </c>
      <c r="P35" s="54"/>
      <c r="Q35" s="53">
        <f t="shared" si="7"/>
        <v>0</v>
      </c>
      <c r="R35" s="54">
        <v>0</v>
      </c>
      <c r="S35" s="53">
        <f t="shared" si="8"/>
        <v>0</v>
      </c>
      <c r="T35" s="54">
        <v>0</v>
      </c>
      <c r="U35" s="55">
        <f t="shared" si="9"/>
        <v>0</v>
      </c>
      <c r="V35" s="52"/>
      <c r="W35" s="53">
        <f t="shared" si="10"/>
        <v>0</v>
      </c>
      <c r="X35" s="54">
        <v>0</v>
      </c>
      <c r="Y35" s="53">
        <f t="shared" si="11"/>
        <v>0</v>
      </c>
      <c r="Z35" s="54"/>
      <c r="AA35" s="53">
        <f t="shared" si="12"/>
        <v>0</v>
      </c>
      <c r="AB35" s="54">
        <v>0</v>
      </c>
      <c r="AC35" s="53">
        <f t="shared" si="13"/>
        <v>0</v>
      </c>
      <c r="AD35" s="54">
        <v>0</v>
      </c>
      <c r="AE35" s="55">
        <f t="shared" si="14"/>
        <v>0</v>
      </c>
      <c r="AF35" s="52"/>
      <c r="AG35" s="53">
        <f t="shared" si="15"/>
        <v>0</v>
      </c>
      <c r="AH35" s="54">
        <v>0</v>
      </c>
      <c r="AI35" s="53">
        <f t="shared" si="16"/>
        <v>0</v>
      </c>
      <c r="AJ35" s="54">
        <v>0</v>
      </c>
      <c r="AK35" s="53">
        <f t="shared" si="17"/>
        <v>0</v>
      </c>
      <c r="AL35" s="54">
        <v>0</v>
      </c>
      <c r="AM35" s="53">
        <f t="shared" si="18"/>
        <v>0</v>
      </c>
      <c r="AN35" s="54">
        <v>0</v>
      </c>
      <c r="AO35" s="55">
        <f t="shared" si="19"/>
        <v>0</v>
      </c>
    </row>
    <row r="36" spans="1:41" ht="15.75" thickBot="1" x14ac:dyDescent="0.3">
      <c r="A36" s="30" t="s">
        <v>86</v>
      </c>
      <c r="B36" s="56"/>
      <c r="C36" s="57">
        <f t="shared" si="0"/>
        <v>0</v>
      </c>
      <c r="D36" s="58">
        <v>9.6527777777777768E-2</v>
      </c>
      <c r="E36" s="57">
        <f t="shared" si="1"/>
        <v>0.25884543761638734</v>
      </c>
      <c r="F36" s="58"/>
      <c r="G36" s="57">
        <f t="shared" si="2"/>
        <v>0</v>
      </c>
      <c r="H36" s="58">
        <v>0.2284722222222223</v>
      </c>
      <c r="I36" s="57">
        <f t="shared" si="3"/>
        <v>7.8240190249702746E-2</v>
      </c>
      <c r="J36" s="58">
        <v>0.2284722222222223</v>
      </c>
      <c r="K36" s="59">
        <f t="shared" si="4"/>
        <v>7.8240190249702746E-2</v>
      </c>
      <c r="L36" s="56"/>
      <c r="M36" s="57">
        <f t="shared" si="5"/>
        <v>0</v>
      </c>
      <c r="N36" s="58">
        <v>0</v>
      </c>
      <c r="O36" s="57">
        <f t="shared" si="6"/>
        <v>0</v>
      </c>
      <c r="P36" s="58"/>
      <c r="Q36" s="57">
        <f t="shared" si="7"/>
        <v>0</v>
      </c>
      <c r="R36" s="58">
        <v>0</v>
      </c>
      <c r="S36" s="57">
        <f t="shared" si="8"/>
        <v>0</v>
      </c>
      <c r="T36" s="58">
        <v>0</v>
      </c>
      <c r="U36" s="59">
        <f t="shared" si="9"/>
        <v>0</v>
      </c>
      <c r="V36" s="56"/>
      <c r="W36" s="57">
        <f t="shared" si="10"/>
        <v>0</v>
      </c>
      <c r="X36" s="58">
        <v>0</v>
      </c>
      <c r="Y36" s="57">
        <f t="shared" si="11"/>
        <v>0</v>
      </c>
      <c r="Z36" s="58"/>
      <c r="AA36" s="57">
        <f t="shared" si="12"/>
        <v>0</v>
      </c>
      <c r="AB36" s="58">
        <v>4.9305555555555602E-2</v>
      </c>
      <c r="AC36" s="57">
        <f t="shared" si="13"/>
        <v>7.30753396459449E-3</v>
      </c>
      <c r="AD36" s="58">
        <v>4.9305555555555602E-2</v>
      </c>
      <c r="AE36" s="59">
        <f t="shared" si="14"/>
        <v>5.6790913453847432E-3</v>
      </c>
      <c r="AF36" s="56"/>
      <c r="AG36" s="57">
        <f t="shared" si="15"/>
        <v>0</v>
      </c>
      <c r="AH36" s="58">
        <v>1.6597222222222223</v>
      </c>
      <c r="AI36" s="57">
        <f t="shared" si="16"/>
        <v>0.74570982839313571</v>
      </c>
      <c r="AJ36" s="58">
        <v>3.1597222222222228</v>
      </c>
      <c r="AK36" s="57">
        <f t="shared" si="17"/>
        <v>0.74712643678160928</v>
      </c>
      <c r="AL36" s="58">
        <v>3.4826388888888893</v>
      </c>
      <c r="AM36" s="57">
        <f t="shared" si="18"/>
        <v>0.62259466170080702</v>
      </c>
      <c r="AN36" s="58">
        <v>4.4409722222222232</v>
      </c>
      <c r="AO36" s="59">
        <f t="shared" si="19"/>
        <v>0.67280378748027359</v>
      </c>
    </row>
    <row r="37" spans="1:41" x14ac:dyDescent="0.25">
      <c r="B37" s="45">
        <f>SUM(B4:B36)</f>
        <v>0</v>
      </c>
      <c r="D37" s="45">
        <f>SUM(D4:D36)</f>
        <v>0.37291666666666662</v>
      </c>
      <c r="F37" s="45">
        <f>SUM(F4:F36)</f>
        <v>0</v>
      </c>
      <c r="H37" s="45">
        <f>SUM(H4:H36)</f>
        <v>2.9201388888888893</v>
      </c>
      <c r="J37" s="45">
        <f>SUM(J4:J36)</f>
        <v>2.9201388888888893</v>
      </c>
      <c r="L37" s="45">
        <f>SUM(L4:L36)</f>
        <v>0</v>
      </c>
      <c r="N37" s="45">
        <f>SUM(N4:N36)</f>
        <v>1.7784722222222218</v>
      </c>
      <c r="P37" s="45">
        <f>SUM(P4:P36)</f>
        <v>0</v>
      </c>
      <c r="R37" s="45">
        <f>SUM(R4:R36)</f>
        <v>5.6597222222222223</v>
      </c>
      <c r="T37" s="45">
        <f>SUM(T4:T36)</f>
        <v>7.4375</v>
      </c>
      <c r="V37" s="45">
        <f>SUM(V4:V36)</f>
        <v>0</v>
      </c>
      <c r="X37" s="45">
        <f>SUM(X4:X36)</f>
        <v>2.5368055555555555</v>
      </c>
      <c r="Z37" s="45">
        <f>SUM(Z4:Z36)</f>
        <v>0</v>
      </c>
      <c r="AB37" s="45">
        <f>SUM(AB4:AB36)</f>
        <v>6.7472222222222227</v>
      </c>
      <c r="AD37" s="45">
        <f>SUM(AD4:AD36)</f>
        <v>8.6819444444444454</v>
      </c>
      <c r="AF37" s="45">
        <f>SUM(AF4:AF36)</f>
        <v>0</v>
      </c>
      <c r="AH37" s="45">
        <f>SUM(AH4:AH36)</f>
        <v>2.2256944444444446</v>
      </c>
      <c r="AJ37" s="45">
        <f>SUM(AJ4:AJ36)</f>
        <v>4.229166666666667</v>
      </c>
      <c r="AL37" s="45">
        <f>SUM(AL4:AL36)</f>
        <v>5.59375</v>
      </c>
      <c r="AN37" s="45">
        <f>SUM(AN4:AN36)</f>
        <v>6.6006944444444455</v>
      </c>
    </row>
    <row r="38" spans="1:41" x14ac:dyDescent="0.25">
      <c r="D38" s="39">
        <v>64.133333333333297</v>
      </c>
      <c r="H38" s="39">
        <v>148</v>
      </c>
      <c r="J38" s="39">
        <v>199.85</v>
      </c>
      <c r="N38" s="39">
        <v>59.066666666666698</v>
      </c>
      <c r="R38" s="39">
        <v>151.69999999999999</v>
      </c>
      <c r="T38" s="39">
        <v>194.36666666666699</v>
      </c>
      <c r="X38" s="39">
        <v>60.883333333333297</v>
      </c>
      <c r="AB38" s="39">
        <v>162.63333333333301</v>
      </c>
      <c r="AD38" s="39">
        <v>209.066666666667</v>
      </c>
      <c r="AH38" s="39">
        <v>53.4166666666667</v>
      </c>
      <c r="AJ38" s="39">
        <v>101.5</v>
      </c>
      <c r="AL38" s="39">
        <v>134.25</v>
      </c>
      <c r="AN38" s="39">
        <v>158.416666666667</v>
      </c>
    </row>
    <row r="39" spans="1:41" x14ac:dyDescent="0.25">
      <c r="D39" s="39">
        <v>8.9499999999999993</v>
      </c>
      <c r="H39" s="39">
        <v>70.0833333333333</v>
      </c>
      <c r="J39" s="39">
        <v>70.0833333333333</v>
      </c>
      <c r="N39" s="39">
        <v>42.683333333333302</v>
      </c>
      <c r="R39" s="39">
        <v>135.833333333333</v>
      </c>
      <c r="T39" s="39">
        <v>178.5</v>
      </c>
      <c r="X39" s="39">
        <v>60.883333333333297</v>
      </c>
      <c r="AB39" s="39">
        <v>161.933333333333</v>
      </c>
      <c r="AD39" s="39">
        <v>208.36666666666699</v>
      </c>
      <c r="AH39" s="39">
        <v>53.4166666666667</v>
      </c>
      <c r="AJ39" s="39">
        <v>101.5</v>
      </c>
      <c r="AL39" s="39">
        <v>134.25</v>
      </c>
      <c r="AN39" s="39">
        <v>158.416666666667</v>
      </c>
    </row>
  </sheetData>
  <mergeCells count="24">
    <mergeCell ref="V2:W2"/>
    <mergeCell ref="B1:K1"/>
    <mergeCell ref="L1:U1"/>
    <mergeCell ref="V1:AE1"/>
    <mergeCell ref="AF1:AO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AJ2:AK2"/>
    <mergeCell ref="AL2:AM2"/>
    <mergeCell ref="AN2:AO2"/>
    <mergeCell ref="X2:Y2"/>
    <mergeCell ref="Z2:AA2"/>
    <mergeCell ref="AB2:AC2"/>
    <mergeCell ref="AD2:AE2"/>
    <mergeCell ref="AF2:AG2"/>
    <mergeCell ref="AH2:AI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O39"/>
  <sheetViews>
    <sheetView zoomScale="30" zoomScaleNormal="30" workbookViewId="0">
      <selection activeCell="B2" sqref="B2:DB2"/>
    </sheetView>
  </sheetViews>
  <sheetFormatPr defaultRowHeight="15" x14ac:dyDescent="0.25"/>
  <cols>
    <col min="1" max="1" width="34.28515625" style="39" bestFit="1" customWidth="1"/>
    <col min="2" max="16384" width="9.140625" style="39"/>
  </cols>
  <sheetData>
    <row r="1" spans="1:41" ht="15.75" customHeight="1" thickBot="1" x14ac:dyDescent="0.3">
      <c r="B1" s="72" t="s">
        <v>17</v>
      </c>
      <c r="C1" s="67"/>
      <c r="D1" s="67"/>
      <c r="E1" s="67"/>
      <c r="F1" s="67"/>
      <c r="G1" s="67"/>
      <c r="H1" s="67"/>
      <c r="I1" s="67"/>
      <c r="J1" s="67"/>
      <c r="K1" s="68"/>
      <c r="L1" s="72" t="s">
        <v>21</v>
      </c>
      <c r="M1" s="67"/>
      <c r="N1" s="67"/>
      <c r="O1" s="67"/>
      <c r="P1" s="67"/>
      <c r="Q1" s="67"/>
      <c r="R1" s="67"/>
      <c r="S1" s="67"/>
      <c r="T1" s="67"/>
      <c r="U1" s="68"/>
      <c r="V1" s="72" t="s">
        <v>27</v>
      </c>
      <c r="W1" s="67"/>
      <c r="X1" s="67"/>
      <c r="Y1" s="67"/>
      <c r="Z1" s="67"/>
      <c r="AA1" s="67"/>
      <c r="AB1" s="67"/>
      <c r="AC1" s="67"/>
      <c r="AD1" s="67"/>
      <c r="AE1" s="68"/>
      <c r="AF1" s="72" t="s">
        <v>64</v>
      </c>
      <c r="AG1" s="67"/>
      <c r="AH1" s="67"/>
      <c r="AI1" s="67"/>
      <c r="AJ1" s="67"/>
      <c r="AK1" s="67"/>
      <c r="AL1" s="67"/>
      <c r="AM1" s="67"/>
      <c r="AN1" s="67"/>
      <c r="AO1" s="68"/>
    </row>
    <row r="2" spans="1:41" x14ac:dyDescent="0.25">
      <c r="B2" s="64">
        <f ca="1">SunDates!$H1</f>
        <v>43435</v>
      </c>
      <c r="C2" s="65"/>
      <c r="D2" s="64">
        <f ca="1">SunDates!$H2</f>
        <v>43442</v>
      </c>
      <c r="E2" s="65"/>
      <c r="F2" s="64">
        <f ca="1">SunDates!$H3</f>
        <v>43449</v>
      </c>
      <c r="G2" s="65"/>
      <c r="H2" s="64">
        <f ca="1">SunDates!$H4</f>
        <v>43456</v>
      </c>
      <c r="I2" s="65"/>
      <c r="J2" s="64">
        <f ca="1">SunDates!$H5</f>
        <v>43463</v>
      </c>
      <c r="K2" s="65"/>
      <c r="L2" s="64">
        <f ca="1">SunDates!$H1</f>
        <v>43435</v>
      </c>
      <c r="M2" s="65"/>
      <c r="N2" s="64">
        <f ca="1">SunDates!$H2</f>
        <v>43442</v>
      </c>
      <c r="O2" s="65"/>
      <c r="P2" s="64">
        <f ca="1">SunDates!$H3</f>
        <v>43449</v>
      </c>
      <c r="Q2" s="65"/>
      <c r="R2" s="64">
        <f ca="1">SunDates!$H4</f>
        <v>43456</v>
      </c>
      <c r="S2" s="65"/>
      <c r="T2" s="64">
        <f ca="1">SunDates!$H5</f>
        <v>43463</v>
      </c>
      <c r="U2" s="65"/>
      <c r="V2" s="64">
        <f ca="1">SunDates!$H1</f>
        <v>43435</v>
      </c>
      <c r="W2" s="65"/>
      <c r="X2" s="64">
        <f ca="1">SunDates!$H2</f>
        <v>43442</v>
      </c>
      <c r="Y2" s="65"/>
      <c r="Z2" s="64">
        <f ca="1">SunDates!$H3</f>
        <v>43449</v>
      </c>
      <c r="AA2" s="65"/>
      <c r="AB2" s="64">
        <f ca="1">SunDates!$H4</f>
        <v>43456</v>
      </c>
      <c r="AC2" s="65"/>
      <c r="AD2" s="64">
        <f ca="1">SunDates!$H5</f>
        <v>43463</v>
      </c>
      <c r="AE2" s="65"/>
      <c r="AF2" s="64">
        <f ca="1">SunDates!$H1</f>
        <v>43435</v>
      </c>
      <c r="AG2" s="65"/>
      <c r="AH2" s="64">
        <f ca="1">SunDates!$H2</f>
        <v>43442</v>
      </c>
      <c r="AI2" s="65"/>
      <c r="AJ2" s="64">
        <f ca="1">SunDates!$H3</f>
        <v>43449</v>
      </c>
      <c r="AK2" s="65"/>
      <c r="AL2" s="64">
        <f ca="1">SunDates!$H4</f>
        <v>43456</v>
      </c>
      <c r="AM2" s="65"/>
      <c r="AN2" s="64">
        <f ca="1">SunDates!$H5</f>
        <v>43463</v>
      </c>
      <c r="AO2" s="65"/>
    </row>
    <row r="3" spans="1:41" ht="15.75" thickBot="1" x14ac:dyDescent="0.3">
      <c r="B3" s="42" t="s">
        <v>195</v>
      </c>
      <c r="C3" s="43" t="s">
        <v>196</v>
      </c>
      <c r="D3" s="43" t="s">
        <v>195</v>
      </c>
      <c r="E3" s="43" t="s">
        <v>196</v>
      </c>
      <c r="F3" s="43" t="s">
        <v>195</v>
      </c>
      <c r="G3" s="43" t="s">
        <v>196</v>
      </c>
      <c r="H3" s="43" t="s">
        <v>195</v>
      </c>
      <c r="I3" s="43" t="s">
        <v>196</v>
      </c>
      <c r="J3" s="43" t="s">
        <v>195</v>
      </c>
      <c r="K3" s="44" t="s">
        <v>196</v>
      </c>
      <c r="L3" s="42" t="s">
        <v>195</v>
      </c>
      <c r="M3" s="43" t="s">
        <v>196</v>
      </c>
      <c r="N3" s="43" t="s">
        <v>195</v>
      </c>
      <c r="O3" s="43" t="s">
        <v>196</v>
      </c>
      <c r="P3" s="43" t="s">
        <v>195</v>
      </c>
      <c r="Q3" s="43" t="s">
        <v>196</v>
      </c>
      <c r="R3" s="43" t="s">
        <v>195</v>
      </c>
      <c r="S3" s="43" t="s">
        <v>196</v>
      </c>
      <c r="T3" s="43" t="s">
        <v>195</v>
      </c>
      <c r="U3" s="44" t="s">
        <v>196</v>
      </c>
      <c r="V3" s="42" t="s">
        <v>195</v>
      </c>
      <c r="W3" s="43" t="s">
        <v>196</v>
      </c>
      <c r="X3" s="43" t="s">
        <v>195</v>
      </c>
      <c r="Y3" s="43" t="s">
        <v>196</v>
      </c>
      <c r="Z3" s="43" t="s">
        <v>195</v>
      </c>
      <c r="AA3" s="43" t="s">
        <v>196</v>
      </c>
      <c r="AB3" s="43" t="s">
        <v>195</v>
      </c>
      <c r="AC3" s="43" t="s">
        <v>196</v>
      </c>
      <c r="AD3" s="43" t="s">
        <v>195</v>
      </c>
      <c r="AE3" s="44" t="s">
        <v>196</v>
      </c>
      <c r="AF3" s="42" t="s">
        <v>195</v>
      </c>
      <c r="AG3" s="43" t="s">
        <v>196</v>
      </c>
      <c r="AH3" s="43" t="s">
        <v>195</v>
      </c>
      <c r="AI3" s="43" t="s">
        <v>196</v>
      </c>
      <c r="AJ3" s="43" t="s">
        <v>195</v>
      </c>
      <c r="AK3" s="43" t="s">
        <v>196</v>
      </c>
      <c r="AL3" s="43" t="s">
        <v>195</v>
      </c>
      <c r="AM3" s="43" t="s">
        <v>196</v>
      </c>
      <c r="AN3" s="43" t="s">
        <v>195</v>
      </c>
      <c r="AO3" s="44" t="s">
        <v>196</v>
      </c>
    </row>
    <row r="4" spans="1:41" x14ac:dyDescent="0.25">
      <c r="A4" s="27" t="s">
        <v>68</v>
      </c>
      <c r="B4" s="48"/>
      <c r="C4" s="49">
        <f t="shared" ref="C4:C36" si="0">IFERROR(B4/B$37,0%)</f>
        <v>0</v>
      </c>
      <c r="D4" s="50">
        <v>0.36805555555555558</v>
      </c>
      <c r="E4" s="49">
        <f t="shared" ref="E4:E36" si="1">IFERROR(D4/D$37,0%)</f>
        <v>0.17833109017496634</v>
      </c>
      <c r="F4" s="50">
        <v>1.4659722222222227</v>
      </c>
      <c r="G4" s="49">
        <f t="shared" ref="G4:G36" si="2">IFERROR(F4/F$37,0%)</f>
        <v>0.35700997801454426</v>
      </c>
      <c r="H4" s="50">
        <v>1.396527777777778</v>
      </c>
      <c r="I4" s="49">
        <f t="shared" ref="I4:I36" si="3">IFERROR(H4/H$37,0%)</f>
        <v>0.35808404558404566</v>
      </c>
      <c r="J4" s="50">
        <v>1.396527777777778</v>
      </c>
      <c r="K4" s="51">
        <f t="shared" ref="K4:K36" si="4">IFERROR(J4/J$37,0%)</f>
        <v>0.35808404558404566</v>
      </c>
      <c r="L4" s="48"/>
      <c r="M4" s="49">
        <f t="shared" ref="M4:M36" si="5">IFERROR(L4/L$37,0%)</f>
        <v>0</v>
      </c>
      <c r="N4" s="50">
        <v>0</v>
      </c>
      <c r="O4" s="49">
        <f t="shared" ref="O4:O36" si="6">IFERROR(N4/N$37,0%)</f>
        <v>0</v>
      </c>
      <c r="P4" s="50"/>
      <c r="Q4" s="49">
        <f t="shared" ref="Q4:Q36" si="7">IFERROR(P4/P$37,0%)</f>
        <v>0</v>
      </c>
      <c r="R4" s="50">
        <v>0</v>
      </c>
      <c r="S4" s="49">
        <f t="shared" ref="S4:S36" si="8">IFERROR(R4/R$37,0%)</f>
        <v>0</v>
      </c>
      <c r="T4" s="50">
        <v>0</v>
      </c>
      <c r="U4" s="51">
        <f t="shared" ref="U4:U36" si="9">IFERROR(T4/T$37,0%)</f>
        <v>0</v>
      </c>
      <c r="V4" s="48"/>
      <c r="W4" s="49">
        <f t="shared" ref="W4:W36" si="10">IFERROR(V4/V$37,0%)</f>
        <v>0</v>
      </c>
      <c r="X4" s="50">
        <v>1.5916666666666672</v>
      </c>
      <c r="Y4" s="49">
        <f t="shared" ref="Y4:Y36" si="11">IFERROR(X4/X$37,0%)</f>
        <v>0.52364633310486641</v>
      </c>
      <c r="Z4" s="50">
        <v>1.4951388888888895</v>
      </c>
      <c r="AA4" s="49">
        <f t="shared" ref="AA4:AA36" si="12">IFERROR(Z4/Z$37,0%)</f>
        <v>0.3600936611473492</v>
      </c>
      <c r="AB4" s="50">
        <v>1.9083333333333339</v>
      </c>
      <c r="AC4" s="49">
        <f t="shared" ref="AC4:AC36" si="13">IFERROR(AB4/AB$37,0%)</f>
        <v>0.35221738015893372</v>
      </c>
      <c r="AD4" s="50">
        <v>2.3423611111111118</v>
      </c>
      <c r="AE4" s="51">
        <f t="shared" ref="AE4:AE36" si="14">IFERROR(AD4/AD$37,0%)</f>
        <v>0.34555885667452124</v>
      </c>
      <c r="AF4" s="48"/>
      <c r="AG4" s="49">
        <f t="shared" ref="AG4:AG36" si="15">IFERROR(AF4/AF$37,0%)</f>
        <v>0</v>
      </c>
      <c r="AH4" s="50">
        <v>0.82291666666666696</v>
      </c>
      <c r="AI4" s="49">
        <f t="shared" ref="AI4:AI36" si="16">IFERROR(AH4/AH$37,0%)</f>
        <v>0.59547738693467345</v>
      </c>
      <c r="AJ4" s="50"/>
      <c r="AK4" s="49">
        <f t="shared" ref="AK4:AK36" si="17">IFERROR(AJ4/AJ$37,0%)</f>
        <v>0</v>
      </c>
      <c r="AL4" s="50">
        <v>3.5659722222222223</v>
      </c>
      <c r="AM4" s="49">
        <f t="shared" ref="AM4:AM36" si="18">IFERROR(AL4/AL$37,0%)</f>
        <v>0.69978195693649492</v>
      </c>
      <c r="AN4" s="50">
        <v>4.8611111111111116</v>
      </c>
      <c r="AO4" s="51">
        <f t="shared" ref="AO4:AO36" si="19">IFERROR(AN4/AN$37,0%)</f>
        <v>0.71567324404457622</v>
      </c>
    </row>
    <row r="5" spans="1:41" x14ac:dyDescent="0.25">
      <c r="A5" s="28" t="s">
        <v>69</v>
      </c>
      <c r="B5" s="52"/>
      <c r="C5" s="53">
        <f t="shared" si="0"/>
        <v>0</v>
      </c>
      <c r="D5" s="54">
        <v>0</v>
      </c>
      <c r="E5" s="53">
        <f t="shared" si="1"/>
        <v>0</v>
      </c>
      <c r="F5" s="54">
        <v>6.9444444444444337E-3</v>
      </c>
      <c r="G5" s="53">
        <f t="shared" si="2"/>
        <v>1.6911889058007748E-3</v>
      </c>
      <c r="H5" s="54">
        <v>1.0416666666666657E-2</v>
      </c>
      <c r="I5" s="53">
        <f t="shared" si="3"/>
        <v>2.6709401709401688E-3</v>
      </c>
      <c r="J5" s="54">
        <v>1.0416666666666657E-2</v>
      </c>
      <c r="K5" s="55">
        <f t="shared" si="4"/>
        <v>2.6709401709401688E-3</v>
      </c>
      <c r="L5" s="52"/>
      <c r="M5" s="53">
        <f t="shared" si="5"/>
        <v>0</v>
      </c>
      <c r="N5" s="54">
        <v>0</v>
      </c>
      <c r="O5" s="53">
        <f t="shared" si="6"/>
        <v>0</v>
      </c>
      <c r="P5" s="54"/>
      <c r="Q5" s="53">
        <f t="shared" si="7"/>
        <v>0</v>
      </c>
      <c r="R5" s="54">
        <v>0</v>
      </c>
      <c r="S5" s="53">
        <f t="shared" si="8"/>
        <v>0</v>
      </c>
      <c r="T5" s="54">
        <v>0.35069444444444448</v>
      </c>
      <c r="U5" s="55">
        <f t="shared" si="9"/>
        <v>6.032732051128898E-2</v>
      </c>
      <c r="V5" s="52"/>
      <c r="W5" s="53">
        <f t="shared" si="10"/>
        <v>0</v>
      </c>
      <c r="X5" s="54">
        <v>0</v>
      </c>
      <c r="Y5" s="53">
        <f t="shared" si="11"/>
        <v>0</v>
      </c>
      <c r="Z5" s="54">
        <v>9.7222222222222293E-3</v>
      </c>
      <c r="AA5" s="53">
        <f t="shared" si="12"/>
        <v>2.3415286837263774E-3</v>
      </c>
      <c r="AB5" s="54">
        <v>2.986111111111113E-2</v>
      </c>
      <c r="AC5" s="53">
        <f t="shared" si="13"/>
        <v>5.5114073314534769E-3</v>
      </c>
      <c r="AD5" s="54">
        <v>2.986111111111113E-2</v>
      </c>
      <c r="AE5" s="55">
        <f t="shared" si="14"/>
        <v>4.4052863436123387E-3</v>
      </c>
      <c r="AF5" s="52"/>
      <c r="AG5" s="53">
        <f t="shared" si="15"/>
        <v>0</v>
      </c>
      <c r="AH5" s="54">
        <v>1.8750000000000044E-2</v>
      </c>
      <c r="AI5" s="53">
        <f t="shared" si="16"/>
        <v>1.356783919597993E-2</v>
      </c>
      <c r="AJ5" s="54"/>
      <c r="AK5" s="53">
        <f t="shared" si="17"/>
        <v>0</v>
      </c>
      <c r="AL5" s="54">
        <v>6.4583333333333465E-2</v>
      </c>
      <c r="AM5" s="53">
        <f t="shared" si="18"/>
        <v>1.2673753066230604E-2</v>
      </c>
      <c r="AN5" s="54">
        <v>9.7222222222222376E-2</v>
      </c>
      <c r="AO5" s="55">
        <f t="shared" si="19"/>
        <v>1.4313464880891545E-2</v>
      </c>
    </row>
    <row r="6" spans="1:41" x14ac:dyDescent="0.25">
      <c r="A6" s="28" t="s">
        <v>70</v>
      </c>
      <c r="B6" s="52"/>
      <c r="C6" s="53">
        <f t="shared" si="0"/>
        <v>0</v>
      </c>
      <c r="D6" s="54">
        <v>0</v>
      </c>
      <c r="E6" s="53">
        <f t="shared" si="1"/>
        <v>0</v>
      </c>
      <c r="F6" s="54">
        <v>0</v>
      </c>
      <c r="G6" s="53">
        <f t="shared" si="2"/>
        <v>0</v>
      </c>
      <c r="H6" s="54">
        <v>0</v>
      </c>
      <c r="I6" s="53">
        <f t="shared" si="3"/>
        <v>0</v>
      </c>
      <c r="J6" s="54">
        <v>0</v>
      </c>
      <c r="K6" s="55">
        <f t="shared" si="4"/>
        <v>0</v>
      </c>
      <c r="L6" s="52"/>
      <c r="M6" s="53">
        <f t="shared" si="5"/>
        <v>0</v>
      </c>
      <c r="N6" s="54">
        <v>0</v>
      </c>
      <c r="O6" s="53">
        <f t="shared" si="6"/>
        <v>0</v>
      </c>
      <c r="P6" s="54"/>
      <c r="Q6" s="53">
        <f t="shared" si="7"/>
        <v>0</v>
      </c>
      <c r="R6" s="54">
        <v>0</v>
      </c>
      <c r="S6" s="53">
        <f t="shared" si="8"/>
        <v>0</v>
      </c>
      <c r="T6" s="54">
        <v>0</v>
      </c>
      <c r="U6" s="55">
        <f t="shared" si="9"/>
        <v>0</v>
      </c>
      <c r="V6" s="52"/>
      <c r="W6" s="53">
        <f t="shared" si="10"/>
        <v>0</v>
      </c>
      <c r="X6" s="54">
        <v>0</v>
      </c>
      <c r="Y6" s="53">
        <f t="shared" si="11"/>
        <v>0</v>
      </c>
      <c r="Z6" s="54">
        <v>0</v>
      </c>
      <c r="AA6" s="53">
        <f t="shared" si="12"/>
        <v>0</v>
      </c>
      <c r="AB6" s="54">
        <v>0</v>
      </c>
      <c r="AC6" s="53">
        <f t="shared" si="13"/>
        <v>0</v>
      </c>
      <c r="AD6" s="54">
        <v>0</v>
      </c>
      <c r="AE6" s="55">
        <f t="shared" si="14"/>
        <v>0</v>
      </c>
      <c r="AF6" s="52"/>
      <c r="AG6" s="53">
        <f t="shared" si="15"/>
        <v>0</v>
      </c>
      <c r="AH6" s="54">
        <v>0</v>
      </c>
      <c r="AI6" s="53">
        <f t="shared" si="16"/>
        <v>0</v>
      </c>
      <c r="AJ6" s="54"/>
      <c r="AK6" s="53">
        <f t="shared" si="17"/>
        <v>0</v>
      </c>
      <c r="AL6" s="54">
        <v>0</v>
      </c>
      <c r="AM6" s="53">
        <f t="shared" si="18"/>
        <v>0</v>
      </c>
      <c r="AN6" s="54">
        <v>0</v>
      </c>
      <c r="AO6" s="55">
        <f t="shared" si="19"/>
        <v>0</v>
      </c>
    </row>
    <row r="7" spans="1:41" x14ac:dyDescent="0.25">
      <c r="A7" s="28" t="s">
        <v>71</v>
      </c>
      <c r="B7" s="52"/>
      <c r="C7" s="53">
        <f t="shared" si="0"/>
        <v>0</v>
      </c>
      <c r="D7" s="54">
        <v>0</v>
      </c>
      <c r="E7" s="53">
        <f t="shared" si="1"/>
        <v>0</v>
      </c>
      <c r="F7" s="54">
        <v>0</v>
      </c>
      <c r="G7" s="53">
        <f t="shared" si="2"/>
        <v>0</v>
      </c>
      <c r="H7" s="54">
        <v>0</v>
      </c>
      <c r="I7" s="53">
        <f t="shared" si="3"/>
        <v>0</v>
      </c>
      <c r="J7" s="54">
        <v>0</v>
      </c>
      <c r="K7" s="55">
        <f t="shared" si="4"/>
        <v>0</v>
      </c>
      <c r="L7" s="52"/>
      <c r="M7" s="53">
        <f t="shared" si="5"/>
        <v>0</v>
      </c>
      <c r="N7" s="54">
        <v>0</v>
      </c>
      <c r="O7" s="53">
        <f t="shared" si="6"/>
        <v>0</v>
      </c>
      <c r="P7" s="54"/>
      <c r="Q7" s="53">
        <f t="shared" si="7"/>
        <v>0</v>
      </c>
      <c r="R7" s="54">
        <v>0</v>
      </c>
      <c r="S7" s="53">
        <f t="shared" si="8"/>
        <v>0</v>
      </c>
      <c r="T7" s="54">
        <v>4.1666666666666685E-2</v>
      </c>
      <c r="U7" s="55">
        <f t="shared" si="9"/>
        <v>7.1676024369848323E-3</v>
      </c>
      <c r="V7" s="52"/>
      <c r="W7" s="53">
        <f t="shared" si="10"/>
        <v>0</v>
      </c>
      <c r="X7" s="54">
        <v>0</v>
      </c>
      <c r="Y7" s="53">
        <f t="shared" si="11"/>
        <v>0</v>
      </c>
      <c r="Z7" s="54">
        <v>0</v>
      </c>
      <c r="AA7" s="53">
        <f t="shared" si="12"/>
        <v>0</v>
      </c>
      <c r="AB7" s="54">
        <v>0</v>
      </c>
      <c r="AC7" s="53">
        <f t="shared" si="13"/>
        <v>0</v>
      </c>
      <c r="AD7" s="54">
        <v>0</v>
      </c>
      <c r="AE7" s="55">
        <f t="shared" si="14"/>
        <v>0</v>
      </c>
      <c r="AF7" s="52"/>
      <c r="AG7" s="53">
        <f t="shared" si="15"/>
        <v>0</v>
      </c>
      <c r="AH7" s="54">
        <v>0</v>
      </c>
      <c r="AI7" s="53">
        <f t="shared" si="16"/>
        <v>0</v>
      </c>
      <c r="AJ7" s="54"/>
      <c r="AK7" s="53">
        <f t="shared" si="17"/>
        <v>0</v>
      </c>
      <c r="AL7" s="54">
        <v>0</v>
      </c>
      <c r="AM7" s="53">
        <f t="shared" si="18"/>
        <v>0</v>
      </c>
      <c r="AN7" s="54">
        <v>0</v>
      </c>
      <c r="AO7" s="55">
        <f t="shared" si="19"/>
        <v>0</v>
      </c>
    </row>
    <row r="8" spans="1:41" x14ac:dyDescent="0.25">
      <c r="A8" s="28" t="s">
        <v>72</v>
      </c>
      <c r="B8" s="52"/>
      <c r="C8" s="53">
        <f t="shared" si="0"/>
        <v>0</v>
      </c>
      <c r="D8" s="54">
        <v>0</v>
      </c>
      <c r="E8" s="53">
        <f t="shared" si="1"/>
        <v>0</v>
      </c>
      <c r="F8" s="54">
        <v>0</v>
      </c>
      <c r="G8" s="53">
        <f t="shared" si="2"/>
        <v>0</v>
      </c>
      <c r="H8" s="54">
        <v>0</v>
      </c>
      <c r="I8" s="53">
        <f t="shared" si="3"/>
        <v>0</v>
      </c>
      <c r="J8" s="54">
        <v>0</v>
      </c>
      <c r="K8" s="55">
        <f t="shared" si="4"/>
        <v>0</v>
      </c>
      <c r="L8" s="52"/>
      <c r="M8" s="53">
        <f t="shared" si="5"/>
        <v>0</v>
      </c>
      <c r="N8" s="54">
        <v>0.33611111111111114</v>
      </c>
      <c r="O8" s="53">
        <f t="shared" si="6"/>
        <v>0.23091603053435117</v>
      </c>
      <c r="P8" s="54"/>
      <c r="Q8" s="53">
        <f t="shared" si="7"/>
        <v>0</v>
      </c>
      <c r="R8" s="54">
        <v>0.4784722222222223</v>
      </c>
      <c r="S8" s="53">
        <f t="shared" si="8"/>
        <v>0.17003948667324781</v>
      </c>
      <c r="T8" s="54">
        <v>1.0874999999999999</v>
      </c>
      <c r="U8" s="55">
        <f t="shared" si="9"/>
        <v>0.18707442360530402</v>
      </c>
      <c r="V8" s="52"/>
      <c r="W8" s="53">
        <f t="shared" si="10"/>
        <v>0</v>
      </c>
      <c r="X8" s="54">
        <v>0</v>
      </c>
      <c r="Y8" s="53">
        <f t="shared" si="11"/>
        <v>0</v>
      </c>
      <c r="Z8" s="54">
        <v>0</v>
      </c>
      <c r="AA8" s="53">
        <f t="shared" si="12"/>
        <v>0</v>
      </c>
      <c r="AB8" s="54">
        <v>0</v>
      </c>
      <c r="AC8" s="53">
        <f t="shared" si="13"/>
        <v>0</v>
      </c>
      <c r="AD8" s="54">
        <v>0</v>
      </c>
      <c r="AE8" s="55">
        <f t="shared" si="14"/>
        <v>0</v>
      </c>
      <c r="AF8" s="52"/>
      <c r="AG8" s="53">
        <f t="shared" si="15"/>
        <v>0</v>
      </c>
      <c r="AH8" s="54">
        <v>0</v>
      </c>
      <c r="AI8" s="53">
        <f t="shared" si="16"/>
        <v>0</v>
      </c>
      <c r="AJ8" s="54"/>
      <c r="AK8" s="53">
        <f t="shared" si="17"/>
        <v>0</v>
      </c>
      <c r="AL8" s="54">
        <v>0</v>
      </c>
      <c r="AM8" s="53">
        <f t="shared" si="18"/>
        <v>0</v>
      </c>
      <c r="AN8" s="54">
        <v>0</v>
      </c>
      <c r="AO8" s="55">
        <f t="shared" si="19"/>
        <v>0</v>
      </c>
    </row>
    <row r="9" spans="1:41" x14ac:dyDescent="0.25">
      <c r="A9" s="28" t="s">
        <v>73</v>
      </c>
      <c r="B9" s="52"/>
      <c r="C9" s="53">
        <f t="shared" si="0"/>
        <v>0</v>
      </c>
      <c r="D9" s="54">
        <v>0</v>
      </c>
      <c r="E9" s="53">
        <f t="shared" si="1"/>
        <v>0</v>
      </c>
      <c r="F9" s="54">
        <v>0</v>
      </c>
      <c r="G9" s="53">
        <f t="shared" si="2"/>
        <v>0</v>
      </c>
      <c r="H9" s="54">
        <v>0</v>
      </c>
      <c r="I9" s="53">
        <f t="shared" si="3"/>
        <v>0</v>
      </c>
      <c r="J9" s="54">
        <v>0</v>
      </c>
      <c r="K9" s="55">
        <f t="shared" si="4"/>
        <v>0</v>
      </c>
      <c r="L9" s="52"/>
      <c r="M9" s="53">
        <f t="shared" si="5"/>
        <v>0</v>
      </c>
      <c r="N9" s="54">
        <v>0.4513888888888889</v>
      </c>
      <c r="O9" s="53">
        <f t="shared" si="6"/>
        <v>0.3101145038167939</v>
      </c>
      <c r="P9" s="54"/>
      <c r="Q9" s="53">
        <f t="shared" si="7"/>
        <v>0</v>
      </c>
      <c r="R9" s="54">
        <v>0.90902777777777799</v>
      </c>
      <c r="S9" s="53">
        <f t="shared" si="8"/>
        <v>0.32305034550839101</v>
      </c>
      <c r="T9" s="54">
        <v>1.4555555555555557</v>
      </c>
      <c r="U9" s="55">
        <f t="shared" si="9"/>
        <v>0.25038824513200336</v>
      </c>
      <c r="V9" s="52"/>
      <c r="W9" s="53">
        <f t="shared" si="10"/>
        <v>0</v>
      </c>
      <c r="X9" s="54">
        <v>0</v>
      </c>
      <c r="Y9" s="53">
        <f t="shared" si="11"/>
        <v>0</v>
      </c>
      <c r="Z9" s="54">
        <v>0</v>
      </c>
      <c r="AA9" s="53">
        <f t="shared" si="12"/>
        <v>0</v>
      </c>
      <c r="AB9" s="54">
        <v>0</v>
      </c>
      <c r="AC9" s="53">
        <f t="shared" si="13"/>
        <v>0</v>
      </c>
      <c r="AD9" s="54">
        <v>0</v>
      </c>
      <c r="AE9" s="55">
        <f t="shared" si="14"/>
        <v>0</v>
      </c>
      <c r="AF9" s="52"/>
      <c r="AG9" s="53">
        <f t="shared" si="15"/>
        <v>0</v>
      </c>
      <c r="AH9" s="54">
        <v>0</v>
      </c>
      <c r="AI9" s="53">
        <f t="shared" si="16"/>
        <v>0</v>
      </c>
      <c r="AJ9" s="54"/>
      <c r="AK9" s="53">
        <f t="shared" si="17"/>
        <v>0</v>
      </c>
      <c r="AL9" s="54">
        <v>0</v>
      </c>
      <c r="AM9" s="53">
        <f t="shared" si="18"/>
        <v>0</v>
      </c>
      <c r="AN9" s="54">
        <v>0</v>
      </c>
      <c r="AO9" s="55">
        <f t="shared" si="19"/>
        <v>0</v>
      </c>
    </row>
    <row r="10" spans="1:41" x14ac:dyDescent="0.25">
      <c r="A10" s="28" t="s">
        <v>74</v>
      </c>
      <c r="B10" s="52"/>
      <c r="C10" s="53">
        <f t="shared" si="0"/>
        <v>0</v>
      </c>
      <c r="D10" s="54">
        <v>1.5277777777777501E-2</v>
      </c>
      <c r="E10" s="53">
        <f t="shared" si="1"/>
        <v>7.4024226110362048E-3</v>
      </c>
      <c r="F10" s="54">
        <v>2.9861111111110894E-2</v>
      </c>
      <c r="G10" s="53">
        <f t="shared" si="2"/>
        <v>7.2721122949432901E-3</v>
      </c>
      <c r="H10" s="54">
        <v>2.8472222222222121E-2</v>
      </c>
      <c r="I10" s="53">
        <f t="shared" si="3"/>
        <v>7.3005698005697752E-3</v>
      </c>
      <c r="J10" s="54">
        <v>2.8472222222222121E-2</v>
      </c>
      <c r="K10" s="55">
        <f t="shared" si="4"/>
        <v>7.3005698005697752E-3</v>
      </c>
      <c r="L10" s="52"/>
      <c r="M10" s="53">
        <f t="shared" si="5"/>
        <v>0</v>
      </c>
      <c r="N10" s="54">
        <v>6.2499999999999778E-3</v>
      </c>
      <c r="O10" s="53">
        <f t="shared" si="6"/>
        <v>4.293893129770977E-3</v>
      </c>
      <c r="P10" s="54"/>
      <c r="Q10" s="53">
        <f t="shared" si="7"/>
        <v>0</v>
      </c>
      <c r="R10" s="54">
        <v>2.4999999999999911E-2</v>
      </c>
      <c r="S10" s="53">
        <f t="shared" si="8"/>
        <v>8.8845014807502152E-3</v>
      </c>
      <c r="T10" s="54">
        <v>5.9027777777777568E-2</v>
      </c>
      <c r="U10" s="55">
        <f t="shared" si="9"/>
        <v>1.0154103452395138E-2</v>
      </c>
      <c r="V10" s="52"/>
      <c r="W10" s="53">
        <f t="shared" si="10"/>
        <v>0</v>
      </c>
      <c r="X10" s="54">
        <v>1.5972222222221943E-2</v>
      </c>
      <c r="Y10" s="53">
        <f t="shared" si="11"/>
        <v>5.2547406899702068E-3</v>
      </c>
      <c r="Z10" s="54">
        <v>2.7777777777778012E-2</v>
      </c>
      <c r="AA10" s="53">
        <f t="shared" si="12"/>
        <v>6.6900819535039863E-3</v>
      </c>
      <c r="AB10" s="54">
        <v>3.5416666666666874E-2</v>
      </c>
      <c r="AC10" s="53">
        <f t="shared" si="13"/>
        <v>6.5367854396309027E-3</v>
      </c>
      <c r="AD10" s="54">
        <v>4.5138888888889062E-2</v>
      </c>
      <c r="AE10" s="55">
        <f t="shared" si="14"/>
        <v>6.6591537752279748E-3</v>
      </c>
      <c r="AF10" s="52"/>
      <c r="AG10" s="53">
        <f t="shared" si="15"/>
        <v>0</v>
      </c>
      <c r="AH10" s="54">
        <v>0</v>
      </c>
      <c r="AI10" s="53">
        <f t="shared" si="16"/>
        <v>0</v>
      </c>
      <c r="AJ10" s="54"/>
      <c r="AK10" s="53">
        <f t="shared" si="17"/>
        <v>0</v>
      </c>
      <c r="AL10" s="54">
        <v>0</v>
      </c>
      <c r="AM10" s="53">
        <f t="shared" si="18"/>
        <v>0</v>
      </c>
      <c r="AN10" s="54">
        <v>0</v>
      </c>
      <c r="AO10" s="55">
        <f t="shared" si="19"/>
        <v>0</v>
      </c>
    </row>
    <row r="11" spans="1:41" x14ac:dyDescent="0.25">
      <c r="A11" s="28" t="s">
        <v>75</v>
      </c>
      <c r="B11" s="52"/>
      <c r="C11" s="53">
        <f t="shared" si="0"/>
        <v>0</v>
      </c>
      <c r="D11" s="54">
        <v>0</v>
      </c>
      <c r="E11" s="53">
        <f t="shared" si="1"/>
        <v>0</v>
      </c>
      <c r="F11" s="54">
        <v>0</v>
      </c>
      <c r="G11" s="53">
        <f t="shared" si="2"/>
        <v>0</v>
      </c>
      <c r="H11" s="54">
        <v>0</v>
      </c>
      <c r="I11" s="53">
        <f t="shared" si="3"/>
        <v>0</v>
      </c>
      <c r="J11" s="54">
        <v>0</v>
      </c>
      <c r="K11" s="55">
        <f t="shared" si="4"/>
        <v>0</v>
      </c>
      <c r="L11" s="52"/>
      <c r="M11" s="53">
        <f t="shared" si="5"/>
        <v>0</v>
      </c>
      <c r="N11" s="54">
        <v>0</v>
      </c>
      <c r="O11" s="53">
        <f t="shared" si="6"/>
        <v>0</v>
      </c>
      <c r="P11" s="54"/>
      <c r="Q11" s="53">
        <f t="shared" si="7"/>
        <v>0</v>
      </c>
      <c r="R11" s="54">
        <v>0</v>
      </c>
      <c r="S11" s="53">
        <f t="shared" si="8"/>
        <v>0</v>
      </c>
      <c r="T11" s="54">
        <v>0</v>
      </c>
      <c r="U11" s="55">
        <f t="shared" si="9"/>
        <v>0</v>
      </c>
      <c r="V11" s="52"/>
      <c r="W11" s="53">
        <f t="shared" si="10"/>
        <v>0</v>
      </c>
      <c r="X11" s="54">
        <v>0</v>
      </c>
      <c r="Y11" s="53">
        <f t="shared" si="11"/>
        <v>0</v>
      </c>
      <c r="Z11" s="54">
        <v>0</v>
      </c>
      <c r="AA11" s="53">
        <f t="shared" si="12"/>
        <v>0</v>
      </c>
      <c r="AB11" s="54">
        <v>0</v>
      </c>
      <c r="AC11" s="53">
        <f t="shared" si="13"/>
        <v>0</v>
      </c>
      <c r="AD11" s="54">
        <v>0</v>
      </c>
      <c r="AE11" s="55">
        <f t="shared" si="14"/>
        <v>0</v>
      </c>
      <c r="AF11" s="52"/>
      <c r="AG11" s="53">
        <f t="shared" si="15"/>
        <v>0</v>
      </c>
      <c r="AH11" s="54">
        <v>0</v>
      </c>
      <c r="AI11" s="53">
        <f t="shared" si="16"/>
        <v>0</v>
      </c>
      <c r="AJ11" s="54"/>
      <c r="AK11" s="53">
        <f t="shared" si="17"/>
        <v>0</v>
      </c>
      <c r="AL11" s="54">
        <v>0</v>
      </c>
      <c r="AM11" s="53">
        <f t="shared" si="18"/>
        <v>0</v>
      </c>
      <c r="AN11" s="54">
        <v>0</v>
      </c>
      <c r="AO11" s="55">
        <f t="shared" si="19"/>
        <v>0</v>
      </c>
    </row>
    <row r="12" spans="1:41" x14ac:dyDescent="0.25">
      <c r="A12" s="28" t="s">
        <v>157</v>
      </c>
      <c r="B12" s="52"/>
      <c r="C12" s="53">
        <f t="shared" si="0"/>
        <v>0</v>
      </c>
      <c r="D12" s="54">
        <v>3.1250000000000333E-2</v>
      </c>
      <c r="E12" s="53">
        <f t="shared" si="1"/>
        <v>1.5141318977119945E-2</v>
      </c>
      <c r="F12" s="54">
        <v>5.5555555555555913E-2</v>
      </c>
      <c r="G12" s="53">
        <f t="shared" si="2"/>
        <v>1.3529511246406308E-2</v>
      </c>
      <c r="H12" s="54">
        <v>5.2083333333333592E-2</v>
      </c>
      <c r="I12" s="53">
        <f t="shared" si="3"/>
        <v>1.3354700854700922E-2</v>
      </c>
      <c r="J12" s="54">
        <v>5.2083333333333592E-2</v>
      </c>
      <c r="K12" s="55">
        <f t="shared" si="4"/>
        <v>1.3354700854700922E-2</v>
      </c>
      <c r="L12" s="52"/>
      <c r="M12" s="53">
        <f t="shared" si="5"/>
        <v>0</v>
      </c>
      <c r="N12" s="54">
        <v>6.25E-2</v>
      </c>
      <c r="O12" s="53">
        <f t="shared" si="6"/>
        <v>4.2938931297709926E-2</v>
      </c>
      <c r="P12" s="54"/>
      <c r="Q12" s="53">
        <f t="shared" si="7"/>
        <v>0</v>
      </c>
      <c r="R12" s="54">
        <v>6.25E-2</v>
      </c>
      <c r="S12" s="53">
        <f t="shared" si="8"/>
        <v>2.221125370187562E-2</v>
      </c>
      <c r="T12" s="54">
        <v>6.25E-2</v>
      </c>
      <c r="U12" s="55">
        <f t="shared" si="9"/>
        <v>1.0751403655477243E-2</v>
      </c>
      <c r="V12" s="52"/>
      <c r="W12" s="53">
        <f t="shared" si="10"/>
        <v>0</v>
      </c>
      <c r="X12" s="54">
        <v>4.9305555555556047E-2</v>
      </c>
      <c r="Y12" s="53">
        <f t="shared" si="11"/>
        <v>1.6221156042951951E-2</v>
      </c>
      <c r="Z12" s="54">
        <v>9.3750000000000333E-2</v>
      </c>
      <c r="AA12" s="53">
        <f t="shared" si="12"/>
        <v>2.2579026593075844E-2</v>
      </c>
      <c r="AB12" s="54">
        <v>0.19444444444444497</v>
      </c>
      <c r="AC12" s="53">
        <f t="shared" si="13"/>
        <v>3.5888233786208763E-2</v>
      </c>
      <c r="AD12" s="54">
        <v>0.22986111111111168</v>
      </c>
      <c r="AE12" s="55">
        <f t="shared" si="14"/>
        <v>3.3910459993853177E-2</v>
      </c>
      <c r="AF12" s="52"/>
      <c r="AG12" s="53">
        <f t="shared" si="15"/>
        <v>0</v>
      </c>
      <c r="AH12" s="54">
        <v>6.1111111111111227E-2</v>
      </c>
      <c r="AI12" s="53">
        <f t="shared" si="16"/>
        <v>4.422110552763827E-2</v>
      </c>
      <c r="AJ12" s="54"/>
      <c r="AK12" s="53">
        <f t="shared" si="17"/>
        <v>0</v>
      </c>
      <c r="AL12" s="54">
        <v>0.23263888888888948</v>
      </c>
      <c r="AM12" s="53">
        <f t="shared" si="18"/>
        <v>4.5652766421368327E-2</v>
      </c>
      <c r="AN12" s="54">
        <v>0.2923611111111114</v>
      </c>
      <c r="AO12" s="55">
        <f t="shared" si="19"/>
        <v>4.304263367753812E-2</v>
      </c>
    </row>
    <row r="13" spans="1:41" x14ac:dyDescent="0.25">
      <c r="A13" s="28" t="s">
        <v>158</v>
      </c>
      <c r="B13" s="52"/>
      <c r="C13" s="53">
        <f t="shared" si="0"/>
        <v>0</v>
      </c>
      <c r="D13" s="54">
        <v>6.9444444444444531E-2</v>
      </c>
      <c r="E13" s="53">
        <f t="shared" si="1"/>
        <v>3.3647375504710669E-2</v>
      </c>
      <c r="F13" s="54">
        <v>8.333333333333337E-2</v>
      </c>
      <c r="G13" s="53">
        <f t="shared" si="2"/>
        <v>2.0294266869609338E-2</v>
      </c>
      <c r="H13" s="54">
        <v>7.6388888888888951E-2</v>
      </c>
      <c r="I13" s="53">
        <f t="shared" si="3"/>
        <v>1.9586894586894603E-2</v>
      </c>
      <c r="J13" s="54">
        <v>7.6388888888888951E-2</v>
      </c>
      <c r="K13" s="55">
        <f t="shared" si="4"/>
        <v>1.9586894586894603E-2</v>
      </c>
      <c r="L13" s="52"/>
      <c r="M13" s="53">
        <f t="shared" si="5"/>
        <v>0</v>
      </c>
      <c r="N13" s="54">
        <v>0</v>
      </c>
      <c r="O13" s="53">
        <f t="shared" si="6"/>
        <v>0</v>
      </c>
      <c r="P13" s="54"/>
      <c r="Q13" s="53">
        <f t="shared" si="7"/>
        <v>0</v>
      </c>
      <c r="R13" s="54">
        <v>0</v>
      </c>
      <c r="S13" s="53">
        <f t="shared" si="8"/>
        <v>0</v>
      </c>
      <c r="T13" s="54">
        <v>0</v>
      </c>
      <c r="U13" s="55">
        <f t="shared" si="9"/>
        <v>0</v>
      </c>
      <c r="V13" s="52"/>
      <c r="W13" s="53">
        <f t="shared" si="10"/>
        <v>0</v>
      </c>
      <c r="X13" s="54">
        <v>4.166666666666663E-2</v>
      </c>
      <c r="Y13" s="53">
        <f t="shared" si="11"/>
        <v>1.3708019191226854E-2</v>
      </c>
      <c r="Z13" s="54">
        <v>4.513888888888884E-2</v>
      </c>
      <c r="AA13" s="53">
        <f t="shared" si="12"/>
        <v>1.0871383174443874E-2</v>
      </c>
      <c r="AB13" s="54">
        <v>4.513888888888884E-2</v>
      </c>
      <c r="AC13" s="53">
        <f t="shared" si="13"/>
        <v>8.3311971289412885E-3</v>
      </c>
      <c r="AD13" s="54">
        <v>4.513888888888884E-2</v>
      </c>
      <c r="AE13" s="55">
        <f t="shared" si="14"/>
        <v>6.6591537752279419E-3</v>
      </c>
      <c r="AF13" s="52"/>
      <c r="AG13" s="53">
        <f t="shared" si="15"/>
        <v>0</v>
      </c>
      <c r="AH13" s="54">
        <v>0</v>
      </c>
      <c r="AI13" s="53">
        <f t="shared" si="16"/>
        <v>0</v>
      </c>
      <c r="AJ13" s="54"/>
      <c r="AK13" s="53">
        <f t="shared" si="17"/>
        <v>0</v>
      </c>
      <c r="AL13" s="54">
        <v>3.472222222222221E-2</v>
      </c>
      <c r="AM13" s="53">
        <f t="shared" si="18"/>
        <v>6.8138457345325665E-3</v>
      </c>
      <c r="AN13" s="54">
        <v>3.472222222222221E-2</v>
      </c>
      <c r="AO13" s="55">
        <f t="shared" si="19"/>
        <v>5.1119517431755419E-3</v>
      </c>
    </row>
    <row r="14" spans="1:41" x14ac:dyDescent="0.25">
      <c r="A14" s="28" t="s">
        <v>159</v>
      </c>
      <c r="B14" s="52"/>
      <c r="C14" s="53">
        <f t="shared" si="0"/>
        <v>0</v>
      </c>
      <c r="D14" s="54">
        <v>6.9444444444444531E-2</v>
      </c>
      <c r="E14" s="53">
        <f t="shared" si="1"/>
        <v>3.3647375504710669E-2</v>
      </c>
      <c r="F14" s="54">
        <v>0</v>
      </c>
      <c r="G14" s="53">
        <f t="shared" si="2"/>
        <v>0</v>
      </c>
      <c r="H14" s="54">
        <v>0</v>
      </c>
      <c r="I14" s="53">
        <f t="shared" si="3"/>
        <v>0</v>
      </c>
      <c r="J14" s="54">
        <v>0</v>
      </c>
      <c r="K14" s="55">
        <f t="shared" si="4"/>
        <v>0</v>
      </c>
      <c r="L14" s="52"/>
      <c r="M14" s="53">
        <f t="shared" si="5"/>
        <v>0</v>
      </c>
      <c r="N14" s="54">
        <v>0</v>
      </c>
      <c r="O14" s="53">
        <f t="shared" si="6"/>
        <v>0</v>
      </c>
      <c r="P14" s="54"/>
      <c r="Q14" s="53">
        <f t="shared" si="7"/>
        <v>0</v>
      </c>
      <c r="R14" s="54">
        <v>0</v>
      </c>
      <c r="S14" s="53">
        <f t="shared" si="8"/>
        <v>0</v>
      </c>
      <c r="T14" s="54">
        <v>0</v>
      </c>
      <c r="U14" s="55">
        <f t="shared" si="9"/>
        <v>0</v>
      </c>
      <c r="V14" s="52"/>
      <c r="W14" s="53">
        <f t="shared" si="10"/>
        <v>0</v>
      </c>
      <c r="X14" s="54">
        <v>0</v>
      </c>
      <c r="Y14" s="53">
        <f t="shared" si="11"/>
        <v>0</v>
      </c>
      <c r="Z14" s="54">
        <v>0</v>
      </c>
      <c r="AA14" s="53">
        <f t="shared" si="12"/>
        <v>0</v>
      </c>
      <c r="AB14" s="54">
        <v>0</v>
      </c>
      <c r="AC14" s="53">
        <f t="shared" si="13"/>
        <v>0</v>
      </c>
      <c r="AD14" s="54">
        <v>0</v>
      </c>
      <c r="AE14" s="55">
        <f t="shared" si="14"/>
        <v>0</v>
      </c>
      <c r="AF14" s="52"/>
      <c r="AG14" s="53">
        <f t="shared" si="15"/>
        <v>0</v>
      </c>
      <c r="AH14" s="54">
        <v>0</v>
      </c>
      <c r="AI14" s="53">
        <f t="shared" si="16"/>
        <v>0</v>
      </c>
      <c r="AJ14" s="54"/>
      <c r="AK14" s="53">
        <f t="shared" si="17"/>
        <v>0</v>
      </c>
      <c r="AL14" s="54">
        <v>0</v>
      </c>
      <c r="AM14" s="53">
        <f t="shared" si="18"/>
        <v>0</v>
      </c>
      <c r="AN14" s="54">
        <v>0</v>
      </c>
      <c r="AO14" s="55">
        <f t="shared" si="19"/>
        <v>0</v>
      </c>
    </row>
    <row r="15" spans="1:41" x14ac:dyDescent="0.25">
      <c r="A15" s="28" t="s">
        <v>160</v>
      </c>
      <c r="B15" s="52"/>
      <c r="C15" s="53">
        <f t="shared" si="0"/>
        <v>0</v>
      </c>
      <c r="D15" s="54">
        <v>0</v>
      </c>
      <c r="E15" s="53">
        <f t="shared" si="1"/>
        <v>0</v>
      </c>
      <c r="F15" s="54">
        <v>0</v>
      </c>
      <c r="G15" s="53">
        <f t="shared" si="2"/>
        <v>0</v>
      </c>
      <c r="H15" s="54">
        <v>0</v>
      </c>
      <c r="I15" s="53">
        <f t="shared" si="3"/>
        <v>0</v>
      </c>
      <c r="J15" s="54">
        <v>0</v>
      </c>
      <c r="K15" s="55">
        <f t="shared" si="4"/>
        <v>0</v>
      </c>
      <c r="L15" s="52"/>
      <c r="M15" s="53">
        <f t="shared" si="5"/>
        <v>0</v>
      </c>
      <c r="N15" s="54">
        <v>2.7777777777777776E-2</v>
      </c>
      <c r="O15" s="53">
        <f t="shared" si="6"/>
        <v>1.9083969465648856E-2</v>
      </c>
      <c r="P15" s="54"/>
      <c r="Q15" s="53">
        <f t="shared" si="7"/>
        <v>0</v>
      </c>
      <c r="R15" s="54">
        <v>2.7777777777777776E-2</v>
      </c>
      <c r="S15" s="53">
        <f t="shared" si="8"/>
        <v>9.8716683119447184E-3</v>
      </c>
      <c r="T15" s="54">
        <v>6.25E-2</v>
      </c>
      <c r="U15" s="55">
        <f t="shared" si="9"/>
        <v>1.0751403655477243E-2</v>
      </c>
      <c r="V15" s="52"/>
      <c r="W15" s="53">
        <f t="shared" si="10"/>
        <v>0</v>
      </c>
      <c r="X15" s="54">
        <v>0</v>
      </c>
      <c r="Y15" s="53">
        <f t="shared" si="11"/>
        <v>0</v>
      </c>
      <c r="Z15" s="54">
        <v>0</v>
      </c>
      <c r="AA15" s="53">
        <f t="shared" si="12"/>
        <v>0</v>
      </c>
      <c r="AB15" s="54">
        <v>0</v>
      </c>
      <c r="AC15" s="53">
        <f t="shared" si="13"/>
        <v>0</v>
      </c>
      <c r="AD15" s="54">
        <v>0</v>
      </c>
      <c r="AE15" s="55">
        <f t="shared" si="14"/>
        <v>0</v>
      </c>
      <c r="AF15" s="52"/>
      <c r="AG15" s="53">
        <f t="shared" si="15"/>
        <v>0</v>
      </c>
      <c r="AH15" s="54">
        <v>0</v>
      </c>
      <c r="AI15" s="53">
        <f t="shared" si="16"/>
        <v>0</v>
      </c>
      <c r="AJ15" s="54"/>
      <c r="AK15" s="53">
        <f t="shared" si="17"/>
        <v>0</v>
      </c>
      <c r="AL15" s="54">
        <v>0</v>
      </c>
      <c r="AM15" s="53">
        <f t="shared" si="18"/>
        <v>0</v>
      </c>
      <c r="AN15" s="54">
        <v>0</v>
      </c>
      <c r="AO15" s="55">
        <f t="shared" si="19"/>
        <v>0</v>
      </c>
    </row>
    <row r="16" spans="1:41" x14ac:dyDescent="0.25">
      <c r="A16" s="28" t="s">
        <v>161</v>
      </c>
      <c r="B16" s="52"/>
      <c r="C16" s="53">
        <f t="shared" si="0"/>
        <v>0</v>
      </c>
      <c r="D16" s="54">
        <v>0</v>
      </c>
      <c r="E16" s="53">
        <f t="shared" si="1"/>
        <v>0</v>
      </c>
      <c r="F16" s="54">
        <v>0</v>
      </c>
      <c r="G16" s="53">
        <f t="shared" si="2"/>
        <v>0</v>
      </c>
      <c r="H16" s="54">
        <v>0</v>
      </c>
      <c r="I16" s="53">
        <f t="shared" si="3"/>
        <v>0</v>
      </c>
      <c r="J16" s="54">
        <v>0</v>
      </c>
      <c r="K16" s="55">
        <f t="shared" si="4"/>
        <v>0</v>
      </c>
      <c r="L16" s="52"/>
      <c r="M16" s="53">
        <f t="shared" si="5"/>
        <v>0</v>
      </c>
      <c r="N16" s="54">
        <v>4.166666666666663E-2</v>
      </c>
      <c r="O16" s="53">
        <f t="shared" si="6"/>
        <v>2.8625954198473257E-2</v>
      </c>
      <c r="P16" s="54"/>
      <c r="Q16" s="53">
        <f t="shared" si="7"/>
        <v>0</v>
      </c>
      <c r="R16" s="54">
        <v>4.166666666666663E-2</v>
      </c>
      <c r="S16" s="53">
        <f t="shared" si="8"/>
        <v>1.4807502467917066E-2</v>
      </c>
      <c r="T16" s="54">
        <v>4.166666666666663E-2</v>
      </c>
      <c r="U16" s="55">
        <f t="shared" si="9"/>
        <v>7.1676024369848228E-3</v>
      </c>
      <c r="V16" s="52"/>
      <c r="W16" s="53">
        <f t="shared" si="10"/>
        <v>0</v>
      </c>
      <c r="X16" s="54">
        <v>0</v>
      </c>
      <c r="Y16" s="53">
        <f t="shared" si="11"/>
        <v>0</v>
      </c>
      <c r="Z16" s="54">
        <v>0</v>
      </c>
      <c r="AA16" s="53">
        <f t="shared" si="12"/>
        <v>0</v>
      </c>
      <c r="AB16" s="54">
        <v>0</v>
      </c>
      <c r="AC16" s="53">
        <f t="shared" si="13"/>
        <v>0</v>
      </c>
      <c r="AD16" s="54">
        <v>0</v>
      </c>
      <c r="AE16" s="55">
        <f t="shared" si="14"/>
        <v>0</v>
      </c>
      <c r="AF16" s="52"/>
      <c r="AG16" s="53">
        <f t="shared" si="15"/>
        <v>0</v>
      </c>
      <c r="AH16" s="54">
        <v>0</v>
      </c>
      <c r="AI16" s="53">
        <f t="shared" si="16"/>
        <v>0</v>
      </c>
      <c r="AJ16" s="54"/>
      <c r="AK16" s="53">
        <f t="shared" si="17"/>
        <v>0</v>
      </c>
      <c r="AL16" s="54">
        <v>0</v>
      </c>
      <c r="AM16" s="53">
        <f t="shared" si="18"/>
        <v>0</v>
      </c>
      <c r="AN16" s="54">
        <v>0</v>
      </c>
      <c r="AO16" s="55">
        <f t="shared" si="19"/>
        <v>0</v>
      </c>
    </row>
    <row r="17" spans="1:41" x14ac:dyDescent="0.25">
      <c r="A17" s="28" t="s">
        <v>162</v>
      </c>
      <c r="B17" s="52"/>
      <c r="C17" s="53">
        <f t="shared" si="0"/>
        <v>0</v>
      </c>
      <c r="D17" s="54">
        <v>0</v>
      </c>
      <c r="E17" s="53">
        <f t="shared" si="1"/>
        <v>0</v>
      </c>
      <c r="F17" s="54">
        <v>0</v>
      </c>
      <c r="G17" s="53">
        <f t="shared" si="2"/>
        <v>0</v>
      </c>
      <c r="H17" s="54">
        <v>0</v>
      </c>
      <c r="I17" s="53">
        <f t="shared" si="3"/>
        <v>0</v>
      </c>
      <c r="J17" s="54">
        <v>0</v>
      </c>
      <c r="K17" s="55">
        <f t="shared" si="4"/>
        <v>0</v>
      </c>
      <c r="L17" s="52"/>
      <c r="M17" s="53">
        <f t="shared" si="5"/>
        <v>0</v>
      </c>
      <c r="N17" s="54">
        <v>0</v>
      </c>
      <c r="O17" s="53">
        <f t="shared" si="6"/>
        <v>0</v>
      </c>
      <c r="P17" s="54"/>
      <c r="Q17" s="53">
        <f t="shared" si="7"/>
        <v>0</v>
      </c>
      <c r="R17" s="54">
        <v>7.2916666666666699E-2</v>
      </c>
      <c r="S17" s="53">
        <f t="shared" si="8"/>
        <v>2.5913129318854901E-2</v>
      </c>
      <c r="T17" s="54">
        <v>7.2916666666666699E-2</v>
      </c>
      <c r="U17" s="55">
        <f t="shared" si="9"/>
        <v>1.2543304264723457E-2</v>
      </c>
      <c r="V17" s="52"/>
      <c r="W17" s="53">
        <f t="shared" si="10"/>
        <v>0</v>
      </c>
      <c r="X17" s="54">
        <v>0</v>
      </c>
      <c r="Y17" s="53">
        <f t="shared" si="11"/>
        <v>0</v>
      </c>
      <c r="Z17" s="54">
        <v>0</v>
      </c>
      <c r="AA17" s="53">
        <f t="shared" si="12"/>
        <v>0</v>
      </c>
      <c r="AB17" s="54">
        <v>0</v>
      </c>
      <c r="AC17" s="53">
        <f t="shared" si="13"/>
        <v>0</v>
      </c>
      <c r="AD17" s="54">
        <v>0</v>
      </c>
      <c r="AE17" s="55">
        <f t="shared" si="14"/>
        <v>0</v>
      </c>
      <c r="AF17" s="52"/>
      <c r="AG17" s="53">
        <f t="shared" si="15"/>
        <v>0</v>
      </c>
      <c r="AH17" s="54">
        <v>0</v>
      </c>
      <c r="AI17" s="53">
        <f t="shared" si="16"/>
        <v>0</v>
      </c>
      <c r="AJ17" s="54"/>
      <c r="AK17" s="53">
        <f t="shared" si="17"/>
        <v>0</v>
      </c>
      <c r="AL17" s="54">
        <v>0</v>
      </c>
      <c r="AM17" s="53">
        <f t="shared" si="18"/>
        <v>0</v>
      </c>
      <c r="AN17" s="54">
        <v>0</v>
      </c>
      <c r="AO17" s="55">
        <f t="shared" si="19"/>
        <v>0</v>
      </c>
    </row>
    <row r="18" spans="1:41" x14ac:dyDescent="0.25">
      <c r="A18" s="28" t="s">
        <v>163</v>
      </c>
      <c r="B18" s="52"/>
      <c r="C18" s="53">
        <f t="shared" si="0"/>
        <v>0</v>
      </c>
      <c r="D18" s="54">
        <v>0</v>
      </c>
      <c r="E18" s="53">
        <f t="shared" si="1"/>
        <v>0</v>
      </c>
      <c r="F18" s="54">
        <v>0</v>
      </c>
      <c r="G18" s="53">
        <f t="shared" si="2"/>
        <v>0</v>
      </c>
      <c r="H18" s="54">
        <v>0</v>
      </c>
      <c r="I18" s="53">
        <f t="shared" si="3"/>
        <v>0</v>
      </c>
      <c r="J18" s="54">
        <v>0</v>
      </c>
      <c r="K18" s="55">
        <f t="shared" si="4"/>
        <v>0</v>
      </c>
      <c r="L18" s="52"/>
      <c r="M18" s="53">
        <f t="shared" si="5"/>
        <v>0</v>
      </c>
      <c r="N18" s="54">
        <v>0</v>
      </c>
      <c r="O18" s="53">
        <f t="shared" si="6"/>
        <v>0</v>
      </c>
      <c r="P18" s="54"/>
      <c r="Q18" s="53">
        <f t="shared" si="7"/>
        <v>0</v>
      </c>
      <c r="R18" s="54">
        <v>0</v>
      </c>
      <c r="S18" s="53">
        <f t="shared" si="8"/>
        <v>0</v>
      </c>
      <c r="T18" s="54">
        <v>0</v>
      </c>
      <c r="U18" s="55">
        <f t="shared" si="9"/>
        <v>0</v>
      </c>
      <c r="V18" s="52"/>
      <c r="W18" s="53">
        <f t="shared" si="10"/>
        <v>0</v>
      </c>
      <c r="X18" s="54">
        <v>0</v>
      </c>
      <c r="Y18" s="53">
        <f t="shared" si="11"/>
        <v>0</v>
      </c>
      <c r="Z18" s="54">
        <v>0</v>
      </c>
      <c r="AA18" s="53">
        <f t="shared" si="12"/>
        <v>0</v>
      </c>
      <c r="AB18" s="54">
        <v>0</v>
      </c>
      <c r="AC18" s="53">
        <f t="shared" si="13"/>
        <v>0</v>
      </c>
      <c r="AD18" s="54">
        <v>0</v>
      </c>
      <c r="AE18" s="55">
        <f t="shared" si="14"/>
        <v>0</v>
      </c>
      <c r="AF18" s="52"/>
      <c r="AG18" s="53">
        <f t="shared" si="15"/>
        <v>0</v>
      </c>
      <c r="AH18" s="54">
        <v>0</v>
      </c>
      <c r="AI18" s="53">
        <f t="shared" si="16"/>
        <v>0</v>
      </c>
      <c r="AJ18" s="54"/>
      <c r="AK18" s="53">
        <f t="shared" si="17"/>
        <v>0</v>
      </c>
      <c r="AL18" s="54">
        <v>0</v>
      </c>
      <c r="AM18" s="53">
        <f t="shared" si="18"/>
        <v>0</v>
      </c>
      <c r="AN18" s="54">
        <v>0</v>
      </c>
      <c r="AO18" s="55">
        <f t="shared" si="19"/>
        <v>0</v>
      </c>
    </row>
    <row r="19" spans="1:41" x14ac:dyDescent="0.25">
      <c r="A19" s="28" t="s">
        <v>164</v>
      </c>
      <c r="B19" s="52"/>
      <c r="C19" s="53">
        <f t="shared" si="0"/>
        <v>0</v>
      </c>
      <c r="D19" s="54">
        <v>0</v>
      </c>
      <c r="E19" s="53">
        <f t="shared" si="1"/>
        <v>0</v>
      </c>
      <c r="F19" s="54">
        <v>0</v>
      </c>
      <c r="G19" s="53">
        <f t="shared" si="2"/>
        <v>0</v>
      </c>
      <c r="H19" s="54">
        <v>0</v>
      </c>
      <c r="I19" s="53">
        <f t="shared" si="3"/>
        <v>0</v>
      </c>
      <c r="J19" s="54">
        <v>0</v>
      </c>
      <c r="K19" s="55">
        <f t="shared" si="4"/>
        <v>0</v>
      </c>
      <c r="L19" s="52"/>
      <c r="M19" s="53">
        <f t="shared" si="5"/>
        <v>0</v>
      </c>
      <c r="N19" s="54">
        <v>0</v>
      </c>
      <c r="O19" s="53">
        <f t="shared" si="6"/>
        <v>0</v>
      </c>
      <c r="P19" s="54"/>
      <c r="Q19" s="53">
        <f t="shared" si="7"/>
        <v>0</v>
      </c>
      <c r="R19" s="54">
        <v>0</v>
      </c>
      <c r="S19" s="53">
        <f t="shared" si="8"/>
        <v>0</v>
      </c>
      <c r="T19" s="54">
        <v>0</v>
      </c>
      <c r="U19" s="55">
        <f t="shared" si="9"/>
        <v>0</v>
      </c>
      <c r="V19" s="52"/>
      <c r="W19" s="53">
        <f t="shared" si="10"/>
        <v>0</v>
      </c>
      <c r="X19" s="54">
        <v>0</v>
      </c>
      <c r="Y19" s="53">
        <f t="shared" si="11"/>
        <v>0</v>
      </c>
      <c r="Z19" s="54">
        <v>0</v>
      </c>
      <c r="AA19" s="53">
        <f t="shared" si="12"/>
        <v>0</v>
      </c>
      <c r="AB19" s="54">
        <v>0</v>
      </c>
      <c r="AC19" s="53">
        <f t="shared" si="13"/>
        <v>0</v>
      </c>
      <c r="AD19" s="54">
        <v>0</v>
      </c>
      <c r="AE19" s="55">
        <f t="shared" si="14"/>
        <v>0</v>
      </c>
      <c r="AF19" s="52"/>
      <c r="AG19" s="53">
        <f t="shared" si="15"/>
        <v>0</v>
      </c>
      <c r="AH19" s="54">
        <v>0</v>
      </c>
      <c r="AI19" s="53">
        <f t="shared" si="16"/>
        <v>0</v>
      </c>
      <c r="AJ19" s="54"/>
      <c r="AK19" s="53">
        <f t="shared" si="17"/>
        <v>0</v>
      </c>
      <c r="AL19" s="54">
        <v>0</v>
      </c>
      <c r="AM19" s="53">
        <f t="shared" si="18"/>
        <v>0</v>
      </c>
      <c r="AN19" s="54">
        <v>0</v>
      </c>
      <c r="AO19" s="55">
        <f t="shared" si="19"/>
        <v>0</v>
      </c>
    </row>
    <row r="20" spans="1:41" x14ac:dyDescent="0.25">
      <c r="A20" s="28" t="s">
        <v>165</v>
      </c>
      <c r="B20" s="52"/>
      <c r="C20" s="53">
        <f t="shared" si="0"/>
        <v>0</v>
      </c>
      <c r="D20" s="54">
        <v>0</v>
      </c>
      <c r="E20" s="53">
        <f t="shared" si="1"/>
        <v>0</v>
      </c>
      <c r="F20" s="54">
        <v>0</v>
      </c>
      <c r="G20" s="53">
        <f t="shared" si="2"/>
        <v>0</v>
      </c>
      <c r="H20" s="54">
        <v>0</v>
      </c>
      <c r="I20" s="53">
        <f t="shared" si="3"/>
        <v>0</v>
      </c>
      <c r="J20" s="54">
        <v>0</v>
      </c>
      <c r="K20" s="55">
        <f t="shared" si="4"/>
        <v>0</v>
      </c>
      <c r="L20" s="52"/>
      <c r="M20" s="53">
        <f t="shared" si="5"/>
        <v>0</v>
      </c>
      <c r="N20" s="54">
        <v>0</v>
      </c>
      <c r="O20" s="53">
        <f t="shared" si="6"/>
        <v>0</v>
      </c>
      <c r="P20" s="54"/>
      <c r="Q20" s="53">
        <f t="shared" si="7"/>
        <v>0</v>
      </c>
      <c r="R20" s="54">
        <v>0</v>
      </c>
      <c r="S20" s="53">
        <f t="shared" si="8"/>
        <v>0</v>
      </c>
      <c r="T20" s="54">
        <v>0</v>
      </c>
      <c r="U20" s="55">
        <f t="shared" si="9"/>
        <v>0</v>
      </c>
      <c r="V20" s="52"/>
      <c r="W20" s="53">
        <f t="shared" si="10"/>
        <v>0</v>
      </c>
      <c r="X20" s="54">
        <v>0</v>
      </c>
      <c r="Y20" s="53">
        <f t="shared" si="11"/>
        <v>0</v>
      </c>
      <c r="Z20" s="54">
        <v>0</v>
      </c>
      <c r="AA20" s="53">
        <f t="shared" si="12"/>
        <v>0</v>
      </c>
      <c r="AB20" s="54">
        <v>0</v>
      </c>
      <c r="AC20" s="53">
        <f t="shared" si="13"/>
        <v>0</v>
      </c>
      <c r="AD20" s="54">
        <v>0</v>
      </c>
      <c r="AE20" s="55">
        <f t="shared" si="14"/>
        <v>0</v>
      </c>
      <c r="AF20" s="52"/>
      <c r="AG20" s="53">
        <f t="shared" si="15"/>
        <v>0</v>
      </c>
      <c r="AH20" s="54">
        <v>0</v>
      </c>
      <c r="AI20" s="53">
        <f t="shared" si="16"/>
        <v>0</v>
      </c>
      <c r="AJ20" s="54"/>
      <c r="AK20" s="53">
        <f t="shared" si="17"/>
        <v>0</v>
      </c>
      <c r="AL20" s="54">
        <v>0</v>
      </c>
      <c r="AM20" s="53">
        <f t="shared" si="18"/>
        <v>0</v>
      </c>
      <c r="AN20" s="54">
        <v>0</v>
      </c>
      <c r="AO20" s="55">
        <f t="shared" si="19"/>
        <v>0</v>
      </c>
    </row>
    <row r="21" spans="1:41" x14ac:dyDescent="0.25">
      <c r="A21" s="28" t="s">
        <v>166</v>
      </c>
      <c r="B21" s="52"/>
      <c r="C21" s="53">
        <f t="shared" si="0"/>
        <v>0</v>
      </c>
      <c r="D21" s="54">
        <v>0</v>
      </c>
      <c r="E21" s="53">
        <f t="shared" si="1"/>
        <v>0</v>
      </c>
      <c r="F21" s="54">
        <v>0</v>
      </c>
      <c r="G21" s="53">
        <f t="shared" si="2"/>
        <v>0</v>
      </c>
      <c r="H21" s="54">
        <v>0</v>
      </c>
      <c r="I21" s="53">
        <f t="shared" si="3"/>
        <v>0</v>
      </c>
      <c r="J21" s="54">
        <v>0</v>
      </c>
      <c r="K21" s="55">
        <f t="shared" si="4"/>
        <v>0</v>
      </c>
      <c r="L21" s="52"/>
      <c r="M21" s="53">
        <f t="shared" si="5"/>
        <v>0</v>
      </c>
      <c r="N21" s="54">
        <v>0</v>
      </c>
      <c r="O21" s="53">
        <f t="shared" si="6"/>
        <v>0</v>
      </c>
      <c r="P21" s="54"/>
      <c r="Q21" s="53">
        <f t="shared" si="7"/>
        <v>0</v>
      </c>
      <c r="R21" s="54">
        <v>0</v>
      </c>
      <c r="S21" s="53">
        <f t="shared" si="8"/>
        <v>0</v>
      </c>
      <c r="T21" s="54">
        <v>0</v>
      </c>
      <c r="U21" s="55">
        <f t="shared" si="9"/>
        <v>0</v>
      </c>
      <c r="V21" s="52"/>
      <c r="W21" s="53">
        <f t="shared" si="10"/>
        <v>0</v>
      </c>
      <c r="X21" s="54">
        <v>0</v>
      </c>
      <c r="Y21" s="53">
        <f t="shared" si="11"/>
        <v>0</v>
      </c>
      <c r="Z21" s="54">
        <v>0</v>
      </c>
      <c r="AA21" s="53">
        <f t="shared" si="12"/>
        <v>0</v>
      </c>
      <c r="AB21" s="54">
        <v>0</v>
      </c>
      <c r="AC21" s="53">
        <f t="shared" si="13"/>
        <v>0</v>
      </c>
      <c r="AD21" s="54">
        <v>0</v>
      </c>
      <c r="AE21" s="55">
        <f t="shared" si="14"/>
        <v>0</v>
      </c>
      <c r="AF21" s="52"/>
      <c r="AG21" s="53">
        <f t="shared" si="15"/>
        <v>0</v>
      </c>
      <c r="AH21" s="54">
        <v>0</v>
      </c>
      <c r="AI21" s="53">
        <f t="shared" si="16"/>
        <v>0</v>
      </c>
      <c r="AJ21" s="54"/>
      <c r="AK21" s="53">
        <f t="shared" si="17"/>
        <v>0</v>
      </c>
      <c r="AL21" s="54">
        <v>0</v>
      </c>
      <c r="AM21" s="53">
        <f t="shared" si="18"/>
        <v>0</v>
      </c>
      <c r="AN21" s="54">
        <v>0</v>
      </c>
      <c r="AO21" s="55">
        <f t="shared" si="19"/>
        <v>0</v>
      </c>
    </row>
    <row r="22" spans="1:41" x14ac:dyDescent="0.25">
      <c r="A22" s="28" t="s">
        <v>167</v>
      </c>
      <c r="B22" s="52"/>
      <c r="C22" s="53">
        <f t="shared" si="0"/>
        <v>0</v>
      </c>
      <c r="D22" s="54">
        <v>0</v>
      </c>
      <c r="E22" s="53">
        <f t="shared" si="1"/>
        <v>0</v>
      </c>
      <c r="F22" s="54">
        <v>0</v>
      </c>
      <c r="G22" s="53">
        <f t="shared" si="2"/>
        <v>0</v>
      </c>
      <c r="H22" s="54">
        <v>0</v>
      </c>
      <c r="I22" s="53">
        <f t="shared" si="3"/>
        <v>0</v>
      </c>
      <c r="J22" s="54">
        <v>0</v>
      </c>
      <c r="K22" s="55">
        <f t="shared" si="4"/>
        <v>0</v>
      </c>
      <c r="L22" s="52"/>
      <c r="M22" s="53">
        <f t="shared" si="5"/>
        <v>0</v>
      </c>
      <c r="N22" s="54">
        <v>0</v>
      </c>
      <c r="O22" s="53">
        <f t="shared" si="6"/>
        <v>0</v>
      </c>
      <c r="P22" s="54"/>
      <c r="Q22" s="53">
        <f t="shared" si="7"/>
        <v>0</v>
      </c>
      <c r="R22" s="54">
        <v>3.4722222222222224E-2</v>
      </c>
      <c r="S22" s="53">
        <f t="shared" si="8"/>
        <v>1.23395853899309E-2</v>
      </c>
      <c r="T22" s="54">
        <v>0.13888888888888901</v>
      </c>
      <c r="U22" s="55">
        <f t="shared" si="9"/>
        <v>2.3892008123282783E-2</v>
      </c>
      <c r="V22" s="52"/>
      <c r="W22" s="53">
        <f t="shared" si="10"/>
        <v>0</v>
      </c>
      <c r="X22" s="54">
        <v>0</v>
      </c>
      <c r="Y22" s="53">
        <f t="shared" si="11"/>
        <v>0</v>
      </c>
      <c r="Z22" s="54">
        <v>0</v>
      </c>
      <c r="AA22" s="53">
        <f t="shared" si="12"/>
        <v>0</v>
      </c>
      <c r="AB22" s="54">
        <v>0</v>
      </c>
      <c r="AC22" s="53">
        <f t="shared" si="13"/>
        <v>0</v>
      </c>
      <c r="AD22" s="54">
        <v>0</v>
      </c>
      <c r="AE22" s="55">
        <f t="shared" si="14"/>
        <v>0</v>
      </c>
      <c r="AF22" s="52"/>
      <c r="AG22" s="53">
        <f t="shared" si="15"/>
        <v>0</v>
      </c>
      <c r="AH22" s="54">
        <v>4.166666666666663E-2</v>
      </c>
      <c r="AI22" s="53">
        <f t="shared" si="16"/>
        <v>3.0150753768844189E-2</v>
      </c>
      <c r="AJ22" s="54"/>
      <c r="AK22" s="53">
        <f t="shared" si="17"/>
        <v>0</v>
      </c>
      <c r="AL22" s="54">
        <v>4.166666666666663E-2</v>
      </c>
      <c r="AM22" s="53">
        <f t="shared" si="18"/>
        <v>8.176614881439075E-3</v>
      </c>
      <c r="AN22" s="54">
        <v>4.166666666666663E-2</v>
      </c>
      <c r="AO22" s="55">
        <f t="shared" si="19"/>
        <v>6.1343420918106469E-3</v>
      </c>
    </row>
    <row r="23" spans="1:41" x14ac:dyDescent="0.25">
      <c r="A23" s="28" t="s">
        <v>168</v>
      </c>
      <c r="B23" s="52"/>
      <c r="C23" s="53">
        <f t="shared" si="0"/>
        <v>0</v>
      </c>
      <c r="D23" s="54">
        <v>0</v>
      </c>
      <c r="E23" s="53">
        <f t="shared" si="1"/>
        <v>0</v>
      </c>
      <c r="F23" s="54">
        <v>0</v>
      </c>
      <c r="G23" s="53">
        <f t="shared" si="2"/>
        <v>0</v>
      </c>
      <c r="H23" s="54">
        <v>0</v>
      </c>
      <c r="I23" s="53">
        <f t="shared" si="3"/>
        <v>0</v>
      </c>
      <c r="J23" s="54">
        <v>0</v>
      </c>
      <c r="K23" s="55">
        <f t="shared" si="4"/>
        <v>0</v>
      </c>
      <c r="L23" s="52"/>
      <c r="M23" s="53">
        <f t="shared" si="5"/>
        <v>0</v>
      </c>
      <c r="N23" s="54">
        <v>0</v>
      </c>
      <c r="O23" s="53">
        <f t="shared" si="6"/>
        <v>0</v>
      </c>
      <c r="P23" s="54"/>
      <c r="Q23" s="53">
        <f t="shared" si="7"/>
        <v>0</v>
      </c>
      <c r="R23" s="54">
        <v>0</v>
      </c>
      <c r="S23" s="53">
        <f t="shared" si="8"/>
        <v>0</v>
      </c>
      <c r="T23" s="54">
        <v>5.208333333333337E-2</v>
      </c>
      <c r="U23" s="55">
        <f t="shared" si="9"/>
        <v>8.9595030462310422E-3</v>
      </c>
      <c r="V23" s="52"/>
      <c r="W23" s="53">
        <f t="shared" si="10"/>
        <v>0</v>
      </c>
      <c r="X23" s="54">
        <v>0</v>
      </c>
      <c r="Y23" s="53">
        <f t="shared" si="11"/>
        <v>0</v>
      </c>
      <c r="Z23" s="54">
        <v>0</v>
      </c>
      <c r="AA23" s="53">
        <f t="shared" si="12"/>
        <v>0</v>
      </c>
      <c r="AB23" s="54">
        <v>0</v>
      </c>
      <c r="AC23" s="53">
        <f t="shared" si="13"/>
        <v>0</v>
      </c>
      <c r="AD23" s="54">
        <v>0</v>
      </c>
      <c r="AE23" s="55">
        <f t="shared" si="14"/>
        <v>0</v>
      </c>
      <c r="AF23" s="52"/>
      <c r="AG23" s="53">
        <f t="shared" si="15"/>
        <v>0</v>
      </c>
      <c r="AH23" s="54">
        <v>0</v>
      </c>
      <c r="AI23" s="53">
        <f t="shared" si="16"/>
        <v>0</v>
      </c>
      <c r="AJ23" s="54"/>
      <c r="AK23" s="53">
        <f t="shared" si="17"/>
        <v>0</v>
      </c>
      <c r="AL23" s="54">
        <v>0</v>
      </c>
      <c r="AM23" s="53">
        <f t="shared" si="18"/>
        <v>0</v>
      </c>
      <c r="AN23" s="54">
        <v>0</v>
      </c>
      <c r="AO23" s="55">
        <f t="shared" si="19"/>
        <v>0</v>
      </c>
    </row>
    <row r="24" spans="1:41" x14ac:dyDescent="0.25">
      <c r="A24" s="28" t="s">
        <v>169</v>
      </c>
      <c r="B24" s="52"/>
      <c r="C24" s="53">
        <f t="shared" si="0"/>
        <v>0</v>
      </c>
      <c r="D24" s="54">
        <v>0</v>
      </c>
      <c r="E24" s="53">
        <f t="shared" si="1"/>
        <v>0</v>
      </c>
      <c r="F24" s="54">
        <v>0</v>
      </c>
      <c r="G24" s="53">
        <f t="shared" si="2"/>
        <v>0</v>
      </c>
      <c r="H24" s="54">
        <v>0</v>
      </c>
      <c r="I24" s="53">
        <f t="shared" si="3"/>
        <v>0</v>
      </c>
      <c r="J24" s="54">
        <v>0</v>
      </c>
      <c r="K24" s="55">
        <f t="shared" si="4"/>
        <v>0</v>
      </c>
      <c r="L24" s="52"/>
      <c r="M24" s="53">
        <f t="shared" si="5"/>
        <v>0</v>
      </c>
      <c r="N24" s="54">
        <v>0</v>
      </c>
      <c r="O24" s="53">
        <f t="shared" si="6"/>
        <v>0</v>
      </c>
      <c r="P24" s="54"/>
      <c r="Q24" s="53">
        <f t="shared" si="7"/>
        <v>0</v>
      </c>
      <c r="R24" s="54">
        <v>0</v>
      </c>
      <c r="S24" s="53">
        <f t="shared" si="8"/>
        <v>0</v>
      </c>
      <c r="T24" s="54">
        <v>0</v>
      </c>
      <c r="U24" s="55">
        <f t="shared" si="9"/>
        <v>0</v>
      </c>
      <c r="V24" s="52"/>
      <c r="W24" s="53">
        <f t="shared" si="10"/>
        <v>0</v>
      </c>
      <c r="X24" s="54">
        <v>0</v>
      </c>
      <c r="Y24" s="53">
        <f t="shared" si="11"/>
        <v>0</v>
      </c>
      <c r="Z24" s="54">
        <v>0</v>
      </c>
      <c r="AA24" s="53">
        <f t="shared" si="12"/>
        <v>0</v>
      </c>
      <c r="AB24" s="54">
        <v>0</v>
      </c>
      <c r="AC24" s="53">
        <f t="shared" si="13"/>
        <v>0</v>
      </c>
      <c r="AD24" s="54">
        <v>0</v>
      </c>
      <c r="AE24" s="55">
        <f t="shared" si="14"/>
        <v>0</v>
      </c>
      <c r="AF24" s="52"/>
      <c r="AG24" s="53">
        <f t="shared" si="15"/>
        <v>0</v>
      </c>
      <c r="AH24" s="54">
        <v>0</v>
      </c>
      <c r="AI24" s="53">
        <f t="shared" si="16"/>
        <v>0</v>
      </c>
      <c r="AJ24" s="54"/>
      <c r="AK24" s="53">
        <f t="shared" si="17"/>
        <v>0</v>
      </c>
      <c r="AL24" s="54">
        <v>0</v>
      </c>
      <c r="AM24" s="53">
        <f t="shared" si="18"/>
        <v>0</v>
      </c>
      <c r="AN24" s="54">
        <v>0</v>
      </c>
      <c r="AO24" s="55">
        <f t="shared" si="19"/>
        <v>0</v>
      </c>
    </row>
    <row r="25" spans="1:41" x14ac:dyDescent="0.25">
      <c r="A25" s="28" t="s">
        <v>170</v>
      </c>
      <c r="B25" s="52"/>
      <c r="C25" s="53">
        <f t="shared" si="0"/>
        <v>0</v>
      </c>
      <c r="D25" s="54">
        <v>0</v>
      </c>
      <c r="E25" s="53">
        <f t="shared" si="1"/>
        <v>0</v>
      </c>
      <c r="F25" s="54">
        <v>0</v>
      </c>
      <c r="G25" s="53">
        <f t="shared" si="2"/>
        <v>0</v>
      </c>
      <c r="H25" s="54">
        <v>0</v>
      </c>
      <c r="I25" s="53">
        <f t="shared" si="3"/>
        <v>0</v>
      </c>
      <c r="J25" s="54">
        <v>0</v>
      </c>
      <c r="K25" s="55">
        <f t="shared" si="4"/>
        <v>0</v>
      </c>
      <c r="L25" s="52"/>
      <c r="M25" s="53">
        <f t="shared" si="5"/>
        <v>0</v>
      </c>
      <c r="N25" s="54">
        <v>0</v>
      </c>
      <c r="O25" s="53">
        <f t="shared" si="6"/>
        <v>0</v>
      </c>
      <c r="P25" s="54"/>
      <c r="Q25" s="53">
        <f t="shared" si="7"/>
        <v>0</v>
      </c>
      <c r="R25" s="54">
        <v>0</v>
      </c>
      <c r="S25" s="53">
        <f t="shared" si="8"/>
        <v>0</v>
      </c>
      <c r="T25" s="54">
        <v>0</v>
      </c>
      <c r="U25" s="55">
        <f t="shared" si="9"/>
        <v>0</v>
      </c>
      <c r="V25" s="52"/>
      <c r="W25" s="53">
        <f t="shared" si="10"/>
        <v>0</v>
      </c>
      <c r="X25" s="54">
        <v>0</v>
      </c>
      <c r="Y25" s="53">
        <f t="shared" si="11"/>
        <v>0</v>
      </c>
      <c r="Z25" s="54">
        <v>0</v>
      </c>
      <c r="AA25" s="53">
        <f t="shared" si="12"/>
        <v>0</v>
      </c>
      <c r="AB25" s="54">
        <v>0</v>
      </c>
      <c r="AC25" s="53">
        <f t="shared" si="13"/>
        <v>0</v>
      </c>
      <c r="AD25" s="54">
        <v>0</v>
      </c>
      <c r="AE25" s="55">
        <f t="shared" si="14"/>
        <v>0</v>
      </c>
      <c r="AF25" s="52"/>
      <c r="AG25" s="53">
        <f t="shared" si="15"/>
        <v>0</v>
      </c>
      <c r="AH25" s="54">
        <v>0</v>
      </c>
      <c r="AI25" s="53">
        <f t="shared" si="16"/>
        <v>0</v>
      </c>
      <c r="AJ25" s="54"/>
      <c r="AK25" s="53">
        <f t="shared" si="17"/>
        <v>0</v>
      </c>
      <c r="AL25" s="54">
        <v>0</v>
      </c>
      <c r="AM25" s="53">
        <f t="shared" si="18"/>
        <v>0</v>
      </c>
      <c r="AN25" s="54">
        <v>0</v>
      </c>
      <c r="AO25" s="55">
        <f t="shared" si="19"/>
        <v>0</v>
      </c>
    </row>
    <row r="26" spans="1:41" x14ac:dyDescent="0.25">
      <c r="A26" s="28" t="s">
        <v>171</v>
      </c>
      <c r="B26" s="52"/>
      <c r="C26" s="53">
        <f t="shared" si="0"/>
        <v>0</v>
      </c>
      <c r="D26" s="54">
        <v>0</v>
      </c>
      <c r="E26" s="53">
        <f t="shared" si="1"/>
        <v>0</v>
      </c>
      <c r="F26" s="54">
        <v>0</v>
      </c>
      <c r="G26" s="53">
        <f t="shared" si="2"/>
        <v>0</v>
      </c>
      <c r="H26" s="54">
        <v>0</v>
      </c>
      <c r="I26" s="53">
        <f t="shared" si="3"/>
        <v>0</v>
      </c>
      <c r="J26" s="54">
        <v>0</v>
      </c>
      <c r="K26" s="55">
        <f t="shared" si="4"/>
        <v>0</v>
      </c>
      <c r="L26" s="52"/>
      <c r="M26" s="53">
        <f t="shared" si="5"/>
        <v>0</v>
      </c>
      <c r="N26" s="54">
        <v>0</v>
      </c>
      <c r="O26" s="53">
        <f t="shared" si="6"/>
        <v>0</v>
      </c>
      <c r="P26" s="54"/>
      <c r="Q26" s="53">
        <f t="shared" si="7"/>
        <v>0</v>
      </c>
      <c r="R26" s="54">
        <v>0</v>
      </c>
      <c r="S26" s="53">
        <f t="shared" si="8"/>
        <v>0</v>
      </c>
      <c r="T26" s="54">
        <v>0</v>
      </c>
      <c r="U26" s="55">
        <f t="shared" si="9"/>
        <v>0</v>
      </c>
      <c r="V26" s="52"/>
      <c r="W26" s="53">
        <f t="shared" si="10"/>
        <v>0</v>
      </c>
      <c r="X26" s="54">
        <v>0</v>
      </c>
      <c r="Y26" s="53">
        <f t="shared" si="11"/>
        <v>0</v>
      </c>
      <c r="Z26" s="54">
        <v>0</v>
      </c>
      <c r="AA26" s="53">
        <f t="shared" si="12"/>
        <v>0</v>
      </c>
      <c r="AB26" s="54">
        <v>0</v>
      </c>
      <c r="AC26" s="53">
        <f t="shared" si="13"/>
        <v>0</v>
      </c>
      <c r="AD26" s="54">
        <v>0</v>
      </c>
      <c r="AE26" s="55">
        <f t="shared" si="14"/>
        <v>0</v>
      </c>
      <c r="AF26" s="52"/>
      <c r="AG26" s="53">
        <f t="shared" si="15"/>
        <v>0</v>
      </c>
      <c r="AH26" s="54">
        <v>0</v>
      </c>
      <c r="AI26" s="53">
        <f t="shared" si="16"/>
        <v>0</v>
      </c>
      <c r="AJ26" s="54"/>
      <c r="AK26" s="53">
        <f t="shared" si="17"/>
        <v>0</v>
      </c>
      <c r="AL26" s="54">
        <v>0</v>
      </c>
      <c r="AM26" s="53">
        <f t="shared" si="18"/>
        <v>0</v>
      </c>
      <c r="AN26" s="54">
        <v>0</v>
      </c>
      <c r="AO26" s="55">
        <f t="shared" si="19"/>
        <v>0</v>
      </c>
    </row>
    <row r="27" spans="1:41" x14ac:dyDescent="0.25">
      <c r="A27" s="28" t="s">
        <v>172</v>
      </c>
      <c r="B27" s="52"/>
      <c r="C27" s="53">
        <f t="shared" si="0"/>
        <v>0</v>
      </c>
      <c r="D27" s="54">
        <v>0</v>
      </c>
      <c r="E27" s="53">
        <f t="shared" si="1"/>
        <v>0</v>
      </c>
      <c r="F27" s="54">
        <v>0</v>
      </c>
      <c r="G27" s="53">
        <f t="shared" si="2"/>
        <v>0</v>
      </c>
      <c r="H27" s="54">
        <v>0</v>
      </c>
      <c r="I27" s="53">
        <f t="shared" si="3"/>
        <v>0</v>
      </c>
      <c r="J27" s="54">
        <v>0</v>
      </c>
      <c r="K27" s="55">
        <f t="shared" si="4"/>
        <v>0</v>
      </c>
      <c r="L27" s="52"/>
      <c r="M27" s="53">
        <f t="shared" si="5"/>
        <v>0</v>
      </c>
      <c r="N27" s="54">
        <v>0</v>
      </c>
      <c r="O27" s="53">
        <f t="shared" si="6"/>
        <v>0</v>
      </c>
      <c r="P27" s="54"/>
      <c r="Q27" s="53">
        <f t="shared" si="7"/>
        <v>0</v>
      </c>
      <c r="R27" s="54">
        <v>0</v>
      </c>
      <c r="S27" s="53">
        <f t="shared" si="8"/>
        <v>0</v>
      </c>
      <c r="T27" s="54">
        <v>0</v>
      </c>
      <c r="U27" s="55">
        <f t="shared" si="9"/>
        <v>0</v>
      </c>
      <c r="V27" s="52"/>
      <c r="W27" s="53">
        <f t="shared" si="10"/>
        <v>0</v>
      </c>
      <c r="X27" s="54">
        <v>0</v>
      </c>
      <c r="Y27" s="53">
        <f t="shared" si="11"/>
        <v>0</v>
      </c>
      <c r="Z27" s="54">
        <v>0</v>
      </c>
      <c r="AA27" s="53">
        <f t="shared" si="12"/>
        <v>0</v>
      </c>
      <c r="AB27" s="54">
        <v>0</v>
      </c>
      <c r="AC27" s="53">
        <f t="shared" si="13"/>
        <v>0</v>
      </c>
      <c r="AD27" s="54">
        <v>0</v>
      </c>
      <c r="AE27" s="55">
        <f t="shared" si="14"/>
        <v>0</v>
      </c>
      <c r="AF27" s="52"/>
      <c r="AG27" s="53">
        <f t="shared" si="15"/>
        <v>0</v>
      </c>
      <c r="AH27" s="54">
        <v>0</v>
      </c>
      <c r="AI27" s="53">
        <f t="shared" si="16"/>
        <v>0</v>
      </c>
      <c r="AJ27" s="54"/>
      <c r="AK27" s="53">
        <f t="shared" si="17"/>
        <v>0</v>
      </c>
      <c r="AL27" s="54">
        <v>0</v>
      </c>
      <c r="AM27" s="53">
        <f t="shared" si="18"/>
        <v>0</v>
      </c>
      <c r="AN27" s="54">
        <v>0</v>
      </c>
      <c r="AO27" s="55">
        <f t="shared" si="19"/>
        <v>0</v>
      </c>
    </row>
    <row r="28" spans="1:41" x14ac:dyDescent="0.25">
      <c r="A28" s="29" t="s">
        <v>78</v>
      </c>
      <c r="B28" s="52"/>
      <c r="C28" s="53">
        <f t="shared" si="0"/>
        <v>0</v>
      </c>
      <c r="D28" s="54">
        <v>1.0972222222222223</v>
      </c>
      <c r="E28" s="53">
        <f t="shared" si="1"/>
        <v>0.53162853297442803</v>
      </c>
      <c r="F28" s="54">
        <v>2.0513888888888889</v>
      </c>
      <c r="G28" s="53">
        <f t="shared" si="2"/>
        <v>0.49957720277354967</v>
      </c>
      <c r="H28" s="54">
        <v>1.9229166666666666</v>
      </c>
      <c r="I28" s="53">
        <f t="shared" si="3"/>
        <v>0.49305555555555552</v>
      </c>
      <c r="J28" s="54">
        <v>1.9229166666666666</v>
      </c>
      <c r="K28" s="55">
        <f t="shared" si="4"/>
        <v>0.49305555555555552</v>
      </c>
      <c r="L28" s="52"/>
      <c r="M28" s="53">
        <f t="shared" si="5"/>
        <v>0</v>
      </c>
      <c r="N28" s="54">
        <v>0</v>
      </c>
      <c r="O28" s="53">
        <f t="shared" si="6"/>
        <v>0</v>
      </c>
      <c r="P28" s="54"/>
      <c r="Q28" s="53">
        <f t="shared" si="7"/>
        <v>0</v>
      </c>
      <c r="R28" s="54">
        <v>0.125</v>
      </c>
      <c r="S28" s="53">
        <f t="shared" si="8"/>
        <v>4.4422507403751241E-2</v>
      </c>
      <c r="T28" s="54">
        <v>0.44722222222222213</v>
      </c>
      <c r="U28" s="55">
        <f t="shared" si="9"/>
        <v>7.6932266156970477E-2</v>
      </c>
      <c r="V28" s="52"/>
      <c r="W28" s="53">
        <f t="shared" si="10"/>
        <v>0</v>
      </c>
      <c r="X28" s="54">
        <v>1.1708333333333329</v>
      </c>
      <c r="Y28" s="53">
        <f t="shared" si="11"/>
        <v>0.38519533927347482</v>
      </c>
      <c r="Z28" s="54">
        <v>2.3104166666666659</v>
      </c>
      <c r="AA28" s="53">
        <f t="shared" si="12"/>
        <v>0.55644756648268923</v>
      </c>
      <c r="AB28" s="54">
        <v>3.0347222222222205</v>
      </c>
      <c r="AC28" s="53">
        <f t="shared" si="13"/>
        <v>0.5601127915918992</v>
      </c>
      <c r="AD28" s="54">
        <v>3.9159722222222206</v>
      </c>
      <c r="AE28" s="55">
        <f t="shared" si="14"/>
        <v>0.57770720213092908</v>
      </c>
      <c r="AF28" s="52"/>
      <c r="AG28" s="53">
        <f t="shared" si="15"/>
        <v>0</v>
      </c>
      <c r="AH28" s="54">
        <v>0.43749999999999989</v>
      </c>
      <c r="AI28" s="53">
        <f t="shared" si="16"/>
        <v>0.31658291457286419</v>
      </c>
      <c r="AJ28" s="54"/>
      <c r="AK28" s="53">
        <f t="shared" si="17"/>
        <v>0</v>
      </c>
      <c r="AL28" s="54">
        <v>1.1562499999999998</v>
      </c>
      <c r="AM28" s="53">
        <f t="shared" si="18"/>
        <v>0.22690106295993451</v>
      </c>
      <c r="AN28" s="54">
        <v>1.4305555555555551</v>
      </c>
      <c r="AO28" s="55">
        <f t="shared" si="19"/>
        <v>0.21061241181883233</v>
      </c>
    </row>
    <row r="29" spans="1:41" x14ac:dyDescent="0.25">
      <c r="A29" s="29" t="s">
        <v>79</v>
      </c>
      <c r="B29" s="52"/>
      <c r="C29" s="53">
        <f t="shared" si="0"/>
        <v>0</v>
      </c>
      <c r="D29" s="54">
        <v>0</v>
      </c>
      <c r="E29" s="53">
        <f t="shared" si="1"/>
        <v>0</v>
      </c>
      <c r="F29" s="54">
        <v>0</v>
      </c>
      <c r="G29" s="53">
        <f t="shared" si="2"/>
        <v>0</v>
      </c>
      <c r="H29" s="54">
        <v>0</v>
      </c>
      <c r="I29" s="53">
        <f t="shared" si="3"/>
        <v>0</v>
      </c>
      <c r="J29" s="54">
        <v>0</v>
      </c>
      <c r="K29" s="55">
        <f t="shared" si="4"/>
        <v>0</v>
      </c>
      <c r="L29" s="52"/>
      <c r="M29" s="53">
        <f t="shared" si="5"/>
        <v>0</v>
      </c>
      <c r="N29" s="54">
        <v>4.1666666666666664E-2</v>
      </c>
      <c r="O29" s="53">
        <f t="shared" si="6"/>
        <v>2.8625954198473282E-2</v>
      </c>
      <c r="P29" s="54"/>
      <c r="Q29" s="53">
        <f t="shared" si="7"/>
        <v>0</v>
      </c>
      <c r="R29" s="54">
        <v>0.10416666666666666</v>
      </c>
      <c r="S29" s="53">
        <f t="shared" si="8"/>
        <v>3.7018756169792694E-2</v>
      </c>
      <c r="T29" s="54">
        <v>0.10416666666666666</v>
      </c>
      <c r="U29" s="55">
        <f t="shared" si="9"/>
        <v>1.791900609246207E-2</v>
      </c>
      <c r="V29" s="52"/>
      <c r="W29" s="53">
        <f t="shared" si="10"/>
        <v>0</v>
      </c>
      <c r="X29" s="54">
        <v>0</v>
      </c>
      <c r="Y29" s="53">
        <f t="shared" si="11"/>
        <v>0</v>
      </c>
      <c r="Z29" s="54">
        <v>0</v>
      </c>
      <c r="AA29" s="53">
        <f t="shared" si="12"/>
        <v>0</v>
      </c>
      <c r="AB29" s="54">
        <v>0</v>
      </c>
      <c r="AC29" s="53">
        <f t="shared" si="13"/>
        <v>0</v>
      </c>
      <c r="AD29" s="54">
        <v>0</v>
      </c>
      <c r="AE29" s="55">
        <f t="shared" si="14"/>
        <v>0</v>
      </c>
      <c r="AF29" s="52"/>
      <c r="AG29" s="53">
        <f t="shared" si="15"/>
        <v>0</v>
      </c>
      <c r="AH29" s="54">
        <v>0</v>
      </c>
      <c r="AI29" s="53">
        <f t="shared" si="16"/>
        <v>0</v>
      </c>
      <c r="AJ29" s="54"/>
      <c r="AK29" s="53">
        <f t="shared" si="17"/>
        <v>0</v>
      </c>
      <c r="AL29" s="54">
        <v>0</v>
      </c>
      <c r="AM29" s="53">
        <f t="shared" si="18"/>
        <v>0</v>
      </c>
      <c r="AN29" s="54">
        <v>0</v>
      </c>
      <c r="AO29" s="55">
        <f t="shared" si="19"/>
        <v>0</v>
      </c>
    </row>
    <row r="30" spans="1:41" x14ac:dyDescent="0.25">
      <c r="A30" s="29" t="s">
        <v>80</v>
      </c>
      <c r="B30" s="52"/>
      <c r="C30" s="53">
        <f t="shared" si="0"/>
        <v>0</v>
      </c>
      <c r="D30" s="54">
        <v>0</v>
      </c>
      <c r="E30" s="53">
        <f t="shared" si="1"/>
        <v>0</v>
      </c>
      <c r="F30" s="54">
        <v>0</v>
      </c>
      <c r="G30" s="53">
        <f t="shared" si="2"/>
        <v>0</v>
      </c>
      <c r="H30" s="54">
        <v>0</v>
      </c>
      <c r="I30" s="53">
        <f t="shared" si="3"/>
        <v>0</v>
      </c>
      <c r="J30" s="54">
        <v>0</v>
      </c>
      <c r="K30" s="55">
        <f t="shared" si="4"/>
        <v>0</v>
      </c>
      <c r="L30" s="52"/>
      <c r="M30" s="53">
        <f t="shared" si="5"/>
        <v>0</v>
      </c>
      <c r="N30" s="54">
        <v>0</v>
      </c>
      <c r="O30" s="53">
        <f t="shared" si="6"/>
        <v>0</v>
      </c>
      <c r="P30" s="54"/>
      <c r="Q30" s="53">
        <f t="shared" si="7"/>
        <v>0</v>
      </c>
      <c r="R30" s="54">
        <v>0</v>
      </c>
      <c r="S30" s="53">
        <f t="shared" si="8"/>
        <v>0</v>
      </c>
      <c r="T30" s="54">
        <v>0</v>
      </c>
      <c r="U30" s="55">
        <f t="shared" si="9"/>
        <v>0</v>
      </c>
      <c r="V30" s="52"/>
      <c r="W30" s="53">
        <f t="shared" si="10"/>
        <v>0</v>
      </c>
      <c r="X30" s="54">
        <v>0</v>
      </c>
      <c r="Y30" s="53">
        <f t="shared" si="11"/>
        <v>0</v>
      </c>
      <c r="Z30" s="54">
        <v>0</v>
      </c>
      <c r="AA30" s="53">
        <f t="shared" si="12"/>
        <v>0</v>
      </c>
      <c r="AB30" s="54">
        <v>0</v>
      </c>
      <c r="AC30" s="53">
        <f t="shared" si="13"/>
        <v>0</v>
      </c>
      <c r="AD30" s="54">
        <v>0</v>
      </c>
      <c r="AE30" s="55">
        <f t="shared" si="14"/>
        <v>0</v>
      </c>
      <c r="AF30" s="52"/>
      <c r="AG30" s="53">
        <f t="shared" si="15"/>
        <v>0</v>
      </c>
      <c r="AH30" s="54">
        <v>0</v>
      </c>
      <c r="AI30" s="53">
        <f t="shared" si="16"/>
        <v>0</v>
      </c>
      <c r="AJ30" s="54"/>
      <c r="AK30" s="53">
        <f t="shared" si="17"/>
        <v>0</v>
      </c>
      <c r="AL30" s="54">
        <v>0</v>
      </c>
      <c r="AM30" s="53">
        <f t="shared" si="18"/>
        <v>0</v>
      </c>
      <c r="AN30" s="54">
        <v>0</v>
      </c>
      <c r="AO30" s="55">
        <f t="shared" si="19"/>
        <v>0</v>
      </c>
    </row>
    <row r="31" spans="1:41" x14ac:dyDescent="0.25">
      <c r="A31" s="29" t="s">
        <v>81</v>
      </c>
      <c r="B31" s="52"/>
      <c r="C31" s="53">
        <f t="shared" si="0"/>
        <v>0</v>
      </c>
      <c r="D31" s="54">
        <v>0</v>
      </c>
      <c r="E31" s="53">
        <f t="shared" si="1"/>
        <v>0</v>
      </c>
      <c r="F31" s="54">
        <v>0</v>
      </c>
      <c r="G31" s="53">
        <f t="shared" si="2"/>
        <v>0</v>
      </c>
      <c r="H31" s="54">
        <v>0</v>
      </c>
      <c r="I31" s="53">
        <f t="shared" si="3"/>
        <v>0</v>
      </c>
      <c r="J31" s="54">
        <v>0</v>
      </c>
      <c r="K31" s="55">
        <f t="shared" si="4"/>
        <v>0</v>
      </c>
      <c r="L31" s="52"/>
      <c r="M31" s="53">
        <f t="shared" si="5"/>
        <v>0</v>
      </c>
      <c r="N31" s="54">
        <v>0</v>
      </c>
      <c r="O31" s="53">
        <f t="shared" si="6"/>
        <v>0</v>
      </c>
      <c r="P31" s="54"/>
      <c r="Q31" s="53">
        <f t="shared" si="7"/>
        <v>0</v>
      </c>
      <c r="R31" s="54">
        <v>0</v>
      </c>
      <c r="S31" s="53">
        <f t="shared" si="8"/>
        <v>0</v>
      </c>
      <c r="T31" s="54">
        <v>0</v>
      </c>
      <c r="U31" s="55">
        <f t="shared" si="9"/>
        <v>0</v>
      </c>
      <c r="V31" s="52"/>
      <c r="W31" s="53">
        <f t="shared" si="10"/>
        <v>0</v>
      </c>
      <c r="X31" s="54">
        <v>0</v>
      </c>
      <c r="Y31" s="53">
        <f t="shared" si="11"/>
        <v>0</v>
      </c>
      <c r="Z31" s="54">
        <v>0</v>
      </c>
      <c r="AA31" s="53">
        <f t="shared" si="12"/>
        <v>0</v>
      </c>
      <c r="AB31" s="54">
        <v>0</v>
      </c>
      <c r="AC31" s="53">
        <f t="shared" si="13"/>
        <v>0</v>
      </c>
      <c r="AD31" s="54">
        <v>0</v>
      </c>
      <c r="AE31" s="55">
        <f t="shared" si="14"/>
        <v>0</v>
      </c>
      <c r="AF31" s="52"/>
      <c r="AG31" s="53">
        <f t="shared" si="15"/>
        <v>0</v>
      </c>
      <c r="AH31" s="54">
        <v>0</v>
      </c>
      <c r="AI31" s="53">
        <f t="shared" si="16"/>
        <v>0</v>
      </c>
      <c r="AJ31" s="54"/>
      <c r="AK31" s="53">
        <f t="shared" si="17"/>
        <v>0</v>
      </c>
      <c r="AL31" s="54">
        <v>0</v>
      </c>
      <c r="AM31" s="53">
        <f t="shared" si="18"/>
        <v>0</v>
      </c>
      <c r="AN31" s="54">
        <v>0</v>
      </c>
      <c r="AO31" s="55">
        <f t="shared" si="19"/>
        <v>0</v>
      </c>
    </row>
    <row r="32" spans="1:41" x14ac:dyDescent="0.25">
      <c r="A32" s="29" t="s">
        <v>82</v>
      </c>
      <c r="B32" s="52"/>
      <c r="C32" s="53">
        <f t="shared" si="0"/>
        <v>0</v>
      </c>
      <c r="D32" s="54">
        <v>0</v>
      </c>
      <c r="E32" s="53">
        <f t="shared" si="1"/>
        <v>0</v>
      </c>
      <c r="F32" s="54">
        <v>0</v>
      </c>
      <c r="G32" s="53">
        <f t="shared" si="2"/>
        <v>0</v>
      </c>
      <c r="H32" s="54">
        <v>0</v>
      </c>
      <c r="I32" s="53">
        <f t="shared" si="3"/>
        <v>0</v>
      </c>
      <c r="J32" s="54">
        <v>0</v>
      </c>
      <c r="K32" s="55">
        <f t="shared" si="4"/>
        <v>0</v>
      </c>
      <c r="L32" s="52"/>
      <c r="M32" s="53">
        <f t="shared" si="5"/>
        <v>0</v>
      </c>
      <c r="N32" s="54">
        <v>0</v>
      </c>
      <c r="O32" s="53">
        <f t="shared" si="6"/>
        <v>0</v>
      </c>
      <c r="P32" s="54"/>
      <c r="Q32" s="53">
        <f t="shared" si="7"/>
        <v>0</v>
      </c>
      <c r="R32" s="54">
        <v>0</v>
      </c>
      <c r="S32" s="53">
        <f t="shared" si="8"/>
        <v>0</v>
      </c>
      <c r="T32" s="54">
        <v>0</v>
      </c>
      <c r="U32" s="55">
        <f t="shared" si="9"/>
        <v>0</v>
      </c>
      <c r="V32" s="52"/>
      <c r="W32" s="53">
        <f t="shared" si="10"/>
        <v>0</v>
      </c>
      <c r="X32" s="54">
        <v>0</v>
      </c>
      <c r="Y32" s="53">
        <f t="shared" si="11"/>
        <v>0</v>
      </c>
      <c r="Z32" s="54">
        <v>0</v>
      </c>
      <c r="AA32" s="53">
        <f t="shared" si="12"/>
        <v>0</v>
      </c>
      <c r="AB32" s="54">
        <v>0</v>
      </c>
      <c r="AC32" s="53">
        <f t="shared" si="13"/>
        <v>0</v>
      </c>
      <c r="AD32" s="54">
        <v>0</v>
      </c>
      <c r="AE32" s="55">
        <f t="shared" si="14"/>
        <v>0</v>
      </c>
      <c r="AF32" s="52"/>
      <c r="AG32" s="53">
        <f t="shared" si="15"/>
        <v>0</v>
      </c>
      <c r="AH32" s="54">
        <v>0</v>
      </c>
      <c r="AI32" s="53">
        <f t="shared" si="16"/>
        <v>0</v>
      </c>
      <c r="AJ32" s="54"/>
      <c r="AK32" s="53">
        <f t="shared" si="17"/>
        <v>0</v>
      </c>
      <c r="AL32" s="54">
        <v>0</v>
      </c>
      <c r="AM32" s="53">
        <f t="shared" si="18"/>
        <v>0</v>
      </c>
      <c r="AN32" s="54">
        <v>0</v>
      </c>
      <c r="AO32" s="55">
        <f t="shared" si="19"/>
        <v>0</v>
      </c>
    </row>
    <row r="33" spans="1:41" x14ac:dyDescent="0.25">
      <c r="A33" s="29" t="s">
        <v>83</v>
      </c>
      <c r="B33" s="52"/>
      <c r="C33" s="53">
        <f t="shared" si="0"/>
        <v>0</v>
      </c>
      <c r="D33" s="54">
        <v>1.041666666666663E-2</v>
      </c>
      <c r="E33" s="53">
        <f t="shared" si="1"/>
        <v>5.0471063257065763E-3</v>
      </c>
      <c r="F33" s="54">
        <v>0</v>
      </c>
      <c r="G33" s="53">
        <f t="shared" si="2"/>
        <v>0</v>
      </c>
      <c r="H33" s="54">
        <v>0</v>
      </c>
      <c r="I33" s="53">
        <f t="shared" si="3"/>
        <v>0</v>
      </c>
      <c r="J33" s="54">
        <v>0</v>
      </c>
      <c r="K33" s="55">
        <f t="shared" si="4"/>
        <v>0</v>
      </c>
      <c r="L33" s="52"/>
      <c r="M33" s="53">
        <f t="shared" si="5"/>
        <v>0</v>
      </c>
      <c r="N33" s="54">
        <v>0.21874999999999989</v>
      </c>
      <c r="O33" s="53">
        <f t="shared" si="6"/>
        <v>0.15028625954198466</v>
      </c>
      <c r="P33" s="54"/>
      <c r="Q33" s="53">
        <f t="shared" si="7"/>
        <v>0</v>
      </c>
      <c r="R33" s="54">
        <v>0.55902777777777757</v>
      </c>
      <c r="S33" s="53">
        <f t="shared" si="8"/>
        <v>0.1986673247778874</v>
      </c>
      <c r="T33" s="54">
        <v>1.1999999999999997</v>
      </c>
      <c r="U33" s="55">
        <f t="shared" si="9"/>
        <v>0.20642695018516302</v>
      </c>
      <c r="V33" s="52"/>
      <c r="W33" s="53">
        <f t="shared" si="10"/>
        <v>0</v>
      </c>
      <c r="X33" s="54">
        <v>0</v>
      </c>
      <c r="Y33" s="53">
        <f t="shared" si="11"/>
        <v>0</v>
      </c>
      <c r="Z33" s="54">
        <v>0</v>
      </c>
      <c r="AA33" s="53">
        <f t="shared" si="12"/>
        <v>0</v>
      </c>
      <c r="AB33" s="54">
        <v>0</v>
      </c>
      <c r="AC33" s="53">
        <f t="shared" si="13"/>
        <v>0</v>
      </c>
      <c r="AD33" s="54">
        <v>0</v>
      </c>
      <c r="AE33" s="55">
        <f t="shared" si="14"/>
        <v>0</v>
      </c>
      <c r="AF33" s="52"/>
      <c r="AG33" s="53">
        <f t="shared" si="15"/>
        <v>0</v>
      </c>
      <c r="AH33" s="54">
        <v>0</v>
      </c>
      <c r="AI33" s="53">
        <f t="shared" si="16"/>
        <v>0</v>
      </c>
      <c r="AJ33" s="54"/>
      <c r="AK33" s="53">
        <f t="shared" si="17"/>
        <v>0</v>
      </c>
      <c r="AL33" s="54">
        <v>0</v>
      </c>
      <c r="AM33" s="53">
        <f t="shared" si="18"/>
        <v>0</v>
      </c>
      <c r="AN33" s="54">
        <v>3.472222222222221E-2</v>
      </c>
      <c r="AO33" s="55">
        <f t="shared" si="19"/>
        <v>5.1119517431755419E-3</v>
      </c>
    </row>
    <row r="34" spans="1:41" x14ac:dyDescent="0.25">
      <c r="A34" s="29" t="s">
        <v>84</v>
      </c>
      <c r="B34" s="52"/>
      <c r="C34" s="53">
        <f t="shared" si="0"/>
        <v>0</v>
      </c>
      <c r="D34" s="54">
        <v>3.4722222222220989E-3</v>
      </c>
      <c r="E34" s="53">
        <f t="shared" si="1"/>
        <v>1.6823687752354716E-3</v>
      </c>
      <c r="F34" s="54">
        <v>1.3888888888888729E-2</v>
      </c>
      <c r="G34" s="53">
        <f t="shared" si="2"/>
        <v>3.3823778116015158E-3</v>
      </c>
      <c r="H34" s="54">
        <v>1.3888888888888729E-2</v>
      </c>
      <c r="I34" s="53">
        <f t="shared" si="3"/>
        <v>3.5612535612535201E-3</v>
      </c>
      <c r="J34" s="54">
        <v>1.3888888888888729E-2</v>
      </c>
      <c r="K34" s="55">
        <f t="shared" si="4"/>
        <v>3.5612535612535201E-3</v>
      </c>
      <c r="L34" s="52"/>
      <c r="M34" s="53">
        <f t="shared" si="5"/>
        <v>0</v>
      </c>
      <c r="N34" s="54">
        <v>0</v>
      </c>
      <c r="O34" s="53">
        <f t="shared" si="6"/>
        <v>0</v>
      </c>
      <c r="P34" s="54"/>
      <c r="Q34" s="53">
        <f t="shared" si="7"/>
        <v>0</v>
      </c>
      <c r="R34" s="54">
        <v>6.25E-2</v>
      </c>
      <c r="S34" s="53">
        <f t="shared" si="8"/>
        <v>2.221125370187562E-2</v>
      </c>
      <c r="T34" s="54">
        <v>0.18680555555555556</v>
      </c>
      <c r="U34" s="55">
        <f t="shared" si="9"/>
        <v>3.2134750925815317E-2</v>
      </c>
      <c r="V34" s="52"/>
      <c r="W34" s="53">
        <f t="shared" si="10"/>
        <v>0</v>
      </c>
      <c r="X34" s="54">
        <v>0</v>
      </c>
      <c r="Y34" s="53">
        <f t="shared" si="11"/>
        <v>0</v>
      </c>
      <c r="Z34" s="54">
        <v>0</v>
      </c>
      <c r="AA34" s="53">
        <f t="shared" si="12"/>
        <v>0</v>
      </c>
      <c r="AB34" s="54">
        <v>0</v>
      </c>
      <c r="AC34" s="53">
        <f t="shared" si="13"/>
        <v>0</v>
      </c>
      <c r="AD34" s="54">
        <v>0</v>
      </c>
      <c r="AE34" s="55">
        <f t="shared" si="14"/>
        <v>0</v>
      </c>
      <c r="AF34" s="52"/>
      <c r="AG34" s="53">
        <f t="shared" si="15"/>
        <v>0</v>
      </c>
      <c r="AH34" s="54">
        <v>0</v>
      </c>
      <c r="AI34" s="53">
        <f t="shared" si="16"/>
        <v>0</v>
      </c>
      <c r="AJ34" s="54"/>
      <c r="AK34" s="53">
        <f t="shared" si="17"/>
        <v>0</v>
      </c>
      <c r="AL34" s="54">
        <v>0</v>
      </c>
      <c r="AM34" s="53">
        <f t="shared" si="18"/>
        <v>0</v>
      </c>
      <c r="AN34" s="54">
        <v>0</v>
      </c>
      <c r="AO34" s="55">
        <f t="shared" si="19"/>
        <v>0</v>
      </c>
    </row>
    <row r="35" spans="1:41" ht="15.75" thickBot="1" x14ac:dyDescent="0.3">
      <c r="A35" s="30" t="s">
        <v>85</v>
      </c>
      <c r="B35" s="52"/>
      <c r="C35" s="53">
        <f t="shared" si="0"/>
        <v>0</v>
      </c>
      <c r="D35" s="54">
        <v>0</v>
      </c>
      <c r="E35" s="53">
        <f t="shared" si="1"/>
        <v>0</v>
      </c>
      <c r="F35" s="54">
        <v>0</v>
      </c>
      <c r="G35" s="53">
        <f t="shared" si="2"/>
        <v>0</v>
      </c>
      <c r="H35" s="54">
        <v>0</v>
      </c>
      <c r="I35" s="53">
        <f t="shared" si="3"/>
        <v>0</v>
      </c>
      <c r="J35" s="54">
        <v>0</v>
      </c>
      <c r="K35" s="55">
        <f t="shared" si="4"/>
        <v>0</v>
      </c>
      <c r="L35" s="52"/>
      <c r="M35" s="53">
        <f t="shared" si="5"/>
        <v>0</v>
      </c>
      <c r="N35" s="54">
        <v>4.1666666666666741E-2</v>
      </c>
      <c r="O35" s="53">
        <f t="shared" si="6"/>
        <v>2.8625954198473334E-2</v>
      </c>
      <c r="P35" s="54"/>
      <c r="Q35" s="53">
        <f t="shared" si="7"/>
        <v>0</v>
      </c>
      <c r="R35" s="54">
        <v>4.1666666666666741E-2</v>
      </c>
      <c r="S35" s="53">
        <f t="shared" si="8"/>
        <v>1.4807502467917106E-2</v>
      </c>
      <c r="T35" s="54">
        <v>0.18055555555555561</v>
      </c>
      <c r="U35" s="55">
        <f t="shared" si="9"/>
        <v>3.1059610560267601E-2</v>
      </c>
      <c r="V35" s="52"/>
      <c r="W35" s="53">
        <f t="shared" si="10"/>
        <v>0</v>
      </c>
      <c r="X35" s="54">
        <v>0</v>
      </c>
      <c r="Y35" s="53">
        <f t="shared" si="11"/>
        <v>0</v>
      </c>
      <c r="Z35" s="54">
        <v>0</v>
      </c>
      <c r="AA35" s="53">
        <f t="shared" si="12"/>
        <v>0</v>
      </c>
      <c r="AB35" s="54">
        <v>0</v>
      </c>
      <c r="AC35" s="53">
        <f t="shared" si="13"/>
        <v>0</v>
      </c>
      <c r="AD35" s="54">
        <v>0</v>
      </c>
      <c r="AE35" s="55">
        <f t="shared" si="14"/>
        <v>0</v>
      </c>
      <c r="AF35" s="52"/>
      <c r="AG35" s="53">
        <f t="shared" si="15"/>
        <v>0</v>
      </c>
      <c r="AH35" s="54">
        <v>0</v>
      </c>
      <c r="AI35" s="53">
        <f t="shared" si="16"/>
        <v>0</v>
      </c>
      <c r="AJ35" s="54"/>
      <c r="AK35" s="53">
        <f t="shared" si="17"/>
        <v>0</v>
      </c>
      <c r="AL35" s="54">
        <v>0</v>
      </c>
      <c r="AM35" s="53">
        <f t="shared" si="18"/>
        <v>0</v>
      </c>
      <c r="AN35" s="54">
        <v>0</v>
      </c>
      <c r="AO35" s="55">
        <f t="shared" si="19"/>
        <v>0</v>
      </c>
    </row>
    <row r="36" spans="1:41" ht="15.75" thickBot="1" x14ac:dyDescent="0.3">
      <c r="A36" s="30" t="s">
        <v>86</v>
      </c>
      <c r="B36" s="56"/>
      <c r="C36" s="57">
        <f t="shared" si="0"/>
        <v>0</v>
      </c>
      <c r="D36" s="58">
        <v>0.39930555555555547</v>
      </c>
      <c r="E36" s="57">
        <f t="shared" si="1"/>
        <v>0.19347240915208608</v>
      </c>
      <c r="F36" s="58">
        <v>0.39930555555555547</v>
      </c>
      <c r="G36" s="57">
        <f t="shared" si="2"/>
        <v>9.7243362083544685E-2</v>
      </c>
      <c r="H36" s="58">
        <v>0.39930555555555547</v>
      </c>
      <c r="I36" s="57">
        <f t="shared" si="3"/>
        <v>0.10238603988603986</v>
      </c>
      <c r="J36" s="58">
        <v>0.39930555555555547</v>
      </c>
      <c r="K36" s="59">
        <f t="shared" si="4"/>
        <v>0.10238603988603986</v>
      </c>
      <c r="L36" s="56"/>
      <c r="M36" s="57">
        <f t="shared" si="5"/>
        <v>0</v>
      </c>
      <c r="N36" s="58">
        <v>0.22777777777777786</v>
      </c>
      <c r="O36" s="57">
        <f t="shared" si="6"/>
        <v>0.15648854961832068</v>
      </c>
      <c r="P36" s="58"/>
      <c r="Q36" s="57">
        <f t="shared" si="7"/>
        <v>0</v>
      </c>
      <c r="R36" s="58">
        <v>0.26944444444444454</v>
      </c>
      <c r="S36" s="57">
        <f t="shared" si="8"/>
        <v>9.5755182625863813E-2</v>
      </c>
      <c r="T36" s="58">
        <v>0.26944444444444454</v>
      </c>
      <c r="U36" s="59">
        <f t="shared" si="9"/>
        <v>4.6350495759168581E-2</v>
      </c>
      <c r="V36" s="56"/>
      <c r="W36" s="57">
        <f t="shared" si="10"/>
        <v>0</v>
      </c>
      <c r="X36" s="58">
        <v>0.17013888888888878</v>
      </c>
      <c r="Y36" s="57">
        <f t="shared" si="11"/>
        <v>5.597441169750967E-2</v>
      </c>
      <c r="Z36" s="58">
        <v>0.17013888888888878</v>
      </c>
      <c r="AA36" s="57">
        <f t="shared" si="12"/>
        <v>4.0976751965211548E-2</v>
      </c>
      <c r="AB36" s="58">
        <v>0.17013888888888878</v>
      </c>
      <c r="AC36" s="57">
        <f t="shared" si="13"/>
        <v>3.1402204562932565E-2</v>
      </c>
      <c r="AD36" s="58">
        <v>0.17013888888888878</v>
      </c>
      <c r="AE36" s="59">
        <f t="shared" si="14"/>
        <v>2.5099887306628408E-2</v>
      </c>
      <c r="AF36" s="56"/>
      <c r="AG36" s="57">
        <f t="shared" si="15"/>
        <v>0</v>
      </c>
      <c r="AH36" s="58">
        <v>0</v>
      </c>
      <c r="AI36" s="57">
        <f t="shared" si="16"/>
        <v>0</v>
      </c>
      <c r="AJ36" s="58"/>
      <c r="AK36" s="57">
        <f t="shared" si="17"/>
        <v>0</v>
      </c>
      <c r="AL36" s="58">
        <v>0</v>
      </c>
      <c r="AM36" s="57">
        <f t="shared" si="18"/>
        <v>0</v>
      </c>
      <c r="AN36" s="58">
        <v>0</v>
      </c>
      <c r="AO36" s="59">
        <f t="shared" si="19"/>
        <v>0</v>
      </c>
    </row>
    <row r="37" spans="1:41" x14ac:dyDescent="0.25">
      <c r="B37" s="45">
        <f>SUM(B4:B36)</f>
        <v>0</v>
      </c>
      <c r="D37" s="45">
        <f>SUM(D4:D36)</f>
        <v>2.0638888888888891</v>
      </c>
      <c r="F37" s="45">
        <f>SUM(F4:F36)</f>
        <v>4.1062500000000011</v>
      </c>
      <c r="H37" s="45">
        <f>SUM(H4:H36)</f>
        <v>3.9</v>
      </c>
      <c r="J37" s="45">
        <f>SUM(J4:J36)</f>
        <v>3.9</v>
      </c>
      <c r="L37" s="45">
        <f>SUM(L4:L36)</f>
        <v>0</v>
      </c>
      <c r="N37" s="45">
        <f>SUM(N4:N36)</f>
        <v>1.4555555555555555</v>
      </c>
      <c r="P37" s="45">
        <f>SUM(P4:P36)</f>
        <v>0</v>
      </c>
      <c r="R37" s="45">
        <f>SUM(R4:R36)</f>
        <v>2.8138888888888887</v>
      </c>
      <c r="T37" s="45">
        <f>SUM(T4:T36)</f>
        <v>5.8131944444444441</v>
      </c>
      <c r="V37" s="45">
        <f>SUM(V4:V36)</f>
        <v>0</v>
      </c>
      <c r="X37" s="45">
        <f>SUM(X4:X36)</f>
        <v>3.0395833333333337</v>
      </c>
      <c r="Z37" s="45">
        <f>SUM(Z4:Z36)</f>
        <v>4.1520833333333336</v>
      </c>
      <c r="AB37" s="45">
        <f>SUM(AB4:AB36)</f>
        <v>5.4180555555555552</v>
      </c>
      <c r="AD37" s="45">
        <f>SUM(AD4:AD36)</f>
        <v>6.7784722222222209</v>
      </c>
      <c r="AF37" s="45">
        <f>SUM(AF4:AF36)</f>
        <v>0</v>
      </c>
      <c r="AH37" s="45">
        <f>SUM(AH4:AH36)</f>
        <v>1.3819444444444446</v>
      </c>
      <c r="AJ37" s="45">
        <f>SUM(AJ4:AJ36)</f>
        <v>0</v>
      </c>
      <c r="AL37" s="45">
        <f>SUM(AL4:AL36)</f>
        <v>5.0958333333333341</v>
      </c>
      <c r="AN37" s="45">
        <f>SUM(AN4:AN36)</f>
        <v>6.792361111111112</v>
      </c>
    </row>
    <row r="38" spans="1:41" x14ac:dyDescent="0.25">
      <c r="D38" s="39">
        <v>71.2</v>
      </c>
      <c r="F38" s="39">
        <v>121.716666666667</v>
      </c>
      <c r="H38" s="39">
        <v>115.683333333333</v>
      </c>
      <c r="J38" s="39">
        <v>115.683333333333</v>
      </c>
      <c r="N38" s="39">
        <v>34.933333333333302</v>
      </c>
      <c r="R38" s="39">
        <v>67.533333333333303</v>
      </c>
      <c r="T38" s="39">
        <v>139.51666666666699</v>
      </c>
      <c r="X38" s="39">
        <v>72.95</v>
      </c>
      <c r="Z38" s="39">
        <v>99.65</v>
      </c>
      <c r="AB38" s="39">
        <v>130.03333333333299</v>
      </c>
      <c r="AD38" s="39">
        <v>162.683333333333</v>
      </c>
      <c r="AH38" s="39">
        <v>33.1666666666667</v>
      </c>
      <c r="AL38" s="39">
        <v>122.3</v>
      </c>
      <c r="AN38" s="39">
        <v>163.01666666666699</v>
      </c>
    </row>
    <row r="39" spans="1:41" x14ac:dyDescent="0.25">
      <c r="D39" s="39">
        <v>49.533333333333303</v>
      </c>
      <c r="F39" s="39">
        <v>98.55</v>
      </c>
      <c r="H39" s="39">
        <v>93.6</v>
      </c>
      <c r="J39" s="39">
        <v>93.6</v>
      </c>
      <c r="N39" s="39">
        <v>34.933333333333302</v>
      </c>
      <c r="R39" s="39">
        <v>67.533333333333303</v>
      </c>
      <c r="T39" s="39">
        <v>139.51666666666699</v>
      </c>
      <c r="X39" s="39">
        <v>72.95</v>
      </c>
      <c r="Z39" s="39">
        <v>99.65</v>
      </c>
      <c r="AB39" s="39">
        <v>130.03333333333299</v>
      </c>
      <c r="AD39" s="39">
        <v>162.683333333333</v>
      </c>
      <c r="AH39" s="39">
        <v>33.1666666666667</v>
      </c>
      <c r="AL39" s="39">
        <v>122.3</v>
      </c>
      <c r="AN39" s="39">
        <v>163.01666666666699</v>
      </c>
    </row>
  </sheetData>
  <mergeCells count="24">
    <mergeCell ref="X2:Y2"/>
    <mergeCell ref="B1:K1"/>
    <mergeCell ref="L1:U1"/>
    <mergeCell ref="V1:AE1"/>
    <mergeCell ref="AF1:AO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AL2:AM2"/>
    <mergeCell ref="AN2:AO2"/>
    <mergeCell ref="Z2:AA2"/>
    <mergeCell ref="AB2:AC2"/>
    <mergeCell ref="AD2:AE2"/>
    <mergeCell ref="AF2:AG2"/>
    <mergeCell ref="AH2:AI2"/>
    <mergeCell ref="AJ2:AK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39"/>
  <sheetViews>
    <sheetView zoomScale="50" zoomScaleNormal="50" workbookViewId="0">
      <selection activeCell="B2" sqref="B2:DB2"/>
    </sheetView>
  </sheetViews>
  <sheetFormatPr defaultRowHeight="15" x14ac:dyDescent="0.25"/>
  <cols>
    <col min="1" max="1" width="34.28515625" style="39" bestFit="1" customWidth="1"/>
    <col min="2" max="16384" width="9.140625" style="39"/>
  </cols>
  <sheetData>
    <row r="1" spans="1:11" ht="15.75" customHeight="1" thickBot="1" x14ac:dyDescent="0.3">
      <c r="B1" s="72" t="s">
        <v>40</v>
      </c>
      <c r="C1" s="67"/>
      <c r="D1" s="67"/>
      <c r="E1" s="67"/>
      <c r="F1" s="67"/>
      <c r="G1" s="67"/>
      <c r="H1" s="67"/>
      <c r="I1" s="67"/>
      <c r="J1" s="67"/>
      <c r="K1" s="68"/>
    </row>
    <row r="2" spans="1:11" x14ac:dyDescent="0.25">
      <c r="B2" s="64">
        <f ca="1">SunDates!$H1</f>
        <v>43435</v>
      </c>
      <c r="C2" s="65"/>
      <c r="D2" s="64">
        <f ca="1">SunDates!$H2</f>
        <v>43442</v>
      </c>
      <c r="E2" s="65"/>
      <c r="F2" s="64">
        <f ca="1">SunDates!$H3</f>
        <v>43449</v>
      </c>
      <c r="G2" s="65"/>
      <c r="H2" s="64">
        <f ca="1">SunDates!$H4</f>
        <v>43456</v>
      </c>
      <c r="I2" s="65"/>
      <c r="J2" s="64">
        <f ca="1">SunDates!$H5</f>
        <v>43463</v>
      </c>
      <c r="K2" s="65"/>
    </row>
    <row r="3" spans="1:11" ht="15.75" thickBot="1" x14ac:dyDescent="0.3">
      <c r="B3" s="42" t="s">
        <v>195</v>
      </c>
      <c r="C3" s="43" t="s">
        <v>196</v>
      </c>
      <c r="D3" s="43" t="s">
        <v>195</v>
      </c>
      <c r="E3" s="43" t="s">
        <v>196</v>
      </c>
      <c r="F3" s="43" t="s">
        <v>195</v>
      </c>
      <c r="G3" s="43" t="s">
        <v>196</v>
      </c>
      <c r="H3" s="43" t="s">
        <v>195</v>
      </c>
      <c r="I3" s="43" t="s">
        <v>196</v>
      </c>
      <c r="J3" s="43" t="s">
        <v>195</v>
      </c>
      <c r="K3" s="44" t="s">
        <v>196</v>
      </c>
    </row>
    <row r="4" spans="1:11" x14ac:dyDescent="0.25">
      <c r="A4" s="27" t="s">
        <v>68</v>
      </c>
      <c r="B4" s="48"/>
      <c r="C4" s="49">
        <f t="shared" ref="C4:C36" si="0">IFERROR(B4/B$37,0%)</f>
        <v>0</v>
      </c>
      <c r="D4" s="50">
        <v>7.6388888888888618E-3</v>
      </c>
      <c r="E4" s="49">
        <f t="shared" ref="E4:E36" si="1">IFERROR(D4/D$37,0%)</f>
        <v>4.4806517311608788E-3</v>
      </c>
      <c r="F4" s="50">
        <v>5.625000000000005E-2</v>
      </c>
      <c r="G4" s="49">
        <f t="shared" ref="G4:G36" si="2">IFERROR(F4/F$37,0%)</f>
        <v>1.4889705882352952E-2</v>
      </c>
      <c r="H4" s="50">
        <v>6.5972222222222349E-2</v>
      </c>
      <c r="I4" s="49">
        <f t="shared" ref="I4:I36" si="3">IFERROR(H4/H$37,0%)</f>
        <v>1.2121985453617477E-2</v>
      </c>
      <c r="J4" s="50">
        <v>0.1041666666666668</v>
      </c>
      <c r="K4" s="51">
        <f t="shared" ref="K4:K36" si="4">IFERROR(J4/J$37,0%)</f>
        <v>1.4577259475218677E-2</v>
      </c>
    </row>
    <row r="5" spans="1:11" x14ac:dyDescent="0.25">
      <c r="A5" s="28" t="s">
        <v>69</v>
      </c>
      <c r="B5" s="52"/>
      <c r="C5" s="53">
        <f t="shared" si="0"/>
        <v>0</v>
      </c>
      <c r="D5" s="54">
        <v>3.4722222222222182E-2</v>
      </c>
      <c r="E5" s="53">
        <f t="shared" si="1"/>
        <v>2.0366598778004043E-2</v>
      </c>
      <c r="F5" s="54">
        <v>9.0277777777777693E-2</v>
      </c>
      <c r="G5" s="53">
        <f t="shared" si="2"/>
        <v>2.3897058823529386E-2</v>
      </c>
      <c r="H5" s="54">
        <v>0.12083333333333331</v>
      </c>
      <c r="I5" s="53">
        <f t="shared" si="3"/>
        <v>2.2202373357151962E-2</v>
      </c>
      <c r="J5" s="54">
        <v>0.16805555555555543</v>
      </c>
      <c r="K5" s="55">
        <f t="shared" si="4"/>
        <v>2.351797862001942E-2</v>
      </c>
    </row>
    <row r="6" spans="1:11" x14ac:dyDescent="0.25">
      <c r="A6" s="28" t="s">
        <v>70</v>
      </c>
      <c r="B6" s="52"/>
      <c r="C6" s="53">
        <f t="shared" si="0"/>
        <v>0</v>
      </c>
      <c r="D6" s="54">
        <v>4.513888888888884E-2</v>
      </c>
      <c r="E6" s="53">
        <f t="shared" si="1"/>
        <v>2.6476578411405258E-2</v>
      </c>
      <c r="F6" s="54">
        <v>0.15277777777777779</v>
      </c>
      <c r="G6" s="53">
        <f t="shared" si="2"/>
        <v>4.0441176470588237E-2</v>
      </c>
      <c r="H6" s="54">
        <v>0.16458333333333336</v>
      </c>
      <c r="I6" s="53">
        <f t="shared" si="3"/>
        <v>3.0241163710603546E-2</v>
      </c>
      <c r="J6" s="54">
        <v>0.16458333333333336</v>
      </c>
      <c r="K6" s="55">
        <f t="shared" si="4"/>
        <v>2.3032069970845486E-2</v>
      </c>
    </row>
    <row r="7" spans="1:11" x14ac:dyDescent="0.25">
      <c r="A7" s="28" t="s">
        <v>71</v>
      </c>
      <c r="B7" s="52"/>
      <c r="C7" s="53">
        <f t="shared" si="0"/>
        <v>0</v>
      </c>
      <c r="D7" s="54">
        <v>0</v>
      </c>
      <c r="E7" s="53">
        <f t="shared" si="1"/>
        <v>0</v>
      </c>
      <c r="F7" s="54">
        <v>0</v>
      </c>
      <c r="G7" s="53">
        <f t="shared" si="2"/>
        <v>0</v>
      </c>
      <c r="H7" s="54">
        <v>0</v>
      </c>
      <c r="I7" s="53">
        <f t="shared" si="3"/>
        <v>0</v>
      </c>
      <c r="J7" s="54">
        <v>0</v>
      </c>
      <c r="K7" s="55">
        <f t="shared" si="4"/>
        <v>0</v>
      </c>
    </row>
    <row r="8" spans="1:11" x14ac:dyDescent="0.25">
      <c r="A8" s="28" t="s">
        <v>72</v>
      </c>
      <c r="B8" s="52"/>
      <c r="C8" s="53">
        <f t="shared" si="0"/>
        <v>0</v>
      </c>
      <c r="D8" s="54">
        <v>0</v>
      </c>
      <c r="E8" s="53">
        <f t="shared" si="1"/>
        <v>0</v>
      </c>
      <c r="F8" s="54">
        <v>0</v>
      </c>
      <c r="G8" s="53">
        <f t="shared" si="2"/>
        <v>0</v>
      </c>
      <c r="H8" s="54">
        <v>0</v>
      </c>
      <c r="I8" s="53">
        <f t="shared" si="3"/>
        <v>0</v>
      </c>
      <c r="J8" s="54">
        <v>0</v>
      </c>
      <c r="K8" s="55">
        <f t="shared" si="4"/>
        <v>0</v>
      </c>
    </row>
    <row r="9" spans="1:11" x14ac:dyDescent="0.25">
      <c r="A9" s="28" t="s">
        <v>73</v>
      </c>
      <c r="B9" s="52"/>
      <c r="C9" s="53">
        <f t="shared" si="0"/>
        <v>0</v>
      </c>
      <c r="D9" s="54">
        <v>0</v>
      </c>
      <c r="E9" s="53">
        <f t="shared" si="1"/>
        <v>0</v>
      </c>
      <c r="F9" s="54">
        <v>0</v>
      </c>
      <c r="G9" s="53">
        <f t="shared" si="2"/>
        <v>0</v>
      </c>
      <c r="H9" s="54">
        <v>0</v>
      </c>
      <c r="I9" s="53">
        <f t="shared" si="3"/>
        <v>0</v>
      </c>
      <c r="J9" s="54">
        <v>0</v>
      </c>
      <c r="K9" s="55">
        <f t="shared" si="4"/>
        <v>0</v>
      </c>
    </row>
    <row r="10" spans="1:11" x14ac:dyDescent="0.25">
      <c r="A10" s="28" t="s">
        <v>74</v>
      </c>
      <c r="B10" s="52"/>
      <c r="C10" s="53">
        <f t="shared" si="0"/>
        <v>0</v>
      </c>
      <c r="D10" s="54">
        <v>4.8611111111115379E-3</v>
      </c>
      <c r="E10" s="53">
        <f t="shared" si="1"/>
        <v>2.8513238289208198E-3</v>
      </c>
      <c r="F10" s="54">
        <v>1.3194444444444731E-2</v>
      </c>
      <c r="G10" s="53">
        <f t="shared" si="2"/>
        <v>3.492647058823605E-3</v>
      </c>
      <c r="H10" s="54">
        <v>1.6666666666667052E-2</v>
      </c>
      <c r="I10" s="53">
        <f t="shared" si="3"/>
        <v>3.0623963251244801E-3</v>
      </c>
      <c r="J10" s="54">
        <v>2.2222222222222365E-2</v>
      </c>
      <c r="K10" s="55">
        <f t="shared" si="4"/>
        <v>3.1098153547133339E-3</v>
      </c>
    </row>
    <row r="11" spans="1:11" x14ac:dyDescent="0.25">
      <c r="A11" s="28" t="s">
        <v>75</v>
      </c>
      <c r="B11" s="52"/>
      <c r="C11" s="53">
        <f t="shared" si="0"/>
        <v>0</v>
      </c>
      <c r="D11" s="54">
        <v>0.29791666666666672</v>
      </c>
      <c r="E11" s="53">
        <f t="shared" si="1"/>
        <v>0.17474541751527492</v>
      </c>
      <c r="F11" s="54">
        <v>0.8055555555555558</v>
      </c>
      <c r="G11" s="53">
        <f t="shared" si="2"/>
        <v>0.21323529411764711</v>
      </c>
      <c r="H11" s="54">
        <v>0.96944444444444444</v>
      </c>
      <c r="I11" s="53">
        <f t="shared" si="3"/>
        <v>0.17812938624473645</v>
      </c>
      <c r="J11" s="54">
        <v>1.2090277777777776</v>
      </c>
      <c r="K11" s="55">
        <f t="shared" si="4"/>
        <v>0.16919339164237121</v>
      </c>
    </row>
    <row r="12" spans="1:11" x14ac:dyDescent="0.25">
      <c r="A12" s="28" t="s">
        <v>157</v>
      </c>
      <c r="B12" s="52"/>
      <c r="C12" s="53">
        <f t="shared" si="0"/>
        <v>0</v>
      </c>
      <c r="D12" s="54">
        <v>0.2013888888888884</v>
      </c>
      <c r="E12" s="53">
        <f t="shared" si="1"/>
        <v>0.11812627291242331</v>
      </c>
      <c r="F12" s="54">
        <v>0.32986111111111038</v>
      </c>
      <c r="G12" s="53">
        <f t="shared" si="2"/>
        <v>8.7316176470588036E-2</v>
      </c>
      <c r="H12" s="54">
        <v>0.40208333333333274</v>
      </c>
      <c r="I12" s="53">
        <f t="shared" si="3"/>
        <v>7.3880311343626257E-2</v>
      </c>
      <c r="J12" s="54">
        <v>0.48055555555555468</v>
      </c>
      <c r="K12" s="55">
        <f t="shared" si="4"/>
        <v>6.724975704567529E-2</v>
      </c>
    </row>
    <row r="13" spans="1:11" x14ac:dyDescent="0.25">
      <c r="A13" s="28" t="s">
        <v>158</v>
      </c>
      <c r="B13" s="52"/>
      <c r="C13" s="53">
        <f t="shared" si="0"/>
        <v>0</v>
      </c>
      <c r="D13" s="54">
        <v>0.16111111111111151</v>
      </c>
      <c r="E13" s="53">
        <f t="shared" si="1"/>
        <v>9.450101832993911E-2</v>
      </c>
      <c r="F13" s="54">
        <v>0.2465277777777781</v>
      </c>
      <c r="G13" s="53">
        <f t="shared" si="2"/>
        <v>6.5257352941176544E-2</v>
      </c>
      <c r="H13" s="54">
        <v>0.3729166666666669</v>
      </c>
      <c r="I13" s="53">
        <f t="shared" si="3"/>
        <v>6.8521117774658691E-2</v>
      </c>
      <c r="J13" s="54">
        <v>0.57500000000000051</v>
      </c>
      <c r="K13" s="55">
        <f t="shared" si="4"/>
        <v>8.0466472303207068E-2</v>
      </c>
    </row>
    <row r="14" spans="1:11" x14ac:dyDescent="0.25">
      <c r="A14" s="28" t="s">
        <v>159</v>
      </c>
      <c r="B14" s="52"/>
      <c r="C14" s="53">
        <f t="shared" si="0"/>
        <v>0</v>
      </c>
      <c r="D14" s="54">
        <v>0</v>
      </c>
      <c r="E14" s="53">
        <f t="shared" si="1"/>
        <v>0</v>
      </c>
      <c r="F14" s="54">
        <v>0</v>
      </c>
      <c r="G14" s="53">
        <f t="shared" si="2"/>
        <v>0</v>
      </c>
      <c r="H14" s="54">
        <v>0</v>
      </c>
      <c r="I14" s="53">
        <f t="shared" si="3"/>
        <v>0</v>
      </c>
      <c r="J14" s="54">
        <v>0</v>
      </c>
      <c r="K14" s="55">
        <f t="shared" si="4"/>
        <v>0</v>
      </c>
    </row>
    <row r="15" spans="1:11" x14ac:dyDescent="0.25">
      <c r="A15" s="28" t="s">
        <v>160</v>
      </c>
      <c r="B15" s="52"/>
      <c r="C15" s="53">
        <f t="shared" si="0"/>
        <v>0</v>
      </c>
      <c r="D15" s="54">
        <v>0</v>
      </c>
      <c r="E15" s="53">
        <f t="shared" si="1"/>
        <v>0</v>
      </c>
      <c r="F15" s="54">
        <v>0</v>
      </c>
      <c r="G15" s="53">
        <f t="shared" si="2"/>
        <v>0</v>
      </c>
      <c r="H15" s="54">
        <v>0</v>
      </c>
      <c r="I15" s="53">
        <f t="shared" si="3"/>
        <v>0</v>
      </c>
      <c r="J15" s="54">
        <v>0</v>
      </c>
      <c r="K15" s="55">
        <f t="shared" si="4"/>
        <v>0</v>
      </c>
    </row>
    <row r="16" spans="1:11" x14ac:dyDescent="0.25">
      <c r="A16" s="28" t="s">
        <v>161</v>
      </c>
      <c r="B16" s="52"/>
      <c r="C16" s="53">
        <f t="shared" si="0"/>
        <v>0</v>
      </c>
      <c r="D16" s="54">
        <v>0</v>
      </c>
      <c r="E16" s="53">
        <f t="shared" si="1"/>
        <v>0</v>
      </c>
      <c r="F16" s="54">
        <v>0</v>
      </c>
      <c r="G16" s="53">
        <f t="shared" si="2"/>
        <v>0</v>
      </c>
      <c r="H16" s="54">
        <v>0</v>
      </c>
      <c r="I16" s="53">
        <f t="shared" si="3"/>
        <v>0</v>
      </c>
      <c r="J16" s="54">
        <v>0</v>
      </c>
      <c r="K16" s="55">
        <f t="shared" si="4"/>
        <v>0</v>
      </c>
    </row>
    <row r="17" spans="1:11" x14ac:dyDescent="0.25">
      <c r="A17" s="28" t="s">
        <v>162</v>
      </c>
      <c r="B17" s="52"/>
      <c r="C17" s="53">
        <f t="shared" si="0"/>
        <v>0</v>
      </c>
      <c r="D17" s="54">
        <v>0</v>
      </c>
      <c r="E17" s="53">
        <f t="shared" si="1"/>
        <v>0</v>
      </c>
      <c r="F17" s="54">
        <v>0</v>
      </c>
      <c r="G17" s="53">
        <f t="shared" si="2"/>
        <v>0</v>
      </c>
      <c r="H17" s="54">
        <v>0</v>
      </c>
      <c r="I17" s="53">
        <f t="shared" si="3"/>
        <v>0</v>
      </c>
      <c r="J17" s="54">
        <v>0</v>
      </c>
      <c r="K17" s="55">
        <f t="shared" si="4"/>
        <v>0</v>
      </c>
    </row>
    <row r="18" spans="1:11" x14ac:dyDescent="0.25">
      <c r="A18" s="28" t="s">
        <v>163</v>
      </c>
      <c r="B18" s="52"/>
      <c r="C18" s="53">
        <f t="shared" si="0"/>
        <v>0</v>
      </c>
      <c r="D18" s="54">
        <v>0.39444444444444482</v>
      </c>
      <c r="E18" s="53">
        <f t="shared" si="1"/>
        <v>0.23136456211812642</v>
      </c>
      <c r="F18" s="54">
        <v>0.65555555555555578</v>
      </c>
      <c r="G18" s="53">
        <f t="shared" si="2"/>
        <v>0.17352941176470593</v>
      </c>
      <c r="H18" s="54">
        <v>0.93472222222222257</v>
      </c>
      <c r="I18" s="53">
        <f t="shared" si="3"/>
        <v>0.17174939390072735</v>
      </c>
      <c r="J18" s="54">
        <v>1.4055555555555559</v>
      </c>
      <c r="K18" s="55">
        <f t="shared" si="4"/>
        <v>0.19669582118561715</v>
      </c>
    </row>
    <row r="19" spans="1:11" x14ac:dyDescent="0.25">
      <c r="A19" s="28" t="s">
        <v>164</v>
      </c>
      <c r="B19" s="52"/>
      <c r="C19" s="53">
        <f t="shared" si="0"/>
        <v>0</v>
      </c>
      <c r="D19" s="54">
        <v>0</v>
      </c>
      <c r="E19" s="53">
        <f t="shared" si="1"/>
        <v>0</v>
      </c>
      <c r="F19" s="54">
        <v>0</v>
      </c>
      <c r="G19" s="53">
        <f t="shared" si="2"/>
        <v>0</v>
      </c>
      <c r="H19" s="54">
        <v>0</v>
      </c>
      <c r="I19" s="53">
        <f t="shared" si="3"/>
        <v>0</v>
      </c>
      <c r="J19" s="54">
        <v>0</v>
      </c>
      <c r="K19" s="55">
        <f t="shared" si="4"/>
        <v>0</v>
      </c>
    </row>
    <row r="20" spans="1:11" x14ac:dyDescent="0.25">
      <c r="A20" s="28" t="s">
        <v>165</v>
      </c>
      <c r="B20" s="52"/>
      <c r="C20" s="53">
        <f t="shared" si="0"/>
        <v>0</v>
      </c>
      <c r="D20" s="54">
        <v>0</v>
      </c>
      <c r="E20" s="53">
        <f t="shared" si="1"/>
        <v>0</v>
      </c>
      <c r="F20" s="54">
        <v>0</v>
      </c>
      <c r="G20" s="53">
        <f t="shared" si="2"/>
        <v>0</v>
      </c>
      <c r="H20" s="54">
        <v>0</v>
      </c>
      <c r="I20" s="53">
        <f t="shared" si="3"/>
        <v>0</v>
      </c>
      <c r="J20" s="54">
        <v>0</v>
      </c>
      <c r="K20" s="55">
        <f t="shared" si="4"/>
        <v>0</v>
      </c>
    </row>
    <row r="21" spans="1:11" x14ac:dyDescent="0.25">
      <c r="A21" s="28" t="s">
        <v>166</v>
      </c>
      <c r="B21" s="52"/>
      <c r="C21" s="53">
        <f t="shared" si="0"/>
        <v>0</v>
      </c>
      <c r="D21" s="54">
        <v>0</v>
      </c>
      <c r="E21" s="53">
        <f t="shared" si="1"/>
        <v>0</v>
      </c>
      <c r="F21" s="54">
        <v>0</v>
      </c>
      <c r="G21" s="53">
        <f t="shared" si="2"/>
        <v>0</v>
      </c>
      <c r="H21" s="54">
        <v>0</v>
      </c>
      <c r="I21" s="53">
        <f t="shared" si="3"/>
        <v>0</v>
      </c>
      <c r="J21" s="54">
        <v>0</v>
      </c>
      <c r="K21" s="55">
        <f t="shared" si="4"/>
        <v>0</v>
      </c>
    </row>
    <row r="22" spans="1:11" x14ac:dyDescent="0.25">
      <c r="A22" s="28" t="s">
        <v>167</v>
      </c>
      <c r="B22" s="52"/>
      <c r="C22" s="53">
        <f t="shared" si="0"/>
        <v>0</v>
      </c>
      <c r="D22" s="54">
        <v>0</v>
      </c>
      <c r="E22" s="53">
        <f t="shared" si="1"/>
        <v>0</v>
      </c>
      <c r="F22" s="54">
        <v>0.10902777777777783</v>
      </c>
      <c r="G22" s="53">
        <f t="shared" si="2"/>
        <v>2.8860294117647071E-2</v>
      </c>
      <c r="H22" s="54">
        <v>0.10902777777777783</v>
      </c>
      <c r="I22" s="53">
        <f t="shared" si="3"/>
        <v>2.0033175960188852E-2</v>
      </c>
      <c r="J22" s="54">
        <v>0.10902777777777783</v>
      </c>
      <c r="K22" s="55">
        <f t="shared" si="4"/>
        <v>1.5257531584062204E-2</v>
      </c>
    </row>
    <row r="23" spans="1:11" x14ac:dyDescent="0.25">
      <c r="A23" s="28" t="s">
        <v>168</v>
      </c>
      <c r="B23" s="52"/>
      <c r="C23" s="53">
        <f t="shared" si="0"/>
        <v>0</v>
      </c>
      <c r="D23" s="54">
        <v>0</v>
      </c>
      <c r="E23" s="53">
        <f t="shared" si="1"/>
        <v>0</v>
      </c>
      <c r="F23" s="54">
        <v>0</v>
      </c>
      <c r="G23" s="53">
        <f t="shared" si="2"/>
        <v>0</v>
      </c>
      <c r="H23" s="54">
        <v>0</v>
      </c>
      <c r="I23" s="53">
        <f t="shared" si="3"/>
        <v>0</v>
      </c>
      <c r="J23" s="54">
        <v>0</v>
      </c>
      <c r="K23" s="55">
        <f t="shared" si="4"/>
        <v>0</v>
      </c>
    </row>
    <row r="24" spans="1:11" x14ac:dyDescent="0.25">
      <c r="A24" s="28" t="s">
        <v>169</v>
      </c>
      <c r="B24" s="52"/>
      <c r="C24" s="53">
        <f t="shared" si="0"/>
        <v>0</v>
      </c>
      <c r="D24" s="54">
        <v>1.0416666666666664E-2</v>
      </c>
      <c r="E24" s="53">
        <f t="shared" si="1"/>
        <v>6.1099796334012193E-3</v>
      </c>
      <c r="F24" s="54">
        <v>1.0416666666666664E-2</v>
      </c>
      <c r="G24" s="53">
        <f t="shared" si="2"/>
        <v>2.7573529411764699E-3</v>
      </c>
      <c r="H24" s="54">
        <v>1.0416666666666664E-2</v>
      </c>
      <c r="I24" s="53">
        <f t="shared" si="3"/>
        <v>1.9139977032027553E-3</v>
      </c>
      <c r="J24" s="54">
        <v>1.0416666666666664E-2</v>
      </c>
      <c r="K24" s="55">
        <f t="shared" si="4"/>
        <v>1.4577259475218656E-3</v>
      </c>
    </row>
    <row r="25" spans="1:11" x14ac:dyDescent="0.25">
      <c r="A25" s="28" t="s">
        <v>170</v>
      </c>
      <c r="B25" s="52"/>
      <c r="C25" s="53">
        <f t="shared" si="0"/>
        <v>0</v>
      </c>
      <c r="D25" s="54">
        <v>0</v>
      </c>
      <c r="E25" s="53">
        <f t="shared" si="1"/>
        <v>0</v>
      </c>
      <c r="F25" s="54">
        <v>0</v>
      </c>
      <c r="G25" s="53">
        <f t="shared" si="2"/>
        <v>0</v>
      </c>
      <c r="H25" s="54">
        <v>0</v>
      </c>
      <c r="I25" s="53">
        <f t="shared" si="3"/>
        <v>0</v>
      </c>
      <c r="J25" s="54">
        <v>0</v>
      </c>
      <c r="K25" s="55">
        <f t="shared" si="4"/>
        <v>0</v>
      </c>
    </row>
    <row r="26" spans="1:11" x14ac:dyDescent="0.25">
      <c r="A26" s="28" t="s">
        <v>171</v>
      </c>
      <c r="B26" s="52"/>
      <c r="C26" s="53">
        <f t="shared" si="0"/>
        <v>0</v>
      </c>
      <c r="D26" s="54">
        <v>0</v>
      </c>
      <c r="E26" s="53">
        <f t="shared" si="1"/>
        <v>0</v>
      </c>
      <c r="F26" s="54">
        <v>0</v>
      </c>
      <c r="G26" s="53">
        <f t="shared" si="2"/>
        <v>0</v>
      </c>
      <c r="H26" s="54">
        <v>0</v>
      </c>
      <c r="I26" s="53">
        <f t="shared" si="3"/>
        <v>0</v>
      </c>
      <c r="J26" s="54">
        <v>0</v>
      </c>
      <c r="K26" s="55">
        <f t="shared" si="4"/>
        <v>0</v>
      </c>
    </row>
    <row r="27" spans="1:11" x14ac:dyDescent="0.25">
      <c r="A27" s="28" t="s">
        <v>172</v>
      </c>
      <c r="B27" s="52"/>
      <c r="C27" s="53">
        <f t="shared" si="0"/>
        <v>0</v>
      </c>
      <c r="D27" s="54">
        <v>0</v>
      </c>
      <c r="E27" s="53">
        <f t="shared" si="1"/>
        <v>0</v>
      </c>
      <c r="F27" s="54">
        <v>0</v>
      </c>
      <c r="G27" s="53">
        <f t="shared" si="2"/>
        <v>0</v>
      </c>
      <c r="H27" s="54">
        <v>0</v>
      </c>
      <c r="I27" s="53">
        <f t="shared" si="3"/>
        <v>0</v>
      </c>
      <c r="J27" s="54">
        <v>0</v>
      </c>
      <c r="K27" s="55">
        <f t="shared" si="4"/>
        <v>0</v>
      </c>
    </row>
    <row r="28" spans="1:11" x14ac:dyDescent="0.25">
      <c r="A28" s="29" t="s">
        <v>78</v>
      </c>
      <c r="B28" s="52"/>
      <c r="C28" s="53">
        <f t="shared" si="0"/>
        <v>0</v>
      </c>
      <c r="D28" s="54">
        <v>0.4583333333333332</v>
      </c>
      <c r="E28" s="53">
        <f t="shared" si="1"/>
        <v>0.2688391038696536</v>
      </c>
      <c r="F28" s="54">
        <v>1.1798611111111112</v>
      </c>
      <c r="G28" s="53">
        <f t="shared" si="2"/>
        <v>0.31231617647058824</v>
      </c>
      <c r="H28" s="54">
        <v>2.1027777777777779</v>
      </c>
      <c r="I28" s="53">
        <f t="shared" si="3"/>
        <v>0.38637233635319629</v>
      </c>
      <c r="J28" s="54">
        <v>2.7243055555555555</v>
      </c>
      <c r="K28" s="55">
        <f t="shared" si="4"/>
        <v>0.38124392614188535</v>
      </c>
    </row>
    <row r="29" spans="1:11" x14ac:dyDescent="0.25">
      <c r="A29" s="29" t="s">
        <v>79</v>
      </c>
      <c r="B29" s="52"/>
      <c r="C29" s="53">
        <f t="shared" si="0"/>
        <v>0</v>
      </c>
      <c r="D29" s="54">
        <v>0</v>
      </c>
      <c r="E29" s="53">
        <f t="shared" si="1"/>
        <v>0</v>
      </c>
      <c r="F29" s="54">
        <v>0</v>
      </c>
      <c r="G29" s="53">
        <f t="shared" si="2"/>
        <v>0</v>
      </c>
      <c r="H29" s="54">
        <v>0</v>
      </c>
      <c r="I29" s="53">
        <f t="shared" si="3"/>
        <v>0</v>
      </c>
      <c r="J29" s="54">
        <v>0</v>
      </c>
      <c r="K29" s="55">
        <f t="shared" si="4"/>
        <v>0</v>
      </c>
    </row>
    <row r="30" spans="1:11" x14ac:dyDescent="0.25">
      <c r="A30" s="29" t="s">
        <v>80</v>
      </c>
      <c r="B30" s="52"/>
      <c r="C30" s="53">
        <f t="shared" si="0"/>
        <v>0</v>
      </c>
      <c r="D30" s="54">
        <v>0</v>
      </c>
      <c r="E30" s="53">
        <f t="shared" si="1"/>
        <v>0</v>
      </c>
      <c r="F30" s="54">
        <v>0</v>
      </c>
      <c r="G30" s="53">
        <f t="shared" si="2"/>
        <v>0</v>
      </c>
      <c r="H30" s="54">
        <v>0</v>
      </c>
      <c r="I30" s="53">
        <f t="shared" si="3"/>
        <v>0</v>
      </c>
      <c r="J30" s="54">
        <v>0</v>
      </c>
      <c r="K30" s="55">
        <f t="shared" si="4"/>
        <v>0</v>
      </c>
    </row>
    <row r="31" spans="1:11" x14ac:dyDescent="0.25">
      <c r="A31" s="29" t="s">
        <v>81</v>
      </c>
      <c r="B31" s="52"/>
      <c r="C31" s="53">
        <f t="shared" si="0"/>
        <v>0</v>
      </c>
      <c r="D31" s="54">
        <v>0</v>
      </c>
      <c r="E31" s="53">
        <f t="shared" si="1"/>
        <v>0</v>
      </c>
      <c r="F31" s="54">
        <v>0</v>
      </c>
      <c r="G31" s="53">
        <f t="shared" si="2"/>
        <v>0</v>
      </c>
      <c r="H31" s="54">
        <v>0</v>
      </c>
      <c r="I31" s="53">
        <f t="shared" si="3"/>
        <v>0</v>
      </c>
      <c r="J31" s="54">
        <v>0</v>
      </c>
      <c r="K31" s="55">
        <f t="shared" si="4"/>
        <v>0</v>
      </c>
    </row>
    <row r="32" spans="1:11" x14ac:dyDescent="0.25">
      <c r="A32" s="29" t="s">
        <v>82</v>
      </c>
      <c r="B32" s="52"/>
      <c r="C32" s="53">
        <f t="shared" si="0"/>
        <v>0</v>
      </c>
      <c r="D32" s="54">
        <v>6.9444444444443088E-3</v>
      </c>
      <c r="E32" s="53">
        <f t="shared" si="1"/>
        <v>4.0733197556007336E-3</v>
      </c>
      <c r="F32" s="54">
        <v>6.9444444444443088E-3</v>
      </c>
      <c r="G32" s="53">
        <f t="shared" si="2"/>
        <v>1.838235294117611E-3</v>
      </c>
      <c r="H32" s="54">
        <v>6.9444444444443088E-3</v>
      </c>
      <c r="I32" s="53">
        <f t="shared" si="3"/>
        <v>1.2759984688018122E-3</v>
      </c>
      <c r="J32" s="54">
        <v>6.9444444444443088E-3</v>
      </c>
      <c r="K32" s="55">
        <f t="shared" si="4"/>
        <v>9.7181729834789168E-4</v>
      </c>
    </row>
    <row r="33" spans="1:11" x14ac:dyDescent="0.25">
      <c r="A33" s="29" t="s">
        <v>83</v>
      </c>
      <c r="B33" s="52"/>
      <c r="C33" s="53">
        <f t="shared" si="0"/>
        <v>0</v>
      </c>
      <c r="D33" s="54">
        <v>0</v>
      </c>
      <c r="E33" s="53">
        <f t="shared" si="1"/>
        <v>0</v>
      </c>
      <c r="F33" s="54">
        <v>0</v>
      </c>
      <c r="G33" s="53">
        <f t="shared" si="2"/>
        <v>0</v>
      </c>
      <c r="H33" s="54">
        <v>2.0833333333333259E-2</v>
      </c>
      <c r="I33" s="53">
        <f t="shared" si="3"/>
        <v>3.8279954064054981E-3</v>
      </c>
      <c r="J33" s="54">
        <v>2.0833333333333259E-2</v>
      </c>
      <c r="K33" s="55">
        <f t="shared" si="4"/>
        <v>2.9154518950437218E-3</v>
      </c>
    </row>
    <row r="34" spans="1:11" x14ac:dyDescent="0.25">
      <c r="A34" s="29" t="s">
        <v>84</v>
      </c>
      <c r="B34" s="52"/>
      <c r="C34" s="53">
        <f t="shared" si="0"/>
        <v>0</v>
      </c>
      <c r="D34" s="54">
        <v>0</v>
      </c>
      <c r="E34" s="53">
        <f t="shared" si="1"/>
        <v>0</v>
      </c>
      <c r="F34" s="54">
        <v>0</v>
      </c>
      <c r="G34" s="53">
        <f t="shared" si="2"/>
        <v>0</v>
      </c>
      <c r="H34" s="54">
        <v>0</v>
      </c>
      <c r="I34" s="53">
        <f t="shared" si="3"/>
        <v>0</v>
      </c>
      <c r="J34" s="54">
        <v>0</v>
      </c>
      <c r="K34" s="55">
        <f t="shared" si="4"/>
        <v>0</v>
      </c>
    </row>
    <row r="35" spans="1:11" ht="15.75" thickBot="1" x14ac:dyDescent="0.3">
      <c r="A35" s="30" t="s">
        <v>85</v>
      </c>
      <c r="B35" s="52"/>
      <c r="C35" s="53">
        <f t="shared" si="0"/>
        <v>0</v>
      </c>
      <c r="D35" s="54">
        <v>0</v>
      </c>
      <c r="E35" s="53">
        <f t="shared" si="1"/>
        <v>0</v>
      </c>
      <c r="F35" s="54">
        <v>0</v>
      </c>
      <c r="G35" s="53">
        <f t="shared" si="2"/>
        <v>0</v>
      </c>
      <c r="H35" s="54">
        <v>2.3611111111111166E-2</v>
      </c>
      <c r="I35" s="53">
        <f t="shared" si="3"/>
        <v>4.3383947939262561E-3</v>
      </c>
      <c r="J35" s="54">
        <v>2.3611111111111166E-2</v>
      </c>
      <c r="K35" s="55">
        <f t="shared" si="4"/>
        <v>3.3041788143829036E-3</v>
      </c>
    </row>
    <row r="36" spans="1:11" ht="15.75" thickBot="1" x14ac:dyDescent="0.3">
      <c r="A36" s="30" t="s">
        <v>86</v>
      </c>
      <c r="B36" s="56"/>
      <c r="C36" s="57">
        <f t="shared" si="0"/>
        <v>0</v>
      </c>
      <c r="D36" s="58">
        <v>8.1944444444444334E-2</v>
      </c>
      <c r="E36" s="57">
        <f t="shared" si="1"/>
        <v>4.8065173116089537E-2</v>
      </c>
      <c r="F36" s="58">
        <v>0.12152777777777768</v>
      </c>
      <c r="G36" s="57">
        <f t="shared" si="2"/>
        <v>3.2169117647058793E-2</v>
      </c>
      <c r="H36" s="58">
        <v>0.12152777777777768</v>
      </c>
      <c r="I36" s="57">
        <f t="shared" si="3"/>
        <v>2.2329973204032131E-2</v>
      </c>
      <c r="J36" s="58">
        <v>0.12152777777777768</v>
      </c>
      <c r="K36" s="59">
        <f t="shared" si="4"/>
        <v>1.7006802721088423E-2</v>
      </c>
    </row>
    <row r="37" spans="1:11" x14ac:dyDescent="0.25">
      <c r="B37" s="45">
        <f>SUM(B4:B36)</f>
        <v>0</v>
      </c>
      <c r="D37" s="45">
        <f>SUM(D4:D36)</f>
        <v>1.7048611111111116</v>
      </c>
      <c r="F37" s="45">
        <f>SUM(F4:F36)</f>
        <v>3.7777777777777781</v>
      </c>
      <c r="H37" s="45">
        <f>SUM(H4:H36)</f>
        <v>5.4423611111111123</v>
      </c>
      <c r="J37" s="45">
        <f>SUM(J4:J36)</f>
        <v>7.145833333333333</v>
      </c>
    </row>
    <row r="38" spans="1:11" x14ac:dyDescent="0.25">
      <c r="D38" s="39">
        <v>41.1</v>
      </c>
      <c r="F38" s="39">
        <v>90.6666666666667</v>
      </c>
      <c r="H38" s="39">
        <v>130.61666666666699</v>
      </c>
      <c r="J38" s="39">
        <v>171.5</v>
      </c>
    </row>
    <row r="39" spans="1:11" x14ac:dyDescent="0.25">
      <c r="D39" s="39">
        <v>40.9166666666667</v>
      </c>
      <c r="F39" s="39">
        <v>90.6666666666667</v>
      </c>
      <c r="H39" s="39">
        <v>130.61666666666699</v>
      </c>
      <c r="J39" s="39">
        <v>171.5</v>
      </c>
    </row>
  </sheetData>
  <mergeCells count="6">
    <mergeCell ref="B1:K1"/>
    <mergeCell ref="B2:C2"/>
    <mergeCell ref="D2:E2"/>
    <mergeCell ref="F2:G2"/>
    <mergeCell ref="H2:I2"/>
    <mergeCell ref="J2:K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O39"/>
  <sheetViews>
    <sheetView zoomScale="50" zoomScaleNormal="50" workbookViewId="0">
      <selection activeCell="B2" sqref="B2:DB2"/>
    </sheetView>
  </sheetViews>
  <sheetFormatPr defaultRowHeight="15" x14ac:dyDescent="0.25"/>
  <cols>
    <col min="1" max="1" width="34.28515625" style="39" bestFit="1" customWidth="1"/>
    <col min="2" max="16384" width="9.140625" style="39"/>
  </cols>
  <sheetData>
    <row r="1" spans="1:41" ht="15.75" customHeight="1" thickBot="1" x14ac:dyDescent="0.3">
      <c r="B1" s="72" t="s">
        <v>200</v>
      </c>
      <c r="C1" s="67"/>
      <c r="D1" s="67"/>
      <c r="E1" s="67"/>
      <c r="F1" s="67"/>
      <c r="G1" s="67"/>
      <c r="H1" s="67"/>
      <c r="I1" s="67"/>
      <c r="J1" s="67"/>
      <c r="K1" s="68"/>
      <c r="L1" s="72" t="s">
        <v>19</v>
      </c>
      <c r="M1" s="67"/>
      <c r="N1" s="67"/>
      <c r="O1" s="67"/>
      <c r="P1" s="67"/>
      <c r="Q1" s="67"/>
      <c r="R1" s="67"/>
      <c r="S1" s="67"/>
      <c r="T1" s="67"/>
      <c r="U1" s="68"/>
      <c r="V1" s="72" t="s">
        <v>201</v>
      </c>
      <c r="W1" s="67"/>
      <c r="X1" s="67"/>
      <c r="Y1" s="67"/>
      <c r="Z1" s="67"/>
      <c r="AA1" s="67"/>
      <c r="AB1" s="67"/>
      <c r="AC1" s="67"/>
      <c r="AD1" s="67"/>
      <c r="AE1" s="68"/>
      <c r="AF1" s="72" t="s">
        <v>135</v>
      </c>
      <c r="AG1" s="67"/>
      <c r="AH1" s="67"/>
      <c r="AI1" s="67"/>
      <c r="AJ1" s="67"/>
      <c r="AK1" s="67"/>
      <c r="AL1" s="67"/>
      <c r="AM1" s="67"/>
      <c r="AN1" s="67"/>
      <c r="AO1" s="68"/>
    </row>
    <row r="2" spans="1:41" x14ac:dyDescent="0.25">
      <c r="B2" s="64">
        <f ca="1">SunDates!$H1</f>
        <v>43435</v>
      </c>
      <c r="C2" s="65"/>
      <c r="D2" s="64">
        <f ca="1">SunDates!$H2</f>
        <v>43442</v>
      </c>
      <c r="E2" s="65"/>
      <c r="F2" s="64">
        <f ca="1">SunDates!$H3</f>
        <v>43449</v>
      </c>
      <c r="G2" s="65"/>
      <c r="H2" s="64">
        <f ca="1">SunDates!$H4</f>
        <v>43456</v>
      </c>
      <c r="I2" s="65"/>
      <c r="J2" s="64">
        <f ca="1">SunDates!$H5</f>
        <v>43463</v>
      </c>
      <c r="K2" s="65"/>
      <c r="L2" s="64">
        <f ca="1">SunDates!$H1</f>
        <v>43435</v>
      </c>
      <c r="M2" s="65"/>
      <c r="N2" s="64">
        <f ca="1">SunDates!$H2</f>
        <v>43442</v>
      </c>
      <c r="O2" s="65"/>
      <c r="P2" s="64">
        <f ca="1">SunDates!$H3</f>
        <v>43449</v>
      </c>
      <c r="Q2" s="65"/>
      <c r="R2" s="64">
        <f ca="1">SunDates!$H4</f>
        <v>43456</v>
      </c>
      <c r="S2" s="65"/>
      <c r="T2" s="64">
        <f ca="1">SunDates!$H5</f>
        <v>43463</v>
      </c>
      <c r="U2" s="65"/>
      <c r="V2" s="64">
        <f ca="1">SunDates!$H1</f>
        <v>43435</v>
      </c>
      <c r="W2" s="65"/>
      <c r="X2" s="64">
        <f ca="1">SunDates!$H2</f>
        <v>43442</v>
      </c>
      <c r="Y2" s="65"/>
      <c r="Z2" s="64">
        <f ca="1">SunDates!$H3</f>
        <v>43449</v>
      </c>
      <c r="AA2" s="65"/>
      <c r="AB2" s="64">
        <f ca="1">SunDates!$H4</f>
        <v>43456</v>
      </c>
      <c r="AC2" s="65"/>
      <c r="AD2" s="64">
        <f ca="1">SunDates!$H5</f>
        <v>43463</v>
      </c>
      <c r="AE2" s="65"/>
      <c r="AF2" s="64">
        <f ca="1">SunDates!$H1</f>
        <v>43435</v>
      </c>
      <c r="AG2" s="65"/>
      <c r="AH2" s="64">
        <f ca="1">SunDates!$H2</f>
        <v>43442</v>
      </c>
      <c r="AI2" s="65"/>
      <c r="AJ2" s="64">
        <f ca="1">SunDates!$H3</f>
        <v>43449</v>
      </c>
      <c r="AK2" s="65"/>
      <c r="AL2" s="64">
        <f ca="1">SunDates!$H4</f>
        <v>43456</v>
      </c>
      <c r="AM2" s="65"/>
      <c r="AN2" s="64">
        <f ca="1">SunDates!$H5</f>
        <v>43463</v>
      </c>
      <c r="AO2" s="65"/>
    </row>
    <row r="3" spans="1:41" ht="15.75" thickBot="1" x14ac:dyDescent="0.3">
      <c r="B3" s="42" t="s">
        <v>195</v>
      </c>
      <c r="C3" s="43" t="s">
        <v>196</v>
      </c>
      <c r="D3" s="43" t="s">
        <v>195</v>
      </c>
      <c r="E3" s="43" t="s">
        <v>196</v>
      </c>
      <c r="F3" s="43" t="s">
        <v>195</v>
      </c>
      <c r="G3" s="43" t="s">
        <v>196</v>
      </c>
      <c r="H3" s="43" t="s">
        <v>195</v>
      </c>
      <c r="I3" s="43" t="s">
        <v>196</v>
      </c>
      <c r="J3" s="43" t="s">
        <v>195</v>
      </c>
      <c r="K3" s="44" t="s">
        <v>196</v>
      </c>
      <c r="L3" s="42" t="s">
        <v>195</v>
      </c>
      <c r="M3" s="43" t="s">
        <v>196</v>
      </c>
      <c r="N3" s="43" t="s">
        <v>195</v>
      </c>
      <c r="O3" s="43" t="s">
        <v>196</v>
      </c>
      <c r="P3" s="43" t="s">
        <v>195</v>
      </c>
      <c r="Q3" s="43" t="s">
        <v>196</v>
      </c>
      <c r="R3" s="43" t="s">
        <v>195</v>
      </c>
      <c r="S3" s="43" t="s">
        <v>196</v>
      </c>
      <c r="T3" s="43" t="s">
        <v>195</v>
      </c>
      <c r="U3" s="44" t="s">
        <v>196</v>
      </c>
      <c r="V3" s="42" t="s">
        <v>195</v>
      </c>
      <c r="W3" s="43" t="s">
        <v>196</v>
      </c>
      <c r="X3" s="43" t="s">
        <v>195</v>
      </c>
      <c r="Y3" s="43" t="s">
        <v>196</v>
      </c>
      <c r="Z3" s="43" t="s">
        <v>195</v>
      </c>
      <c r="AA3" s="43" t="s">
        <v>196</v>
      </c>
      <c r="AB3" s="43" t="s">
        <v>195</v>
      </c>
      <c r="AC3" s="43" t="s">
        <v>196</v>
      </c>
      <c r="AD3" s="43" t="s">
        <v>195</v>
      </c>
      <c r="AE3" s="44" t="s">
        <v>196</v>
      </c>
      <c r="AF3" s="42" t="s">
        <v>195</v>
      </c>
      <c r="AG3" s="43" t="s">
        <v>196</v>
      </c>
      <c r="AH3" s="43" t="s">
        <v>195</v>
      </c>
      <c r="AI3" s="43" t="s">
        <v>196</v>
      </c>
      <c r="AJ3" s="43" t="s">
        <v>195</v>
      </c>
      <c r="AK3" s="43" t="s">
        <v>196</v>
      </c>
      <c r="AL3" s="43" t="s">
        <v>195</v>
      </c>
      <c r="AM3" s="43" t="s">
        <v>196</v>
      </c>
      <c r="AN3" s="43" t="s">
        <v>195</v>
      </c>
      <c r="AO3" s="44" t="s">
        <v>196</v>
      </c>
    </row>
    <row r="4" spans="1:41" x14ac:dyDescent="0.25">
      <c r="A4" s="27" t="s">
        <v>68</v>
      </c>
      <c r="B4" s="48"/>
      <c r="C4" s="49">
        <f t="shared" ref="C4:C36" si="0">IFERROR(B4/B$37,0%)</f>
        <v>0</v>
      </c>
      <c r="D4" s="50">
        <v>0</v>
      </c>
      <c r="E4" s="49">
        <f t="shared" ref="E4:E36" si="1">IFERROR(D4/D$37,0%)</f>
        <v>0</v>
      </c>
      <c r="F4" s="50">
        <v>0</v>
      </c>
      <c r="G4" s="49">
        <f t="shared" ref="G4:G36" si="2">IFERROR(F4/F$37,0%)</f>
        <v>0</v>
      </c>
      <c r="H4" s="50">
        <v>0</v>
      </c>
      <c r="I4" s="49">
        <f t="shared" ref="I4:I36" si="3">IFERROR(H4/H$37,0%)</f>
        <v>0</v>
      </c>
      <c r="J4" s="50">
        <v>0</v>
      </c>
      <c r="K4" s="51">
        <f t="shared" ref="K4:K36" si="4">IFERROR(J4/J$37,0%)</f>
        <v>0</v>
      </c>
      <c r="L4" s="48"/>
      <c r="M4" s="49">
        <f t="shared" ref="M4:M36" si="5">IFERROR(L4/L$37,0%)</f>
        <v>0</v>
      </c>
      <c r="N4" s="50">
        <v>0</v>
      </c>
      <c r="O4" s="49">
        <f t="shared" ref="O4:O36" si="6">IFERROR(N4/N$37,0%)</f>
        <v>0</v>
      </c>
      <c r="P4" s="50">
        <v>0</v>
      </c>
      <c r="Q4" s="49">
        <f t="shared" ref="Q4:Q36" si="7">IFERROR(P4/P$37,0%)</f>
        <v>0</v>
      </c>
      <c r="R4" s="50">
        <v>0</v>
      </c>
      <c r="S4" s="49">
        <f t="shared" ref="S4:S36" si="8">IFERROR(R4/R$37,0%)</f>
        <v>0</v>
      </c>
      <c r="T4" s="50">
        <v>0</v>
      </c>
      <c r="U4" s="51">
        <f t="shared" ref="U4:U36" si="9">IFERROR(T4/T$37,0%)</f>
        <v>0</v>
      </c>
      <c r="V4" s="48"/>
      <c r="W4" s="49">
        <f t="shared" ref="W4:W36" si="10">IFERROR(V4/V$37,0%)</f>
        <v>0</v>
      </c>
      <c r="X4" s="50">
        <v>0</v>
      </c>
      <c r="Y4" s="49">
        <f t="shared" ref="Y4:Y36" si="11">IFERROR(X4/X$37,0%)</f>
        <v>0</v>
      </c>
      <c r="Z4" s="50"/>
      <c r="AA4" s="49">
        <f t="shared" ref="AA4:AA36" si="12">IFERROR(Z4/Z$37,0%)</f>
        <v>0</v>
      </c>
      <c r="AB4" s="50"/>
      <c r="AC4" s="49">
        <f t="shared" ref="AC4:AC36" si="13">IFERROR(AB4/AB$37,0%)</f>
        <v>0</v>
      </c>
      <c r="AD4" s="50">
        <v>0</v>
      </c>
      <c r="AE4" s="51">
        <f t="shared" ref="AE4:AE36" si="14">IFERROR(AD4/AD$37,0%)</f>
        <v>0</v>
      </c>
      <c r="AF4" s="48"/>
      <c r="AG4" s="49">
        <f t="shared" ref="AG4:AG36" si="15">IFERROR(AF4/AF$37,0%)</f>
        <v>0</v>
      </c>
      <c r="AH4" s="50">
        <v>0</v>
      </c>
      <c r="AI4" s="49">
        <f t="shared" ref="AI4:AI36" si="16">IFERROR(AH4/AH$37,0%)</f>
        <v>0</v>
      </c>
      <c r="AJ4" s="50"/>
      <c r="AK4" s="49">
        <f t="shared" ref="AK4:AK36" si="17">IFERROR(AJ4/AJ$37,0%)</f>
        <v>0</v>
      </c>
      <c r="AL4" s="50">
        <v>0</v>
      </c>
      <c r="AM4" s="49">
        <f t="shared" ref="AM4:AM36" si="18">IFERROR(AL4/AL$37,0%)</f>
        <v>0</v>
      </c>
      <c r="AN4" s="50">
        <v>0</v>
      </c>
      <c r="AO4" s="51">
        <f t="shared" ref="AO4:AO36" si="19">IFERROR(AN4/AN$37,0%)</f>
        <v>0</v>
      </c>
    </row>
    <row r="5" spans="1:41" x14ac:dyDescent="0.25">
      <c r="A5" s="28" t="s">
        <v>69</v>
      </c>
      <c r="B5" s="52"/>
      <c r="C5" s="53">
        <f t="shared" si="0"/>
        <v>0</v>
      </c>
      <c r="D5" s="54">
        <v>0</v>
      </c>
      <c r="E5" s="53">
        <f t="shared" si="1"/>
        <v>0</v>
      </c>
      <c r="F5" s="54">
        <v>0</v>
      </c>
      <c r="G5" s="53">
        <f t="shared" si="2"/>
        <v>0</v>
      </c>
      <c r="H5" s="54">
        <v>0</v>
      </c>
      <c r="I5" s="53">
        <f t="shared" si="3"/>
        <v>0</v>
      </c>
      <c r="J5" s="54">
        <v>0</v>
      </c>
      <c r="K5" s="55">
        <f t="shared" si="4"/>
        <v>0</v>
      </c>
      <c r="L5" s="52"/>
      <c r="M5" s="53">
        <f t="shared" si="5"/>
        <v>0</v>
      </c>
      <c r="N5" s="54">
        <v>6.5277777777777768E-2</v>
      </c>
      <c r="O5" s="53">
        <f t="shared" si="6"/>
        <v>4.3518518518518512E-2</v>
      </c>
      <c r="P5" s="54">
        <v>0.12569444444444444</v>
      </c>
      <c r="Q5" s="53">
        <f t="shared" si="7"/>
        <v>4.1782086795937208E-2</v>
      </c>
      <c r="R5" s="54">
        <v>0.11597222222222214</v>
      </c>
      <c r="S5" s="53">
        <f t="shared" si="8"/>
        <v>4.2044310171198356E-2</v>
      </c>
      <c r="T5" s="54">
        <v>0.22777777777777775</v>
      </c>
      <c r="U5" s="55">
        <f t="shared" si="9"/>
        <v>4.7426257952573735E-2</v>
      </c>
      <c r="V5" s="52"/>
      <c r="W5" s="53">
        <f t="shared" si="10"/>
        <v>0</v>
      </c>
      <c r="X5" s="54">
        <v>0</v>
      </c>
      <c r="Y5" s="53">
        <f t="shared" si="11"/>
        <v>0</v>
      </c>
      <c r="Z5" s="54"/>
      <c r="AA5" s="53">
        <f t="shared" si="12"/>
        <v>0</v>
      </c>
      <c r="AB5" s="54"/>
      <c r="AC5" s="53">
        <f t="shared" si="13"/>
        <v>0</v>
      </c>
      <c r="AD5" s="54">
        <v>0.14722222222222217</v>
      </c>
      <c r="AE5" s="55">
        <f t="shared" si="14"/>
        <v>1.7028112449799192E-2</v>
      </c>
      <c r="AF5" s="52"/>
      <c r="AG5" s="53">
        <f t="shared" si="15"/>
        <v>0</v>
      </c>
      <c r="AH5" s="54">
        <v>0.56041666666666712</v>
      </c>
      <c r="AI5" s="53">
        <f t="shared" si="16"/>
        <v>0.3125484120836563</v>
      </c>
      <c r="AJ5" s="54"/>
      <c r="AK5" s="53">
        <f t="shared" si="17"/>
        <v>0</v>
      </c>
      <c r="AL5" s="54">
        <v>1.2513888888888887</v>
      </c>
      <c r="AM5" s="53">
        <f t="shared" si="18"/>
        <v>0.22499687851167433</v>
      </c>
      <c r="AN5" s="54">
        <v>1.6256944444444441</v>
      </c>
      <c r="AO5" s="55">
        <f t="shared" si="19"/>
        <v>0.19030973091618564</v>
      </c>
    </row>
    <row r="6" spans="1:41" x14ac:dyDescent="0.25">
      <c r="A6" s="28" t="s">
        <v>70</v>
      </c>
      <c r="B6" s="52"/>
      <c r="C6" s="53">
        <f t="shared" si="0"/>
        <v>0</v>
      </c>
      <c r="D6" s="54">
        <v>0</v>
      </c>
      <c r="E6" s="53">
        <f t="shared" si="1"/>
        <v>0</v>
      </c>
      <c r="F6" s="54">
        <v>0</v>
      </c>
      <c r="G6" s="53">
        <f t="shared" si="2"/>
        <v>0</v>
      </c>
      <c r="H6" s="54">
        <v>0</v>
      </c>
      <c r="I6" s="53">
        <f t="shared" si="3"/>
        <v>0</v>
      </c>
      <c r="J6" s="54">
        <v>0</v>
      </c>
      <c r="K6" s="55">
        <f t="shared" si="4"/>
        <v>0</v>
      </c>
      <c r="L6" s="52"/>
      <c r="M6" s="53">
        <f t="shared" si="5"/>
        <v>0</v>
      </c>
      <c r="N6" s="54">
        <v>0</v>
      </c>
      <c r="O6" s="53">
        <f t="shared" si="6"/>
        <v>0</v>
      </c>
      <c r="P6" s="54">
        <v>0</v>
      </c>
      <c r="Q6" s="53">
        <f t="shared" si="7"/>
        <v>0</v>
      </c>
      <c r="R6" s="54">
        <v>0</v>
      </c>
      <c r="S6" s="53">
        <f t="shared" si="8"/>
        <v>0</v>
      </c>
      <c r="T6" s="54">
        <v>0</v>
      </c>
      <c r="U6" s="55">
        <f t="shared" si="9"/>
        <v>0</v>
      </c>
      <c r="V6" s="52"/>
      <c r="W6" s="53">
        <f t="shared" si="10"/>
        <v>0</v>
      </c>
      <c r="X6" s="54">
        <v>1.736111111111116E-2</v>
      </c>
      <c r="Y6" s="53">
        <f t="shared" si="11"/>
        <v>8.7688530340231767E-3</v>
      </c>
      <c r="Z6" s="54"/>
      <c r="AA6" s="53">
        <f t="shared" si="12"/>
        <v>0</v>
      </c>
      <c r="AB6" s="54"/>
      <c r="AC6" s="53">
        <f t="shared" si="13"/>
        <v>0</v>
      </c>
      <c r="AD6" s="54">
        <v>1.736111111111116E-2</v>
      </c>
      <c r="AE6" s="55">
        <f t="shared" si="14"/>
        <v>2.0080321285140621E-3</v>
      </c>
      <c r="AF6" s="52"/>
      <c r="AG6" s="53">
        <f t="shared" si="15"/>
        <v>0</v>
      </c>
      <c r="AH6" s="54">
        <v>0</v>
      </c>
      <c r="AI6" s="53">
        <f t="shared" si="16"/>
        <v>0</v>
      </c>
      <c r="AJ6" s="54"/>
      <c r="AK6" s="53">
        <f t="shared" si="17"/>
        <v>0</v>
      </c>
      <c r="AL6" s="54">
        <v>0</v>
      </c>
      <c r="AM6" s="53">
        <f t="shared" si="18"/>
        <v>0</v>
      </c>
      <c r="AN6" s="54">
        <v>0</v>
      </c>
      <c r="AO6" s="55">
        <f t="shared" si="19"/>
        <v>0</v>
      </c>
    </row>
    <row r="7" spans="1:41" x14ac:dyDescent="0.25">
      <c r="A7" s="28" t="s">
        <v>71</v>
      </c>
      <c r="B7" s="52"/>
      <c r="C7" s="53">
        <f t="shared" si="0"/>
        <v>0</v>
      </c>
      <c r="D7" s="54">
        <v>0</v>
      </c>
      <c r="E7" s="53">
        <f t="shared" si="1"/>
        <v>0</v>
      </c>
      <c r="F7" s="54">
        <v>0</v>
      </c>
      <c r="G7" s="53">
        <f t="shared" si="2"/>
        <v>0</v>
      </c>
      <c r="H7" s="54">
        <v>0</v>
      </c>
      <c r="I7" s="53">
        <f t="shared" si="3"/>
        <v>0</v>
      </c>
      <c r="J7" s="54">
        <v>0</v>
      </c>
      <c r="K7" s="55">
        <f t="shared" si="4"/>
        <v>0</v>
      </c>
      <c r="L7" s="52"/>
      <c r="M7" s="53">
        <f t="shared" si="5"/>
        <v>0</v>
      </c>
      <c r="N7" s="54">
        <v>0</v>
      </c>
      <c r="O7" s="53">
        <f t="shared" si="6"/>
        <v>0</v>
      </c>
      <c r="P7" s="54">
        <v>0</v>
      </c>
      <c r="Q7" s="53">
        <f t="shared" si="7"/>
        <v>0</v>
      </c>
      <c r="R7" s="54">
        <v>0</v>
      </c>
      <c r="S7" s="53">
        <f t="shared" si="8"/>
        <v>0</v>
      </c>
      <c r="T7" s="54">
        <v>0</v>
      </c>
      <c r="U7" s="55">
        <f t="shared" si="9"/>
        <v>0</v>
      </c>
      <c r="V7" s="52"/>
      <c r="W7" s="53">
        <f t="shared" si="10"/>
        <v>0</v>
      </c>
      <c r="X7" s="54">
        <v>0</v>
      </c>
      <c r="Y7" s="53">
        <f t="shared" si="11"/>
        <v>0</v>
      </c>
      <c r="Z7" s="54"/>
      <c r="AA7" s="53">
        <f t="shared" si="12"/>
        <v>0</v>
      </c>
      <c r="AB7" s="54"/>
      <c r="AC7" s="53">
        <f t="shared" si="13"/>
        <v>0</v>
      </c>
      <c r="AD7" s="54">
        <v>0</v>
      </c>
      <c r="AE7" s="55">
        <f t="shared" si="14"/>
        <v>0</v>
      </c>
      <c r="AF7" s="52"/>
      <c r="AG7" s="53">
        <f t="shared" si="15"/>
        <v>0</v>
      </c>
      <c r="AH7" s="54">
        <v>0</v>
      </c>
      <c r="AI7" s="53">
        <f t="shared" si="16"/>
        <v>0</v>
      </c>
      <c r="AJ7" s="54"/>
      <c r="AK7" s="53">
        <f t="shared" si="17"/>
        <v>0</v>
      </c>
      <c r="AL7" s="54">
        <v>0</v>
      </c>
      <c r="AM7" s="53">
        <f t="shared" si="18"/>
        <v>0</v>
      </c>
      <c r="AN7" s="54">
        <v>0</v>
      </c>
      <c r="AO7" s="55">
        <f t="shared" si="19"/>
        <v>0</v>
      </c>
    </row>
    <row r="8" spans="1:41" x14ac:dyDescent="0.25">
      <c r="A8" s="28" t="s">
        <v>72</v>
      </c>
      <c r="B8" s="52"/>
      <c r="C8" s="53">
        <f t="shared" si="0"/>
        <v>0</v>
      </c>
      <c r="D8" s="54">
        <v>0</v>
      </c>
      <c r="E8" s="53">
        <f t="shared" si="1"/>
        <v>0</v>
      </c>
      <c r="F8" s="54">
        <v>0</v>
      </c>
      <c r="G8" s="53">
        <f t="shared" si="2"/>
        <v>0</v>
      </c>
      <c r="H8" s="54">
        <v>0</v>
      </c>
      <c r="I8" s="53">
        <f t="shared" si="3"/>
        <v>0</v>
      </c>
      <c r="J8" s="54">
        <v>0</v>
      </c>
      <c r="K8" s="55">
        <f t="shared" si="4"/>
        <v>0</v>
      </c>
      <c r="L8" s="52"/>
      <c r="M8" s="53">
        <f t="shared" si="5"/>
        <v>0</v>
      </c>
      <c r="N8" s="54">
        <v>0</v>
      </c>
      <c r="O8" s="53">
        <f t="shared" si="6"/>
        <v>0</v>
      </c>
      <c r="P8" s="54">
        <v>0</v>
      </c>
      <c r="Q8" s="53">
        <f t="shared" si="7"/>
        <v>0</v>
      </c>
      <c r="R8" s="54">
        <v>0</v>
      </c>
      <c r="S8" s="53">
        <f t="shared" si="8"/>
        <v>0</v>
      </c>
      <c r="T8" s="54">
        <v>0</v>
      </c>
      <c r="U8" s="55">
        <f t="shared" si="9"/>
        <v>0</v>
      </c>
      <c r="V8" s="52"/>
      <c r="W8" s="53">
        <f t="shared" si="10"/>
        <v>0</v>
      </c>
      <c r="X8" s="54">
        <v>0</v>
      </c>
      <c r="Y8" s="53">
        <f t="shared" si="11"/>
        <v>0</v>
      </c>
      <c r="Z8" s="54"/>
      <c r="AA8" s="53">
        <f t="shared" si="12"/>
        <v>0</v>
      </c>
      <c r="AB8" s="54"/>
      <c r="AC8" s="53">
        <f t="shared" si="13"/>
        <v>0</v>
      </c>
      <c r="AD8" s="54">
        <v>0</v>
      </c>
      <c r="AE8" s="55">
        <f t="shared" si="14"/>
        <v>0</v>
      </c>
      <c r="AF8" s="52"/>
      <c r="AG8" s="53">
        <f t="shared" si="15"/>
        <v>0</v>
      </c>
      <c r="AH8" s="54">
        <v>0</v>
      </c>
      <c r="AI8" s="53">
        <f t="shared" si="16"/>
        <v>0</v>
      </c>
      <c r="AJ8" s="54"/>
      <c r="AK8" s="53">
        <f t="shared" si="17"/>
        <v>0</v>
      </c>
      <c r="AL8" s="54">
        <v>0</v>
      </c>
      <c r="AM8" s="53">
        <f t="shared" si="18"/>
        <v>0</v>
      </c>
      <c r="AN8" s="54">
        <v>0</v>
      </c>
      <c r="AO8" s="55">
        <f t="shared" si="19"/>
        <v>0</v>
      </c>
    </row>
    <row r="9" spans="1:41" x14ac:dyDescent="0.25">
      <c r="A9" s="28" t="s">
        <v>73</v>
      </c>
      <c r="B9" s="52"/>
      <c r="C9" s="53">
        <f t="shared" si="0"/>
        <v>0</v>
      </c>
      <c r="D9" s="54">
        <v>0</v>
      </c>
      <c r="E9" s="53">
        <f t="shared" si="1"/>
        <v>0</v>
      </c>
      <c r="F9" s="54">
        <v>0</v>
      </c>
      <c r="G9" s="53">
        <f t="shared" si="2"/>
        <v>0</v>
      </c>
      <c r="H9" s="54">
        <v>0</v>
      </c>
      <c r="I9" s="53">
        <f t="shared" si="3"/>
        <v>0</v>
      </c>
      <c r="J9" s="54">
        <v>0</v>
      </c>
      <c r="K9" s="55">
        <f t="shared" si="4"/>
        <v>0</v>
      </c>
      <c r="L9" s="52"/>
      <c r="M9" s="53">
        <f t="shared" si="5"/>
        <v>0</v>
      </c>
      <c r="N9" s="54">
        <v>0</v>
      </c>
      <c r="O9" s="53">
        <f t="shared" si="6"/>
        <v>0</v>
      </c>
      <c r="P9" s="54">
        <v>0</v>
      </c>
      <c r="Q9" s="53">
        <f t="shared" si="7"/>
        <v>0</v>
      </c>
      <c r="R9" s="54">
        <v>0</v>
      </c>
      <c r="S9" s="53">
        <f t="shared" si="8"/>
        <v>0</v>
      </c>
      <c r="T9" s="54">
        <v>0</v>
      </c>
      <c r="U9" s="55">
        <f t="shared" si="9"/>
        <v>0</v>
      </c>
      <c r="V9" s="52"/>
      <c r="W9" s="53">
        <f t="shared" si="10"/>
        <v>0</v>
      </c>
      <c r="X9" s="54">
        <v>0</v>
      </c>
      <c r="Y9" s="53">
        <f t="shared" si="11"/>
        <v>0</v>
      </c>
      <c r="Z9" s="54"/>
      <c r="AA9" s="53">
        <f t="shared" si="12"/>
        <v>0</v>
      </c>
      <c r="AB9" s="54"/>
      <c r="AC9" s="53">
        <f t="shared" si="13"/>
        <v>0</v>
      </c>
      <c r="AD9" s="54">
        <v>3.125E-2</v>
      </c>
      <c r="AE9" s="55">
        <f t="shared" si="14"/>
        <v>3.6144578313253017E-3</v>
      </c>
      <c r="AF9" s="52"/>
      <c r="AG9" s="53">
        <f t="shared" si="15"/>
        <v>0</v>
      </c>
      <c r="AH9" s="54">
        <v>0</v>
      </c>
      <c r="AI9" s="53">
        <f t="shared" si="16"/>
        <v>0</v>
      </c>
      <c r="AJ9" s="54"/>
      <c r="AK9" s="53">
        <f t="shared" si="17"/>
        <v>0</v>
      </c>
      <c r="AL9" s="54">
        <v>0</v>
      </c>
      <c r="AM9" s="53">
        <f t="shared" si="18"/>
        <v>0</v>
      </c>
      <c r="AN9" s="54">
        <v>0</v>
      </c>
      <c r="AO9" s="55">
        <f t="shared" si="19"/>
        <v>0</v>
      </c>
    </row>
    <row r="10" spans="1:41" x14ac:dyDescent="0.25">
      <c r="A10" s="28" t="s">
        <v>74</v>
      </c>
      <c r="B10" s="52"/>
      <c r="C10" s="53">
        <f t="shared" si="0"/>
        <v>0</v>
      </c>
      <c r="D10" s="54">
        <v>3.1249999999999556E-2</v>
      </c>
      <c r="E10" s="53">
        <f t="shared" si="1"/>
        <v>1.1479591836734535E-2</v>
      </c>
      <c r="F10" s="54">
        <v>5.2083333333332926E-2</v>
      </c>
      <c r="G10" s="53">
        <f t="shared" si="2"/>
        <v>9.0252707581226777E-3</v>
      </c>
      <c r="H10" s="54">
        <v>4.8611111111110605E-2</v>
      </c>
      <c r="I10" s="53">
        <f t="shared" si="3"/>
        <v>9.2715231788078542E-3</v>
      </c>
      <c r="J10" s="54">
        <v>9.3749999999999334E-2</v>
      </c>
      <c r="K10" s="55">
        <f t="shared" si="4"/>
        <v>9.3013642000826166E-3</v>
      </c>
      <c r="L10" s="52"/>
      <c r="M10" s="53">
        <f t="shared" si="5"/>
        <v>0</v>
      </c>
      <c r="N10" s="54">
        <v>0</v>
      </c>
      <c r="O10" s="53">
        <f t="shared" si="6"/>
        <v>0</v>
      </c>
      <c r="P10" s="54">
        <v>0</v>
      </c>
      <c r="Q10" s="53">
        <f t="shared" si="7"/>
        <v>0</v>
      </c>
      <c r="R10" s="54">
        <v>0</v>
      </c>
      <c r="S10" s="53">
        <f t="shared" si="8"/>
        <v>0</v>
      </c>
      <c r="T10" s="54">
        <v>0</v>
      </c>
      <c r="U10" s="55">
        <f t="shared" si="9"/>
        <v>0</v>
      </c>
      <c r="V10" s="52"/>
      <c r="W10" s="53">
        <f t="shared" si="10"/>
        <v>0</v>
      </c>
      <c r="X10" s="54">
        <v>1.5277777777777724E-2</v>
      </c>
      <c r="Y10" s="53">
        <f t="shared" si="11"/>
        <v>7.716590669940346E-3</v>
      </c>
      <c r="Z10" s="54"/>
      <c r="AA10" s="53">
        <f t="shared" si="12"/>
        <v>0</v>
      </c>
      <c r="AB10" s="54"/>
      <c r="AC10" s="53">
        <f t="shared" si="13"/>
        <v>0</v>
      </c>
      <c r="AD10" s="54">
        <v>6.0416666666666452E-2</v>
      </c>
      <c r="AE10" s="55">
        <f t="shared" si="14"/>
        <v>6.9879518072288914E-3</v>
      </c>
      <c r="AF10" s="52"/>
      <c r="AG10" s="53">
        <f t="shared" si="15"/>
        <v>0</v>
      </c>
      <c r="AH10" s="54">
        <v>1.5972222222222054E-2</v>
      </c>
      <c r="AI10" s="53">
        <f t="shared" si="16"/>
        <v>8.9078233927187295E-3</v>
      </c>
      <c r="AJ10" s="54"/>
      <c r="AK10" s="53">
        <f t="shared" si="17"/>
        <v>0</v>
      </c>
      <c r="AL10" s="54">
        <v>4.1666666666666519E-2</v>
      </c>
      <c r="AM10" s="53">
        <f t="shared" si="18"/>
        <v>7.4915719815207621E-3</v>
      </c>
      <c r="AN10" s="54">
        <v>5.5555555555555358E-2</v>
      </c>
      <c r="AO10" s="55">
        <f t="shared" si="19"/>
        <v>6.503536297861939E-3</v>
      </c>
    </row>
    <row r="11" spans="1:41" x14ac:dyDescent="0.25">
      <c r="A11" s="28" t="s">
        <v>75</v>
      </c>
      <c r="B11" s="52"/>
      <c r="C11" s="53">
        <f t="shared" si="0"/>
        <v>0</v>
      </c>
      <c r="D11" s="54">
        <v>0</v>
      </c>
      <c r="E11" s="53">
        <f t="shared" si="1"/>
        <v>0</v>
      </c>
      <c r="F11" s="54">
        <v>0</v>
      </c>
      <c r="G11" s="53">
        <f t="shared" si="2"/>
        <v>0</v>
      </c>
      <c r="H11" s="54">
        <v>0</v>
      </c>
      <c r="I11" s="53">
        <f t="shared" si="3"/>
        <v>0</v>
      </c>
      <c r="J11" s="54">
        <v>0</v>
      </c>
      <c r="K11" s="55">
        <f t="shared" si="4"/>
        <v>0</v>
      </c>
      <c r="L11" s="52"/>
      <c r="M11" s="53">
        <f t="shared" si="5"/>
        <v>0</v>
      </c>
      <c r="N11" s="54">
        <v>0</v>
      </c>
      <c r="O11" s="53">
        <f t="shared" si="6"/>
        <v>0</v>
      </c>
      <c r="P11" s="54">
        <v>0</v>
      </c>
      <c r="Q11" s="53">
        <f t="shared" si="7"/>
        <v>0</v>
      </c>
      <c r="R11" s="54">
        <v>0</v>
      </c>
      <c r="S11" s="53">
        <f t="shared" si="8"/>
        <v>0</v>
      </c>
      <c r="T11" s="54">
        <v>0</v>
      </c>
      <c r="U11" s="55">
        <f t="shared" si="9"/>
        <v>0</v>
      </c>
      <c r="V11" s="52"/>
      <c r="W11" s="53">
        <f t="shared" si="10"/>
        <v>0</v>
      </c>
      <c r="X11" s="54">
        <v>0</v>
      </c>
      <c r="Y11" s="53">
        <f t="shared" si="11"/>
        <v>0</v>
      </c>
      <c r="Z11" s="54"/>
      <c r="AA11" s="53">
        <f t="shared" si="12"/>
        <v>0</v>
      </c>
      <c r="AB11" s="54"/>
      <c r="AC11" s="53">
        <f t="shared" si="13"/>
        <v>0</v>
      </c>
      <c r="AD11" s="54">
        <v>0</v>
      </c>
      <c r="AE11" s="55">
        <f t="shared" si="14"/>
        <v>0</v>
      </c>
      <c r="AF11" s="52"/>
      <c r="AG11" s="53">
        <f t="shared" si="15"/>
        <v>0</v>
      </c>
      <c r="AH11" s="54">
        <v>0</v>
      </c>
      <c r="AI11" s="53">
        <f t="shared" si="16"/>
        <v>0</v>
      </c>
      <c r="AJ11" s="54"/>
      <c r="AK11" s="53">
        <f t="shared" si="17"/>
        <v>0</v>
      </c>
      <c r="AL11" s="54">
        <v>0</v>
      </c>
      <c r="AM11" s="53">
        <f t="shared" si="18"/>
        <v>0</v>
      </c>
      <c r="AN11" s="54">
        <v>0</v>
      </c>
      <c r="AO11" s="55">
        <f t="shared" si="19"/>
        <v>0</v>
      </c>
    </row>
    <row r="12" spans="1:41" x14ac:dyDescent="0.25">
      <c r="A12" s="28" t="s">
        <v>157</v>
      </c>
      <c r="B12" s="52"/>
      <c r="C12" s="53">
        <f t="shared" si="0"/>
        <v>0</v>
      </c>
      <c r="D12" s="54">
        <v>7.6388888888888951E-2</v>
      </c>
      <c r="E12" s="53">
        <f t="shared" si="1"/>
        <v>2.806122448979595E-2</v>
      </c>
      <c r="F12" s="54">
        <v>0.16319444444444453</v>
      </c>
      <c r="G12" s="53">
        <f t="shared" si="2"/>
        <v>2.8279181708784625E-2</v>
      </c>
      <c r="H12" s="54">
        <v>0.14930555555555569</v>
      </c>
      <c r="I12" s="53">
        <f t="shared" si="3"/>
        <v>2.8476821192053015E-2</v>
      </c>
      <c r="J12" s="54">
        <v>0.31944444444444486</v>
      </c>
      <c r="K12" s="55">
        <f t="shared" si="4"/>
        <v>3.1693537274355851E-2</v>
      </c>
      <c r="L12" s="52"/>
      <c r="M12" s="53">
        <f t="shared" si="5"/>
        <v>0</v>
      </c>
      <c r="N12" s="54">
        <v>0</v>
      </c>
      <c r="O12" s="53">
        <f t="shared" si="6"/>
        <v>0</v>
      </c>
      <c r="P12" s="54">
        <v>4.7222222222222276E-2</v>
      </c>
      <c r="Q12" s="53">
        <f t="shared" si="7"/>
        <v>1.5697137580794107E-2</v>
      </c>
      <c r="R12" s="54">
        <v>4.7222222222222276E-2</v>
      </c>
      <c r="S12" s="53">
        <f t="shared" si="8"/>
        <v>1.7119838872104751E-2</v>
      </c>
      <c r="T12" s="54">
        <v>4.7222222222222276E-2</v>
      </c>
      <c r="U12" s="55">
        <f t="shared" si="9"/>
        <v>9.8322729901677373E-3</v>
      </c>
      <c r="V12" s="52"/>
      <c r="W12" s="53">
        <f t="shared" si="10"/>
        <v>0</v>
      </c>
      <c r="X12" s="54">
        <v>0.14583333333333354</v>
      </c>
      <c r="Y12" s="53">
        <f t="shared" si="11"/>
        <v>7.3658365485794575E-2</v>
      </c>
      <c r="Z12" s="54"/>
      <c r="AA12" s="53">
        <f t="shared" si="12"/>
        <v>0</v>
      </c>
      <c r="AB12" s="54"/>
      <c r="AC12" s="53">
        <f t="shared" si="13"/>
        <v>0</v>
      </c>
      <c r="AD12" s="54">
        <v>0.71805555555555589</v>
      </c>
      <c r="AE12" s="55">
        <f t="shared" si="14"/>
        <v>8.305220883534141E-2</v>
      </c>
      <c r="AF12" s="52"/>
      <c r="AG12" s="53">
        <f t="shared" si="15"/>
        <v>0</v>
      </c>
      <c r="AH12" s="54">
        <v>0</v>
      </c>
      <c r="AI12" s="53">
        <f t="shared" si="16"/>
        <v>0</v>
      </c>
      <c r="AJ12" s="54"/>
      <c r="AK12" s="53">
        <f t="shared" si="17"/>
        <v>0</v>
      </c>
      <c r="AL12" s="54">
        <v>0.17083333333333328</v>
      </c>
      <c r="AM12" s="53">
        <f t="shared" si="18"/>
        <v>3.0715445124235224E-2</v>
      </c>
      <c r="AN12" s="54">
        <v>0.21805555555555567</v>
      </c>
      <c r="AO12" s="55">
        <f t="shared" si="19"/>
        <v>2.5526379969108216E-2</v>
      </c>
    </row>
    <row r="13" spans="1:41" x14ac:dyDescent="0.25">
      <c r="A13" s="28" t="s">
        <v>158</v>
      </c>
      <c r="B13" s="52"/>
      <c r="C13" s="53">
        <f t="shared" si="0"/>
        <v>0</v>
      </c>
      <c r="D13" s="54">
        <v>0.10763888888888873</v>
      </c>
      <c r="E13" s="53">
        <f t="shared" si="1"/>
        <v>3.9540816326530566E-2</v>
      </c>
      <c r="F13" s="54">
        <v>0.30208333333333326</v>
      </c>
      <c r="G13" s="53">
        <f t="shared" si="2"/>
        <v>5.2346570397111929E-2</v>
      </c>
      <c r="H13" s="54">
        <v>0.27083333333333326</v>
      </c>
      <c r="I13" s="53">
        <f t="shared" si="3"/>
        <v>5.1655629139072852E-2</v>
      </c>
      <c r="J13" s="54">
        <v>0.56250000000000011</v>
      </c>
      <c r="K13" s="55">
        <f t="shared" si="4"/>
        <v>5.5808185200496109E-2</v>
      </c>
      <c r="L13" s="52"/>
      <c r="M13" s="53">
        <f t="shared" si="5"/>
        <v>0</v>
      </c>
      <c r="N13" s="54">
        <v>1.041666666666663E-2</v>
      </c>
      <c r="O13" s="53">
        <f t="shared" si="6"/>
        <v>6.9444444444444198E-3</v>
      </c>
      <c r="P13" s="54">
        <v>3.125E-2</v>
      </c>
      <c r="Q13" s="53">
        <f t="shared" si="7"/>
        <v>1.0387811634349028E-2</v>
      </c>
      <c r="R13" s="54">
        <v>3.125E-2</v>
      </c>
      <c r="S13" s="53">
        <f t="shared" si="8"/>
        <v>1.1329305135951659E-2</v>
      </c>
      <c r="T13" s="54">
        <v>3.4027777777777768E-2</v>
      </c>
      <c r="U13" s="55">
        <f t="shared" si="9"/>
        <v>7.0850202429149772E-3</v>
      </c>
      <c r="V13" s="52"/>
      <c r="W13" s="53">
        <f t="shared" si="10"/>
        <v>0</v>
      </c>
      <c r="X13" s="54">
        <v>4.1666666666666734E-2</v>
      </c>
      <c r="Y13" s="53">
        <f t="shared" si="11"/>
        <v>2.1045247281655598E-2</v>
      </c>
      <c r="Z13" s="54"/>
      <c r="AA13" s="53">
        <f t="shared" si="12"/>
        <v>0</v>
      </c>
      <c r="AB13" s="54"/>
      <c r="AC13" s="53">
        <f t="shared" si="13"/>
        <v>0</v>
      </c>
      <c r="AD13" s="54">
        <v>0.33333333333333359</v>
      </c>
      <c r="AE13" s="55">
        <f t="shared" si="14"/>
        <v>3.8554216867469918E-2</v>
      </c>
      <c r="AF13" s="52"/>
      <c r="AG13" s="53">
        <f t="shared" si="15"/>
        <v>0</v>
      </c>
      <c r="AH13" s="54">
        <v>0</v>
      </c>
      <c r="AI13" s="53">
        <f t="shared" si="16"/>
        <v>0</v>
      </c>
      <c r="AJ13" s="54"/>
      <c r="AK13" s="53">
        <f t="shared" si="17"/>
        <v>0</v>
      </c>
      <c r="AL13" s="54">
        <v>9.0277777777777735E-3</v>
      </c>
      <c r="AM13" s="53">
        <f t="shared" si="18"/>
        <v>1.6231739293295034E-3</v>
      </c>
      <c r="AN13" s="54">
        <v>9.0277777777777735E-3</v>
      </c>
      <c r="AO13" s="55">
        <f t="shared" si="19"/>
        <v>1.0568246484025684E-3</v>
      </c>
    </row>
    <row r="14" spans="1:41" x14ac:dyDescent="0.25">
      <c r="A14" s="28" t="s">
        <v>159</v>
      </c>
      <c r="B14" s="52"/>
      <c r="C14" s="53">
        <f t="shared" si="0"/>
        <v>0</v>
      </c>
      <c r="D14" s="54">
        <v>0</v>
      </c>
      <c r="E14" s="53">
        <f t="shared" si="1"/>
        <v>0</v>
      </c>
      <c r="F14" s="54">
        <v>0</v>
      </c>
      <c r="G14" s="53">
        <f t="shared" si="2"/>
        <v>0</v>
      </c>
      <c r="H14" s="54">
        <v>0</v>
      </c>
      <c r="I14" s="53">
        <f t="shared" si="3"/>
        <v>0</v>
      </c>
      <c r="J14" s="54">
        <v>0</v>
      </c>
      <c r="K14" s="55">
        <f t="shared" si="4"/>
        <v>0</v>
      </c>
      <c r="L14" s="52"/>
      <c r="M14" s="53">
        <f t="shared" si="5"/>
        <v>0</v>
      </c>
      <c r="N14" s="54">
        <v>0</v>
      </c>
      <c r="O14" s="53">
        <f t="shared" si="6"/>
        <v>0</v>
      </c>
      <c r="P14" s="54">
        <v>0</v>
      </c>
      <c r="Q14" s="53">
        <f t="shared" si="7"/>
        <v>0</v>
      </c>
      <c r="R14" s="54">
        <v>0</v>
      </c>
      <c r="S14" s="53">
        <f t="shared" si="8"/>
        <v>0</v>
      </c>
      <c r="T14" s="54">
        <v>0</v>
      </c>
      <c r="U14" s="55">
        <f t="shared" si="9"/>
        <v>0</v>
      </c>
      <c r="V14" s="52"/>
      <c r="W14" s="53">
        <f t="shared" si="10"/>
        <v>0</v>
      </c>
      <c r="X14" s="54">
        <v>0</v>
      </c>
      <c r="Y14" s="53">
        <f t="shared" si="11"/>
        <v>0</v>
      </c>
      <c r="Z14" s="54"/>
      <c r="AA14" s="53">
        <f t="shared" si="12"/>
        <v>0</v>
      </c>
      <c r="AB14" s="54"/>
      <c r="AC14" s="53">
        <f t="shared" si="13"/>
        <v>0</v>
      </c>
      <c r="AD14" s="54">
        <v>0</v>
      </c>
      <c r="AE14" s="55">
        <f t="shared" si="14"/>
        <v>0</v>
      </c>
      <c r="AF14" s="52"/>
      <c r="AG14" s="53">
        <f t="shared" si="15"/>
        <v>0</v>
      </c>
      <c r="AH14" s="54">
        <v>0</v>
      </c>
      <c r="AI14" s="53">
        <f t="shared" si="16"/>
        <v>0</v>
      </c>
      <c r="AJ14" s="54"/>
      <c r="AK14" s="53">
        <f t="shared" si="17"/>
        <v>0</v>
      </c>
      <c r="AL14" s="54">
        <v>0</v>
      </c>
      <c r="AM14" s="53">
        <f t="shared" si="18"/>
        <v>0</v>
      </c>
      <c r="AN14" s="54">
        <v>0</v>
      </c>
      <c r="AO14" s="55">
        <f t="shared" si="19"/>
        <v>0</v>
      </c>
    </row>
    <row r="15" spans="1:41" x14ac:dyDescent="0.25">
      <c r="A15" s="28" t="s">
        <v>160</v>
      </c>
      <c r="B15" s="52"/>
      <c r="C15" s="53">
        <f t="shared" si="0"/>
        <v>0</v>
      </c>
      <c r="D15" s="54">
        <v>0.12847222222222188</v>
      </c>
      <c r="E15" s="53">
        <f t="shared" si="1"/>
        <v>4.7193877551020294E-2</v>
      </c>
      <c r="F15" s="54">
        <v>0.18055555555555514</v>
      </c>
      <c r="G15" s="53">
        <f t="shared" si="2"/>
        <v>3.1287605294825452E-2</v>
      </c>
      <c r="H15" s="54">
        <v>0.1666666666666663</v>
      </c>
      <c r="I15" s="53">
        <f t="shared" si="3"/>
        <v>3.178807947019862E-2</v>
      </c>
      <c r="J15" s="54">
        <v>0.31249999999999933</v>
      </c>
      <c r="K15" s="55">
        <f t="shared" si="4"/>
        <v>3.1004547333608877E-2</v>
      </c>
      <c r="L15" s="52"/>
      <c r="M15" s="53">
        <f t="shared" si="5"/>
        <v>0</v>
      </c>
      <c r="N15" s="54">
        <v>0</v>
      </c>
      <c r="O15" s="53">
        <f t="shared" si="6"/>
        <v>0</v>
      </c>
      <c r="P15" s="54">
        <v>0</v>
      </c>
      <c r="Q15" s="53">
        <f t="shared" si="7"/>
        <v>0</v>
      </c>
      <c r="R15" s="54">
        <v>0</v>
      </c>
      <c r="S15" s="53">
        <f t="shared" si="8"/>
        <v>0</v>
      </c>
      <c r="T15" s="54">
        <v>0</v>
      </c>
      <c r="U15" s="55">
        <f t="shared" si="9"/>
        <v>0</v>
      </c>
      <c r="V15" s="52"/>
      <c r="W15" s="53">
        <f t="shared" si="10"/>
        <v>0</v>
      </c>
      <c r="X15" s="54">
        <v>0.55208333333333348</v>
      </c>
      <c r="Y15" s="53">
        <f t="shared" si="11"/>
        <v>0.27884952648193628</v>
      </c>
      <c r="Z15" s="54"/>
      <c r="AA15" s="53">
        <f t="shared" si="12"/>
        <v>0</v>
      </c>
      <c r="AB15" s="54"/>
      <c r="AC15" s="53">
        <f t="shared" si="13"/>
        <v>0</v>
      </c>
      <c r="AD15" s="54">
        <v>2.1868055555555559</v>
      </c>
      <c r="AE15" s="55">
        <f t="shared" si="14"/>
        <v>0.25293172690763061</v>
      </c>
      <c r="AF15" s="52"/>
      <c r="AG15" s="53">
        <f t="shared" si="15"/>
        <v>0</v>
      </c>
      <c r="AH15" s="54">
        <v>0.25694444444444436</v>
      </c>
      <c r="AI15" s="53">
        <f t="shared" si="16"/>
        <v>0.14329976762199839</v>
      </c>
      <c r="AJ15" s="54"/>
      <c r="AK15" s="53">
        <f t="shared" si="17"/>
        <v>0</v>
      </c>
      <c r="AL15" s="54">
        <v>1.635416666666667</v>
      </c>
      <c r="AM15" s="53">
        <f t="shared" si="18"/>
        <v>0.29404420027469103</v>
      </c>
      <c r="AN15" s="54">
        <v>2.5590277777777786</v>
      </c>
      <c r="AO15" s="55">
        <f t="shared" si="19"/>
        <v>0.29956914072026675</v>
      </c>
    </row>
    <row r="16" spans="1:41" x14ac:dyDescent="0.25">
      <c r="A16" s="28" t="s">
        <v>161</v>
      </c>
      <c r="B16" s="52"/>
      <c r="C16" s="53">
        <f t="shared" si="0"/>
        <v>0</v>
      </c>
      <c r="D16" s="54">
        <v>0.36805555555555558</v>
      </c>
      <c r="E16" s="53">
        <f t="shared" si="1"/>
        <v>0.1352040816326531</v>
      </c>
      <c r="F16" s="54">
        <v>0.51041666666666641</v>
      </c>
      <c r="G16" s="53">
        <f t="shared" si="2"/>
        <v>8.8447653429602882E-2</v>
      </c>
      <c r="H16" s="54">
        <v>0.51041666666666641</v>
      </c>
      <c r="I16" s="53">
        <f t="shared" si="3"/>
        <v>9.735099337748343E-2</v>
      </c>
      <c r="J16" s="54">
        <v>0.59374999999999967</v>
      </c>
      <c r="K16" s="55">
        <f t="shared" si="4"/>
        <v>5.8908639933856956E-2</v>
      </c>
      <c r="L16" s="52"/>
      <c r="M16" s="53">
        <f t="shared" si="5"/>
        <v>0</v>
      </c>
      <c r="N16" s="54">
        <v>1.0416666666666741E-2</v>
      </c>
      <c r="O16" s="53">
        <f t="shared" si="6"/>
        <v>6.9444444444444935E-3</v>
      </c>
      <c r="P16" s="54">
        <v>1.0416666666666741E-2</v>
      </c>
      <c r="Q16" s="53">
        <f t="shared" si="7"/>
        <v>3.4626038781163677E-3</v>
      </c>
      <c r="R16" s="54">
        <v>1.0416666666666741E-2</v>
      </c>
      <c r="S16" s="53">
        <f t="shared" si="8"/>
        <v>3.7764350453172468E-3</v>
      </c>
      <c r="T16" s="54">
        <v>1.0416666666666741E-2</v>
      </c>
      <c r="U16" s="55">
        <f t="shared" si="9"/>
        <v>2.1688837478311316E-3</v>
      </c>
      <c r="V16" s="52"/>
      <c r="W16" s="53">
        <f t="shared" si="10"/>
        <v>0</v>
      </c>
      <c r="X16" s="54">
        <v>3.4722222222222154E-2</v>
      </c>
      <c r="Y16" s="53">
        <f t="shared" si="11"/>
        <v>1.753770606804627E-2</v>
      </c>
      <c r="Z16" s="54"/>
      <c r="AA16" s="53">
        <f t="shared" si="12"/>
        <v>0</v>
      </c>
      <c r="AB16" s="54"/>
      <c r="AC16" s="53">
        <f t="shared" si="13"/>
        <v>0</v>
      </c>
      <c r="AD16" s="54">
        <v>0.17361111111111094</v>
      </c>
      <c r="AE16" s="55">
        <f t="shared" si="14"/>
        <v>2.0080321285140545E-2</v>
      </c>
      <c r="AF16" s="52"/>
      <c r="AG16" s="53">
        <f t="shared" si="15"/>
        <v>0</v>
      </c>
      <c r="AH16" s="54">
        <v>0.10486111111111118</v>
      </c>
      <c r="AI16" s="53">
        <f t="shared" si="16"/>
        <v>5.8481797056545354E-2</v>
      </c>
      <c r="AJ16" s="54"/>
      <c r="AK16" s="53">
        <f t="shared" si="17"/>
        <v>0</v>
      </c>
      <c r="AL16" s="54">
        <v>0.31388888888888866</v>
      </c>
      <c r="AM16" s="53">
        <f t="shared" si="18"/>
        <v>5.6436508927456566E-2</v>
      </c>
      <c r="AN16" s="54">
        <v>0.36874999999999974</v>
      </c>
      <c r="AO16" s="55">
        <f t="shared" si="19"/>
        <v>4.3167222177058748E-2</v>
      </c>
    </row>
    <row r="17" spans="1:41" x14ac:dyDescent="0.25">
      <c r="A17" s="28" t="s">
        <v>162</v>
      </c>
      <c r="B17" s="52"/>
      <c r="C17" s="53">
        <f t="shared" si="0"/>
        <v>0</v>
      </c>
      <c r="D17" s="54">
        <v>0.23611111111111083</v>
      </c>
      <c r="E17" s="53">
        <f t="shared" si="1"/>
        <v>8.6734693877550936E-2</v>
      </c>
      <c r="F17" s="54">
        <v>0.52777777777777746</v>
      </c>
      <c r="G17" s="53">
        <f t="shared" si="2"/>
        <v>9.1456077015643789E-2</v>
      </c>
      <c r="H17" s="54">
        <v>0.52777777777777746</v>
      </c>
      <c r="I17" s="53">
        <f t="shared" si="3"/>
        <v>0.10066225165562911</v>
      </c>
      <c r="J17" s="54">
        <v>1.0638888888888891</v>
      </c>
      <c r="K17" s="55">
        <f t="shared" si="4"/>
        <v>0.1055532589224198</v>
      </c>
      <c r="L17" s="52"/>
      <c r="M17" s="53">
        <f t="shared" si="5"/>
        <v>0</v>
      </c>
      <c r="N17" s="54">
        <v>0</v>
      </c>
      <c r="O17" s="53">
        <f t="shared" si="6"/>
        <v>0</v>
      </c>
      <c r="P17" s="54">
        <v>0</v>
      </c>
      <c r="Q17" s="53">
        <f t="shared" si="7"/>
        <v>0</v>
      </c>
      <c r="R17" s="54">
        <v>0</v>
      </c>
      <c r="S17" s="53">
        <f t="shared" si="8"/>
        <v>0</v>
      </c>
      <c r="T17" s="54">
        <v>0</v>
      </c>
      <c r="U17" s="55">
        <f t="shared" si="9"/>
        <v>0</v>
      </c>
      <c r="V17" s="52"/>
      <c r="W17" s="53">
        <f t="shared" si="10"/>
        <v>0</v>
      </c>
      <c r="X17" s="54">
        <v>0.74791666666666634</v>
      </c>
      <c r="Y17" s="53">
        <f t="shared" si="11"/>
        <v>0.37776218870571721</v>
      </c>
      <c r="Z17" s="54"/>
      <c r="AA17" s="53">
        <f t="shared" si="12"/>
        <v>0</v>
      </c>
      <c r="AB17" s="54"/>
      <c r="AC17" s="53">
        <f t="shared" si="13"/>
        <v>0</v>
      </c>
      <c r="AD17" s="54">
        <v>2.2749999999999995</v>
      </c>
      <c r="AE17" s="55">
        <f t="shared" si="14"/>
        <v>0.26313253012048188</v>
      </c>
      <c r="AF17" s="52"/>
      <c r="AG17" s="53">
        <f t="shared" si="15"/>
        <v>0</v>
      </c>
      <c r="AH17" s="54">
        <v>0.52222222222222203</v>
      </c>
      <c r="AI17" s="53">
        <f t="shared" si="16"/>
        <v>0.29124709527498049</v>
      </c>
      <c r="AJ17" s="54"/>
      <c r="AK17" s="53">
        <f t="shared" si="17"/>
        <v>0</v>
      </c>
      <c r="AL17" s="54">
        <v>1.4444444444444444</v>
      </c>
      <c r="AM17" s="53">
        <f t="shared" si="18"/>
        <v>0.25970782869272069</v>
      </c>
      <c r="AN17" s="54">
        <v>2.9791666666666674</v>
      </c>
      <c r="AO17" s="55">
        <f t="shared" si="19"/>
        <v>0.34875213397284782</v>
      </c>
    </row>
    <row r="18" spans="1:41" x14ac:dyDescent="0.25">
      <c r="A18" s="28" t="s">
        <v>163</v>
      </c>
      <c r="B18" s="52"/>
      <c r="C18" s="53">
        <f t="shared" si="0"/>
        <v>0</v>
      </c>
      <c r="D18" s="54">
        <v>0</v>
      </c>
      <c r="E18" s="53">
        <f t="shared" si="1"/>
        <v>0</v>
      </c>
      <c r="F18" s="54">
        <v>0</v>
      </c>
      <c r="G18" s="53">
        <f t="shared" si="2"/>
        <v>0</v>
      </c>
      <c r="H18" s="54">
        <v>0</v>
      </c>
      <c r="I18" s="53">
        <f t="shared" si="3"/>
        <v>0</v>
      </c>
      <c r="J18" s="54">
        <v>0</v>
      </c>
      <c r="K18" s="55">
        <f t="shared" si="4"/>
        <v>0</v>
      </c>
      <c r="L18" s="52"/>
      <c r="M18" s="53">
        <f t="shared" si="5"/>
        <v>0</v>
      </c>
      <c r="N18" s="54">
        <v>0</v>
      </c>
      <c r="O18" s="53">
        <f t="shared" si="6"/>
        <v>0</v>
      </c>
      <c r="P18" s="54">
        <v>0</v>
      </c>
      <c r="Q18" s="53">
        <f t="shared" si="7"/>
        <v>0</v>
      </c>
      <c r="R18" s="54">
        <v>0</v>
      </c>
      <c r="S18" s="53">
        <f t="shared" si="8"/>
        <v>0</v>
      </c>
      <c r="T18" s="54">
        <v>0</v>
      </c>
      <c r="U18" s="55">
        <f t="shared" si="9"/>
        <v>0</v>
      </c>
      <c r="V18" s="52"/>
      <c r="W18" s="53">
        <f t="shared" si="10"/>
        <v>0</v>
      </c>
      <c r="X18" s="54">
        <v>0</v>
      </c>
      <c r="Y18" s="53">
        <f t="shared" si="11"/>
        <v>0</v>
      </c>
      <c r="Z18" s="54"/>
      <c r="AA18" s="53">
        <f t="shared" si="12"/>
        <v>0</v>
      </c>
      <c r="AB18" s="54"/>
      <c r="AC18" s="53">
        <f t="shared" si="13"/>
        <v>0</v>
      </c>
      <c r="AD18" s="54">
        <v>3.125E-2</v>
      </c>
      <c r="AE18" s="55">
        <f t="shared" si="14"/>
        <v>3.6144578313253017E-3</v>
      </c>
      <c r="AF18" s="52"/>
      <c r="AG18" s="53">
        <f t="shared" si="15"/>
        <v>0</v>
      </c>
      <c r="AH18" s="54">
        <v>0</v>
      </c>
      <c r="AI18" s="53">
        <f t="shared" si="16"/>
        <v>0</v>
      </c>
      <c r="AJ18" s="54"/>
      <c r="AK18" s="53">
        <f t="shared" si="17"/>
        <v>0</v>
      </c>
      <c r="AL18" s="54">
        <v>0</v>
      </c>
      <c r="AM18" s="53">
        <f t="shared" si="18"/>
        <v>0</v>
      </c>
      <c r="AN18" s="54">
        <v>0</v>
      </c>
      <c r="AO18" s="55">
        <f t="shared" si="19"/>
        <v>0</v>
      </c>
    </row>
    <row r="19" spans="1:41" x14ac:dyDescent="0.25">
      <c r="A19" s="28" t="s">
        <v>164</v>
      </c>
      <c r="B19" s="52"/>
      <c r="C19" s="53">
        <f t="shared" si="0"/>
        <v>0</v>
      </c>
      <c r="D19" s="54">
        <v>0</v>
      </c>
      <c r="E19" s="53">
        <f t="shared" si="1"/>
        <v>0</v>
      </c>
      <c r="F19" s="54">
        <v>0</v>
      </c>
      <c r="G19" s="53">
        <f t="shared" si="2"/>
        <v>0</v>
      </c>
      <c r="H19" s="54">
        <v>0</v>
      </c>
      <c r="I19" s="53">
        <f t="shared" si="3"/>
        <v>0</v>
      </c>
      <c r="J19" s="54">
        <v>1.3888888888888951E-2</v>
      </c>
      <c r="K19" s="55">
        <f t="shared" si="4"/>
        <v>1.3779798814937368E-3</v>
      </c>
      <c r="L19" s="52"/>
      <c r="M19" s="53">
        <f t="shared" si="5"/>
        <v>0</v>
      </c>
      <c r="N19" s="54">
        <v>0</v>
      </c>
      <c r="O19" s="53">
        <f t="shared" si="6"/>
        <v>0</v>
      </c>
      <c r="P19" s="54">
        <v>0</v>
      </c>
      <c r="Q19" s="53">
        <f t="shared" si="7"/>
        <v>0</v>
      </c>
      <c r="R19" s="54">
        <v>0</v>
      </c>
      <c r="S19" s="53">
        <f t="shared" si="8"/>
        <v>0</v>
      </c>
      <c r="T19" s="54">
        <v>0</v>
      </c>
      <c r="U19" s="55">
        <f t="shared" si="9"/>
        <v>0</v>
      </c>
      <c r="V19" s="52"/>
      <c r="W19" s="53">
        <f t="shared" si="10"/>
        <v>0</v>
      </c>
      <c r="X19" s="54">
        <v>0</v>
      </c>
      <c r="Y19" s="53">
        <f t="shared" si="11"/>
        <v>0</v>
      </c>
      <c r="Z19" s="54"/>
      <c r="AA19" s="53">
        <f t="shared" si="12"/>
        <v>0</v>
      </c>
      <c r="AB19" s="54"/>
      <c r="AC19" s="53">
        <f t="shared" si="13"/>
        <v>0</v>
      </c>
      <c r="AD19" s="54">
        <v>0</v>
      </c>
      <c r="AE19" s="55">
        <f t="shared" si="14"/>
        <v>0</v>
      </c>
      <c r="AF19" s="52"/>
      <c r="AG19" s="53">
        <f t="shared" si="15"/>
        <v>0</v>
      </c>
      <c r="AH19" s="54">
        <v>8.3333333333333037E-3</v>
      </c>
      <c r="AI19" s="53">
        <f t="shared" si="16"/>
        <v>4.6475600309837167E-3</v>
      </c>
      <c r="AJ19" s="54"/>
      <c r="AK19" s="53">
        <f t="shared" si="17"/>
        <v>0</v>
      </c>
      <c r="AL19" s="54">
        <v>8.3333333333333037E-3</v>
      </c>
      <c r="AM19" s="53">
        <f t="shared" si="18"/>
        <v>1.4983143963041524E-3</v>
      </c>
      <c r="AN19" s="54">
        <v>8.3333333333333037E-3</v>
      </c>
      <c r="AO19" s="55">
        <f t="shared" si="19"/>
        <v>9.7553044467929095E-4</v>
      </c>
    </row>
    <row r="20" spans="1:41" x14ac:dyDescent="0.25">
      <c r="A20" s="28" t="s">
        <v>165</v>
      </c>
      <c r="B20" s="52"/>
      <c r="C20" s="53">
        <f t="shared" si="0"/>
        <v>0</v>
      </c>
      <c r="D20" s="54">
        <v>0.5729166666666673</v>
      </c>
      <c r="E20" s="53">
        <f t="shared" si="1"/>
        <v>0.21045918367346969</v>
      </c>
      <c r="F20" s="54">
        <v>1.1701388888888888</v>
      </c>
      <c r="G20" s="53">
        <f t="shared" si="2"/>
        <v>0.20276774969915773</v>
      </c>
      <c r="H20" s="54">
        <v>1.1041666666666667</v>
      </c>
      <c r="I20" s="53">
        <f t="shared" si="3"/>
        <v>0.21059602649006631</v>
      </c>
      <c r="J20" s="54">
        <v>2.5465277777777771</v>
      </c>
      <c r="K20" s="55">
        <f t="shared" si="4"/>
        <v>0.25265261127187549</v>
      </c>
      <c r="L20" s="52"/>
      <c r="M20" s="53">
        <f t="shared" si="5"/>
        <v>0</v>
      </c>
      <c r="N20" s="54">
        <v>0</v>
      </c>
      <c r="O20" s="53">
        <f t="shared" si="6"/>
        <v>0</v>
      </c>
      <c r="P20" s="54">
        <v>0</v>
      </c>
      <c r="Q20" s="53">
        <f t="shared" si="7"/>
        <v>0</v>
      </c>
      <c r="R20" s="54">
        <v>0</v>
      </c>
      <c r="S20" s="53">
        <f t="shared" si="8"/>
        <v>0</v>
      </c>
      <c r="T20" s="54">
        <v>0</v>
      </c>
      <c r="U20" s="55">
        <f t="shared" si="9"/>
        <v>0</v>
      </c>
      <c r="V20" s="52"/>
      <c r="W20" s="53">
        <f t="shared" si="10"/>
        <v>0</v>
      </c>
      <c r="X20" s="54">
        <v>0</v>
      </c>
      <c r="Y20" s="53">
        <f t="shared" si="11"/>
        <v>0</v>
      </c>
      <c r="Z20" s="54"/>
      <c r="AA20" s="53">
        <f t="shared" si="12"/>
        <v>0</v>
      </c>
      <c r="AB20" s="54"/>
      <c r="AC20" s="53">
        <f t="shared" si="13"/>
        <v>0</v>
      </c>
      <c r="AD20" s="54">
        <v>0.3486111111111112</v>
      </c>
      <c r="AE20" s="55">
        <f t="shared" si="14"/>
        <v>4.0321285140562269E-2</v>
      </c>
      <c r="AF20" s="52"/>
      <c r="AG20" s="53">
        <f t="shared" si="15"/>
        <v>0</v>
      </c>
      <c r="AH20" s="54">
        <v>0</v>
      </c>
      <c r="AI20" s="53">
        <f t="shared" si="16"/>
        <v>0</v>
      </c>
      <c r="AJ20" s="54"/>
      <c r="AK20" s="53">
        <f t="shared" si="17"/>
        <v>0</v>
      </c>
      <c r="AL20" s="54">
        <v>0</v>
      </c>
      <c r="AM20" s="53">
        <f t="shared" si="18"/>
        <v>0</v>
      </c>
      <c r="AN20" s="54">
        <v>0</v>
      </c>
      <c r="AO20" s="55">
        <f t="shared" si="19"/>
        <v>0</v>
      </c>
    </row>
    <row r="21" spans="1:41" x14ac:dyDescent="0.25">
      <c r="A21" s="28" t="s">
        <v>166</v>
      </c>
      <c r="B21" s="52"/>
      <c r="C21" s="53">
        <f t="shared" si="0"/>
        <v>0</v>
      </c>
      <c r="D21" s="54">
        <v>0.10416666666666674</v>
      </c>
      <c r="E21" s="53">
        <f t="shared" si="1"/>
        <v>3.8265306122449015E-2</v>
      </c>
      <c r="F21" s="54">
        <v>0.52777777777777801</v>
      </c>
      <c r="G21" s="53">
        <f t="shared" si="2"/>
        <v>9.1456077015643886E-2</v>
      </c>
      <c r="H21" s="54">
        <v>0.46527777777777801</v>
      </c>
      <c r="I21" s="53">
        <f t="shared" si="3"/>
        <v>8.874172185430472E-2</v>
      </c>
      <c r="J21" s="54">
        <v>0.96874999999999978</v>
      </c>
      <c r="K21" s="55">
        <f t="shared" si="4"/>
        <v>9.6114096734187707E-2</v>
      </c>
      <c r="L21" s="52"/>
      <c r="M21" s="53">
        <f t="shared" si="5"/>
        <v>0</v>
      </c>
      <c r="N21" s="54">
        <v>1.3930555555555553</v>
      </c>
      <c r="O21" s="53">
        <f t="shared" si="6"/>
        <v>0.92870370370370348</v>
      </c>
      <c r="P21" s="54">
        <v>2.5486111111111107</v>
      </c>
      <c r="Q21" s="53">
        <f t="shared" si="7"/>
        <v>0.8471837488457985</v>
      </c>
      <c r="R21" s="54">
        <v>2.3319444444444444</v>
      </c>
      <c r="S21" s="53">
        <f t="shared" si="8"/>
        <v>0.84541792547834826</v>
      </c>
      <c r="T21" s="54">
        <v>4.1444444444444439</v>
      </c>
      <c r="U21" s="55">
        <f t="shared" si="9"/>
        <v>0.86292654713707329</v>
      </c>
      <c r="V21" s="52"/>
      <c r="W21" s="53">
        <f t="shared" si="10"/>
        <v>0</v>
      </c>
      <c r="X21" s="54">
        <v>0</v>
      </c>
      <c r="Y21" s="53">
        <f t="shared" si="11"/>
        <v>0</v>
      </c>
      <c r="Z21" s="54"/>
      <c r="AA21" s="53">
        <f t="shared" si="12"/>
        <v>0</v>
      </c>
      <c r="AB21" s="54"/>
      <c r="AC21" s="53">
        <f t="shared" si="13"/>
        <v>0</v>
      </c>
      <c r="AD21" s="54">
        <v>0</v>
      </c>
      <c r="AE21" s="55">
        <f t="shared" si="14"/>
        <v>0</v>
      </c>
      <c r="AF21" s="52"/>
      <c r="AG21" s="53">
        <f t="shared" si="15"/>
        <v>0</v>
      </c>
      <c r="AH21" s="54">
        <v>0.17083333333333328</v>
      </c>
      <c r="AI21" s="53">
        <f t="shared" si="16"/>
        <v>9.5274980635166512E-2</v>
      </c>
      <c r="AJ21" s="54"/>
      <c r="AK21" s="53">
        <f t="shared" si="17"/>
        <v>0</v>
      </c>
      <c r="AL21" s="54">
        <v>0.17083333333333328</v>
      </c>
      <c r="AM21" s="53">
        <f t="shared" si="18"/>
        <v>3.0715445124235224E-2</v>
      </c>
      <c r="AN21" s="54">
        <v>0.17083333333333328</v>
      </c>
      <c r="AO21" s="55">
        <f t="shared" si="19"/>
        <v>1.9998374115925529E-2</v>
      </c>
    </row>
    <row r="22" spans="1:41" x14ac:dyDescent="0.25">
      <c r="A22" s="28" t="s">
        <v>167</v>
      </c>
      <c r="B22" s="52"/>
      <c r="C22" s="53">
        <f t="shared" si="0"/>
        <v>0</v>
      </c>
      <c r="D22" s="54">
        <v>0</v>
      </c>
      <c r="E22" s="53">
        <f t="shared" si="1"/>
        <v>0</v>
      </c>
      <c r="F22" s="54">
        <v>0.4722222222222221</v>
      </c>
      <c r="G22" s="53">
        <f t="shared" si="2"/>
        <v>8.1829121540312896E-2</v>
      </c>
      <c r="H22" s="54">
        <v>0.15624999999999989</v>
      </c>
      <c r="I22" s="53">
        <f t="shared" si="3"/>
        <v>2.9801324503311247E-2</v>
      </c>
      <c r="J22" s="54">
        <v>0.75694444444444442</v>
      </c>
      <c r="K22" s="55">
        <f t="shared" si="4"/>
        <v>7.509990354140833E-2</v>
      </c>
      <c r="L22" s="52"/>
      <c r="M22" s="53">
        <f t="shared" si="5"/>
        <v>0</v>
      </c>
      <c r="N22" s="54">
        <v>0</v>
      </c>
      <c r="O22" s="53">
        <f t="shared" si="6"/>
        <v>0</v>
      </c>
      <c r="P22" s="54">
        <v>6.5972222222222099E-2</v>
      </c>
      <c r="Q22" s="53">
        <f t="shared" si="7"/>
        <v>2.1929824561403466E-2</v>
      </c>
      <c r="R22" s="54">
        <v>6.5972222222222099E-2</v>
      </c>
      <c r="S22" s="53">
        <f t="shared" si="8"/>
        <v>2.3917421953675681E-2</v>
      </c>
      <c r="T22" s="54">
        <v>6.5972222222222099E-2</v>
      </c>
      <c r="U22" s="55">
        <f t="shared" si="9"/>
        <v>1.373626373626371E-2</v>
      </c>
      <c r="V22" s="52"/>
      <c r="W22" s="53">
        <f t="shared" si="10"/>
        <v>0</v>
      </c>
      <c r="X22" s="54">
        <v>0</v>
      </c>
      <c r="Y22" s="53">
        <f t="shared" si="11"/>
        <v>0</v>
      </c>
      <c r="Z22" s="54"/>
      <c r="AA22" s="53">
        <f t="shared" si="12"/>
        <v>0</v>
      </c>
      <c r="AB22" s="54"/>
      <c r="AC22" s="53">
        <f t="shared" si="13"/>
        <v>0</v>
      </c>
      <c r="AD22" s="54">
        <v>0</v>
      </c>
      <c r="AE22" s="55">
        <f t="shared" si="14"/>
        <v>0</v>
      </c>
      <c r="AF22" s="52"/>
      <c r="AG22" s="53">
        <f t="shared" si="15"/>
        <v>0</v>
      </c>
      <c r="AH22" s="54">
        <v>0</v>
      </c>
      <c r="AI22" s="53">
        <f t="shared" si="16"/>
        <v>0</v>
      </c>
      <c r="AJ22" s="54"/>
      <c r="AK22" s="53">
        <f t="shared" si="17"/>
        <v>0</v>
      </c>
      <c r="AL22" s="54">
        <v>0</v>
      </c>
      <c r="AM22" s="53">
        <f t="shared" si="18"/>
        <v>0</v>
      </c>
      <c r="AN22" s="54">
        <v>0</v>
      </c>
      <c r="AO22" s="55">
        <f t="shared" si="19"/>
        <v>0</v>
      </c>
    </row>
    <row r="23" spans="1:41" x14ac:dyDescent="0.25">
      <c r="A23" s="28" t="s">
        <v>168</v>
      </c>
      <c r="B23" s="52"/>
      <c r="C23" s="53">
        <f t="shared" si="0"/>
        <v>0</v>
      </c>
      <c r="D23" s="54">
        <v>0.30555555555555586</v>
      </c>
      <c r="E23" s="53">
        <f t="shared" si="1"/>
        <v>0.11224489795918381</v>
      </c>
      <c r="F23" s="54">
        <v>0.50000000000000044</v>
      </c>
      <c r="G23" s="53">
        <f t="shared" si="2"/>
        <v>8.664259927797846E-2</v>
      </c>
      <c r="H23" s="54">
        <v>0.50000000000000044</v>
      </c>
      <c r="I23" s="53">
        <f t="shared" si="3"/>
        <v>9.5364238410596144E-2</v>
      </c>
      <c r="J23" s="54">
        <v>0.60416666666666696</v>
      </c>
      <c r="K23" s="55">
        <f t="shared" si="4"/>
        <v>5.9942124844977317E-2</v>
      </c>
      <c r="L23" s="52"/>
      <c r="M23" s="53">
        <f t="shared" si="5"/>
        <v>0</v>
      </c>
      <c r="N23" s="54">
        <v>0</v>
      </c>
      <c r="O23" s="53">
        <f t="shared" si="6"/>
        <v>0</v>
      </c>
      <c r="P23" s="54">
        <v>0</v>
      </c>
      <c r="Q23" s="53">
        <f t="shared" si="7"/>
        <v>0</v>
      </c>
      <c r="R23" s="54">
        <v>0</v>
      </c>
      <c r="S23" s="53">
        <f t="shared" si="8"/>
        <v>0</v>
      </c>
      <c r="T23" s="54">
        <v>0</v>
      </c>
      <c r="U23" s="55">
        <f t="shared" si="9"/>
        <v>0</v>
      </c>
      <c r="V23" s="52"/>
      <c r="W23" s="53">
        <f t="shared" si="10"/>
        <v>0</v>
      </c>
      <c r="X23" s="54">
        <v>0.1180555555555555</v>
      </c>
      <c r="Y23" s="53">
        <f t="shared" si="11"/>
        <v>5.9628200631357403E-2</v>
      </c>
      <c r="Z23" s="54"/>
      <c r="AA23" s="53">
        <f t="shared" si="12"/>
        <v>0</v>
      </c>
      <c r="AB23" s="54"/>
      <c r="AC23" s="53">
        <f t="shared" si="13"/>
        <v>0</v>
      </c>
      <c r="AD23" s="54">
        <v>0.39513888888888898</v>
      </c>
      <c r="AE23" s="55">
        <f t="shared" si="14"/>
        <v>4.5702811244979935E-2</v>
      </c>
      <c r="AF23" s="52"/>
      <c r="AG23" s="53">
        <f t="shared" si="15"/>
        <v>0</v>
      </c>
      <c r="AH23" s="54">
        <v>0</v>
      </c>
      <c r="AI23" s="53">
        <f t="shared" si="16"/>
        <v>0</v>
      </c>
      <c r="AJ23" s="54"/>
      <c r="AK23" s="53">
        <f t="shared" si="17"/>
        <v>0</v>
      </c>
      <c r="AL23" s="54">
        <v>0</v>
      </c>
      <c r="AM23" s="53">
        <f t="shared" si="18"/>
        <v>0</v>
      </c>
      <c r="AN23" s="54">
        <v>0</v>
      </c>
      <c r="AO23" s="55">
        <f t="shared" si="19"/>
        <v>0</v>
      </c>
    </row>
    <row r="24" spans="1:41" x14ac:dyDescent="0.25">
      <c r="A24" s="28" t="s">
        <v>169</v>
      </c>
      <c r="B24" s="52"/>
      <c r="C24" s="53">
        <f t="shared" si="0"/>
        <v>0</v>
      </c>
      <c r="D24" s="54">
        <v>0</v>
      </c>
      <c r="E24" s="53">
        <f t="shared" si="1"/>
        <v>0</v>
      </c>
      <c r="F24" s="54">
        <v>0</v>
      </c>
      <c r="G24" s="53">
        <f t="shared" si="2"/>
        <v>0</v>
      </c>
      <c r="H24" s="54">
        <v>0</v>
      </c>
      <c r="I24" s="53">
        <f t="shared" si="3"/>
        <v>0</v>
      </c>
      <c r="J24" s="54">
        <v>0</v>
      </c>
      <c r="K24" s="55">
        <f t="shared" si="4"/>
        <v>0</v>
      </c>
      <c r="L24" s="52"/>
      <c r="M24" s="53">
        <f t="shared" si="5"/>
        <v>0</v>
      </c>
      <c r="N24" s="54">
        <v>0</v>
      </c>
      <c r="O24" s="53">
        <f t="shared" si="6"/>
        <v>0</v>
      </c>
      <c r="P24" s="54">
        <v>0</v>
      </c>
      <c r="Q24" s="53">
        <f t="shared" si="7"/>
        <v>0</v>
      </c>
      <c r="R24" s="54">
        <v>0</v>
      </c>
      <c r="S24" s="53">
        <f t="shared" si="8"/>
        <v>0</v>
      </c>
      <c r="T24" s="54">
        <v>0</v>
      </c>
      <c r="U24" s="55">
        <f t="shared" si="9"/>
        <v>0</v>
      </c>
      <c r="V24" s="52"/>
      <c r="W24" s="53">
        <f t="shared" si="10"/>
        <v>0</v>
      </c>
      <c r="X24" s="54">
        <v>0</v>
      </c>
      <c r="Y24" s="53">
        <f t="shared" si="11"/>
        <v>0</v>
      </c>
      <c r="Z24" s="54"/>
      <c r="AA24" s="53">
        <f t="shared" si="12"/>
        <v>0</v>
      </c>
      <c r="AB24" s="54"/>
      <c r="AC24" s="53">
        <f t="shared" si="13"/>
        <v>0</v>
      </c>
      <c r="AD24" s="54">
        <v>0</v>
      </c>
      <c r="AE24" s="55">
        <f t="shared" si="14"/>
        <v>0</v>
      </c>
      <c r="AF24" s="52"/>
      <c r="AG24" s="53">
        <f t="shared" si="15"/>
        <v>0</v>
      </c>
      <c r="AH24" s="54">
        <v>0</v>
      </c>
      <c r="AI24" s="53">
        <f t="shared" si="16"/>
        <v>0</v>
      </c>
      <c r="AJ24" s="54"/>
      <c r="AK24" s="53">
        <f t="shared" si="17"/>
        <v>0</v>
      </c>
      <c r="AL24" s="54">
        <v>0</v>
      </c>
      <c r="AM24" s="53">
        <f t="shared" si="18"/>
        <v>0</v>
      </c>
      <c r="AN24" s="54">
        <v>0</v>
      </c>
      <c r="AO24" s="55">
        <f t="shared" si="19"/>
        <v>0</v>
      </c>
    </row>
    <row r="25" spans="1:41" x14ac:dyDescent="0.25">
      <c r="A25" s="28" t="s">
        <v>170</v>
      </c>
      <c r="B25" s="52"/>
      <c r="C25" s="53">
        <f t="shared" si="0"/>
        <v>0</v>
      </c>
      <c r="D25" s="54">
        <v>0</v>
      </c>
      <c r="E25" s="53">
        <f t="shared" si="1"/>
        <v>0</v>
      </c>
      <c r="F25" s="54">
        <v>0</v>
      </c>
      <c r="G25" s="53">
        <f t="shared" si="2"/>
        <v>0</v>
      </c>
      <c r="H25" s="54">
        <v>0</v>
      </c>
      <c r="I25" s="53">
        <f t="shared" si="3"/>
        <v>0</v>
      </c>
      <c r="J25" s="54">
        <v>0</v>
      </c>
      <c r="K25" s="55">
        <f t="shared" si="4"/>
        <v>0</v>
      </c>
      <c r="L25" s="52"/>
      <c r="M25" s="53">
        <f t="shared" si="5"/>
        <v>0</v>
      </c>
      <c r="N25" s="54">
        <v>0</v>
      </c>
      <c r="O25" s="53">
        <f t="shared" si="6"/>
        <v>0</v>
      </c>
      <c r="P25" s="54">
        <v>0</v>
      </c>
      <c r="Q25" s="53">
        <f t="shared" si="7"/>
        <v>0</v>
      </c>
      <c r="R25" s="54">
        <v>0</v>
      </c>
      <c r="S25" s="53">
        <f t="shared" si="8"/>
        <v>0</v>
      </c>
      <c r="T25" s="54">
        <v>0</v>
      </c>
      <c r="U25" s="55">
        <f t="shared" si="9"/>
        <v>0</v>
      </c>
      <c r="V25" s="52"/>
      <c r="W25" s="53">
        <f t="shared" si="10"/>
        <v>0</v>
      </c>
      <c r="X25" s="54">
        <v>0</v>
      </c>
      <c r="Y25" s="53">
        <f t="shared" si="11"/>
        <v>0</v>
      </c>
      <c r="Z25" s="54"/>
      <c r="AA25" s="53">
        <f t="shared" si="12"/>
        <v>0</v>
      </c>
      <c r="AB25" s="54"/>
      <c r="AC25" s="53">
        <f t="shared" si="13"/>
        <v>0</v>
      </c>
      <c r="AD25" s="54">
        <v>0</v>
      </c>
      <c r="AE25" s="55">
        <f t="shared" si="14"/>
        <v>0</v>
      </c>
      <c r="AF25" s="52"/>
      <c r="AG25" s="53">
        <f t="shared" si="15"/>
        <v>0</v>
      </c>
      <c r="AH25" s="54">
        <v>0</v>
      </c>
      <c r="AI25" s="53">
        <f t="shared" si="16"/>
        <v>0</v>
      </c>
      <c r="AJ25" s="54"/>
      <c r="AK25" s="53">
        <f t="shared" si="17"/>
        <v>0</v>
      </c>
      <c r="AL25" s="54">
        <v>0</v>
      </c>
      <c r="AM25" s="53">
        <f t="shared" si="18"/>
        <v>0</v>
      </c>
      <c r="AN25" s="54">
        <v>0</v>
      </c>
      <c r="AO25" s="55">
        <f t="shared" si="19"/>
        <v>0</v>
      </c>
    </row>
    <row r="26" spans="1:41" x14ac:dyDescent="0.25">
      <c r="A26" s="28" t="s">
        <v>171</v>
      </c>
      <c r="B26" s="52"/>
      <c r="C26" s="53">
        <f t="shared" si="0"/>
        <v>0</v>
      </c>
      <c r="D26" s="54">
        <v>0.38888888888888873</v>
      </c>
      <c r="E26" s="53">
        <f t="shared" si="1"/>
        <v>0.14285714285714285</v>
      </c>
      <c r="F26" s="54">
        <v>0.57638888888888762</v>
      </c>
      <c r="G26" s="53">
        <f t="shared" si="2"/>
        <v>9.9879663056558196E-2</v>
      </c>
      <c r="H26" s="54">
        <v>0.57638888888888762</v>
      </c>
      <c r="I26" s="53">
        <f t="shared" si="3"/>
        <v>0.10993377483443688</v>
      </c>
      <c r="J26" s="54">
        <v>0.94791666666666552</v>
      </c>
      <c r="K26" s="55">
        <f t="shared" si="4"/>
        <v>9.4047126911947013E-2</v>
      </c>
      <c r="L26" s="52"/>
      <c r="M26" s="53">
        <f t="shared" si="5"/>
        <v>0</v>
      </c>
      <c r="N26" s="54">
        <v>0</v>
      </c>
      <c r="O26" s="53">
        <f t="shared" si="6"/>
        <v>0</v>
      </c>
      <c r="P26" s="54">
        <v>0</v>
      </c>
      <c r="Q26" s="53">
        <f t="shared" si="7"/>
        <v>0</v>
      </c>
      <c r="R26" s="54">
        <v>0</v>
      </c>
      <c r="S26" s="53">
        <f t="shared" si="8"/>
        <v>0</v>
      </c>
      <c r="T26" s="54">
        <v>0</v>
      </c>
      <c r="U26" s="55">
        <f t="shared" si="9"/>
        <v>0</v>
      </c>
      <c r="V26" s="52"/>
      <c r="W26" s="53">
        <f t="shared" si="10"/>
        <v>0</v>
      </c>
      <c r="X26" s="54">
        <v>0</v>
      </c>
      <c r="Y26" s="53">
        <f t="shared" si="11"/>
        <v>0</v>
      </c>
      <c r="Z26" s="54"/>
      <c r="AA26" s="53">
        <f t="shared" si="12"/>
        <v>0</v>
      </c>
      <c r="AB26" s="54"/>
      <c r="AC26" s="53">
        <f t="shared" si="13"/>
        <v>0</v>
      </c>
      <c r="AD26" s="54">
        <v>0</v>
      </c>
      <c r="AE26" s="55">
        <f t="shared" si="14"/>
        <v>0</v>
      </c>
      <c r="AF26" s="52"/>
      <c r="AG26" s="53">
        <f t="shared" si="15"/>
        <v>0</v>
      </c>
      <c r="AH26" s="54">
        <v>0</v>
      </c>
      <c r="AI26" s="53">
        <f t="shared" si="16"/>
        <v>0</v>
      </c>
      <c r="AJ26" s="54"/>
      <c r="AK26" s="53">
        <f t="shared" si="17"/>
        <v>0</v>
      </c>
      <c r="AL26" s="54">
        <v>0</v>
      </c>
      <c r="AM26" s="53">
        <f t="shared" si="18"/>
        <v>0</v>
      </c>
      <c r="AN26" s="54">
        <v>0</v>
      </c>
      <c r="AO26" s="55">
        <f t="shared" si="19"/>
        <v>0</v>
      </c>
    </row>
    <row r="27" spans="1:41" x14ac:dyDescent="0.25">
      <c r="A27" s="28" t="s">
        <v>172</v>
      </c>
      <c r="B27" s="52"/>
      <c r="C27" s="53">
        <f t="shared" si="0"/>
        <v>0</v>
      </c>
      <c r="D27" s="54">
        <v>0.17361111111111127</v>
      </c>
      <c r="E27" s="53">
        <f t="shared" si="1"/>
        <v>6.3775510204081703E-2</v>
      </c>
      <c r="F27" s="54">
        <v>0.32638888888888906</v>
      </c>
      <c r="G27" s="53">
        <f t="shared" si="2"/>
        <v>5.655836341756925E-2</v>
      </c>
      <c r="H27" s="54">
        <v>0.30555555555555569</v>
      </c>
      <c r="I27" s="53">
        <f t="shared" si="3"/>
        <v>5.8278145695364283E-2</v>
      </c>
      <c r="J27" s="54">
        <v>0.63541666666666674</v>
      </c>
      <c r="K27" s="55">
        <f t="shared" si="4"/>
        <v>6.3042579578338198E-2</v>
      </c>
      <c r="L27" s="52"/>
      <c r="M27" s="53">
        <f t="shared" si="5"/>
        <v>0</v>
      </c>
      <c r="N27" s="54">
        <v>0</v>
      </c>
      <c r="O27" s="53">
        <f t="shared" si="6"/>
        <v>0</v>
      </c>
      <c r="P27" s="54">
        <v>0</v>
      </c>
      <c r="Q27" s="53">
        <f t="shared" si="7"/>
        <v>0</v>
      </c>
      <c r="R27" s="54">
        <v>0</v>
      </c>
      <c r="S27" s="53">
        <f t="shared" si="8"/>
        <v>0</v>
      </c>
      <c r="T27" s="54">
        <v>0</v>
      </c>
      <c r="U27" s="55">
        <f t="shared" si="9"/>
        <v>0</v>
      </c>
      <c r="V27" s="52"/>
      <c r="W27" s="53">
        <f t="shared" si="10"/>
        <v>0</v>
      </c>
      <c r="X27" s="54">
        <v>0</v>
      </c>
      <c r="Y27" s="53">
        <f t="shared" si="11"/>
        <v>0</v>
      </c>
      <c r="Z27" s="54"/>
      <c r="AA27" s="53">
        <f t="shared" si="12"/>
        <v>0</v>
      </c>
      <c r="AB27" s="54"/>
      <c r="AC27" s="53">
        <f t="shared" si="13"/>
        <v>0</v>
      </c>
      <c r="AD27" s="54">
        <v>0</v>
      </c>
      <c r="AE27" s="55">
        <f t="shared" si="14"/>
        <v>0</v>
      </c>
      <c r="AF27" s="52"/>
      <c r="AG27" s="53">
        <f t="shared" si="15"/>
        <v>0</v>
      </c>
      <c r="AH27" s="54">
        <v>0</v>
      </c>
      <c r="AI27" s="53">
        <f t="shared" si="16"/>
        <v>0</v>
      </c>
      <c r="AJ27" s="54"/>
      <c r="AK27" s="53">
        <f t="shared" si="17"/>
        <v>0</v>
      </c>
      <c r="AL27" s="54">
        <v>0.12222222222222234</v>
      </c>
      <c r="AM27" s="53">
        <f t="shared" si="18"/>
        <v>2.1975277812461003E-2</v>
      </c>
      <c r="AN27" s="54">
        <v>0.12222222222222234</v>
      </c>
      <c r="AO27" s="55">
        <f t="shared" si="19"/>
        <v>1.4307779855296332E-2</v>
      </c>
    </row>
    <row r="28" spans="1:41" x14ac:dyDescent="0.25">
      <c r="A28" s="29" t="s">
        <v>78</v>
      </c>
      <c r="B28" s="52"/>
      <c r="C28" s="53">
        <f t="shared" si="0"/>
        <v>0</v>
      </c>
      <c r="D28" s="54">
        <v>0</v>
      </c>
      <c r="E28" s="53">
        <f t="shared" si="1"/>
        <v>0</v>
      </c>
      <c r="F28" s="54">
        <v>0</v>
      </c>
      <c r="G28" s="53">
        <f t="shared" si="2"/>
        <v>0</v>
      </c>
      <c r="H28" s="54">
        <v>0</v>
      </c>
      <c r="I28" s="53">
        <f t="shared" si="3"/>
        <v>0</v>
      </c>
      <c r="J28" s="54">
        <v>0</v>
      </c>
      <c r="K28" s="55">
        <f t="shared" si="4"/>
        <v>0</v>
      </c>
      <c r="L28" s="52"/>
      <c r="M28" s="53">
        <f t="shared" si="5"/>
        <v>0</v>
      </c>
      <c r="N28" s="54">
        <v>0</v>
      </c>
      <c r="O28" s="53">
        <f t="shared" si="6"/>
        <v>0</v>
      </c>
      <c r="P28" s="54">
        <v>0</v>
      </c>
      <c r="Q28" s="53">
        <f t="shared" si="7"/>
        <v>0</v>
      </c>
      <c r="R28" s="54">
        <v>0</v>
      </c>
      <c r="S28" s="53">
        <f t="shared" si="8"/>
        <v>0</v>
      </c>
      <c r="T28" s="54">
        <v>1.0416666666666741E-2</v>
      </c>
      <c r="U28" s="55">
        <f t="shared" si="9"/>
        <v>2.1688837478311316E-3</v>
      </c>
      <c r="V28" s="52"/>
      <c r="W28" s="53">
        <f t="shared" si="10"/>
        <v>0</v>
      </c>
      <c r="X28" s="54">
        <v>8.1249999999999878E-2</v>
      </c>
      <c r="Y28" s="53">
        <f t="shared" si="11"/>
        <v>4.1038232199228288E-2</v>
      </c>
      <c r="Z28" s="54"/>
      <c r="AA28" s="53">
        <f t="shared" si="12"/>
        <v>0</v>
      </c>
      <c r="AB28" s="54"/>
      <c r="AC28" s="53">
        <f t="shared" si="13"/>
        <v>0</v>
      </c>
      <c r="AD28" s="54">
        <v>0.63958333333333328</v>
      </c>
      <c r="AE28" s="55">
        <f t="shared" si="14"/>
        <v>7.3975903614457841E-2</v>
      </c>
      <c r="AF28" s="52"/>
      <c r="AG28" s="53">
        <f t="shared" si="15"/>
        <v>0</v>
      </c>
      <c r="AH28" s="54">
        <v>0</v>
      </c>
      <c r="AI28" s="53">
        <f t="shared" si="16"/>
        <v>0</v>
      </c>
      <c r="AJ28" s="54"/>
      <c r="AK28" s="53">
        <f t="shared" si="17"/>
        <v>0</v>
      </c>
      <c r="AL28" s="54">
        <v>0</v>
      </c>
      <c r="AM28" s="53">
        <f t="shared" si="18"/>
        <v>0</v>
      </c>
      <c r="AN28" s="54">
        <v>0</v>
      </c>
      <c r="AO28" s="55">
        <f t="shared" si="19"/>
        <v>0</v>
      </c>
    </row>
    <row r="29" spans="1:41" x14ac:dyDescent="0.25">
      <c r="A29" s="29" t="s">
        <v>79</v>
      </c>
      <c r="B29" s="52"/>
      <c r="C29" s="53">
        <f t="shared" si="0"/>
        <v>0</v>
      </c>
      <c r="D29" s="54">
        <v>0</v>
      </c>
      <c r="E29" s="53">
        <f t="shared" si="1"/>
        <v>0</v>
      </c>
      <c r="F29" s="54">
        <v>0</v>
      </c>
      <c r="G29" s="53">
        <f t="shared" si="2"/>
        <v>0</v>
      </c>
      <c r="H29" s="54">
        <v>0</v>
      </c>
      <c r="I29" s="53">
        <f t="shared" si="3"/>
        <v>0</v>
      </c>
      <c r="J29" s="54">
        <v>0</v>
      </c>
      <c r="K29" s="55">
        <f t="shared" si="4"/>
        <v>0</v>
      </c>
      <c r="L29" s="52"/>
      <c r="M29" s="53">
        <f t="shared" si="5"/>
        <v>0</v>
      </c>
      <c r="N29" s="54">
        <v>0</v>
      </c>
      <c r="O29" s="53">
        <f t="shared" si="6"/>
        <v>0</v>
      </c>
      <c r="P29" s="54">
        <v>0</v>
      </c>
      <c r="Q29" s="53">
        <f t="shared" si="7"/>
        <v>0</v>
      </c>
      <c r="R29" s="54">
        <v>0</v>
      </c>
      <c r="S29" s="53">
        <f t="shared" si="8"/>
        <v>0</v>
      </c>
      <c r="T29" s="54">
        <v>0</v>
      </c>
      <c r="U29" s="55">
        <f t="shared" si="9"/>
        <v>0</v>
      </c>
      <c r="V29" s="52"/>
      <c r="W29" s="53">
        <f t="shared" si="10"/>
        <v>0</v>
      </c>
      <c r="X29" s="54">
        <v>6.9444444444444517E-2</v>
      </c>
      <c r="Y29" s="53">
        <f t="shared" si="11"/>
        <v>3.5075412136092644E-2</v>
      </c>
      <c r="Z29" s="54"/>
      <c r="AA29" s="53">
        <f t="shared" si="12"/>
        <v>0</v>
      </c>
      <c r="AB29" s="54"/>
      <c r="AC29" s="53">
        <f t="shared" si="13"/>
        <v>0</v>
      </c>
      <c r="AD29" s="54">
        <v>0.93749999999999989</v>
      </c>
      <c r="AE29" s="55">
        <f t="shared" si="14"/>
        <v>0.10843373493975904</v>
      </c>
      <c r="AF29" s="52"/>
      <c r="AG29" s="53">
        <f t="shared" si="15"/>
        <v>0</v>
      </c>
      <c r="AH29" s="54">
        <v>0</v>
      </c>
      <c r="AI29" s="53">
        <f t="shared" si="16"/>
        <v>0</v>
      </c>
      <c r="AJ29" s="54"/>
      <c r="AK29" s="53">
        <f t="shared" si="17"/>
        <v>0</v>
      </c>
      <c r="AL29" s="54">
        <v>0</v>
      </c>
      <c r="AM29" s="53">
        <f t="shared" si="18"/>
        <v>0</v>
      </c>
      <c r="AN29" s="54">
        <v>0</v>
      </c>
      <c r="AO29" s="55">
        <f t="shared" si="19"/>
        <v>0</v>
      </c>
    </row>
    <row r="30" spans="1:41" x14ac:dyDescent="0.25">
      <c r="A30" s="29" t="s">
        <v>80</v>
      </c>
      <c r="B30" s="52"/>
      <c r="C30" s="53">
        <f t="shared" si="0"/>
        <v>0</v>
      </c>
      <c r="D30" s="54">
        <v>0</v>
      </c>
      <c r="E30" s="53">
        <f t="shared" si="1"/>
        <v>0</v>
      </c>
      <c r="F30" s="54">
        <v>0</v>
      </c>
      <c r="G30" s="53">
        <f t="shared" si="2"/>
        <v>0</v>
      </c>
      <c r="H30" s="54">
        <v>0</v>
      </c>
      <c r="I30" s="53">
        <f t="shared" si="3"/>
        <v>0</v>
      </c>
      <c r="J30" s="54">
        <v>0</v>
      </c>
      <c r="K30" s="55">
        <f t="shared" si="4"/>
        <v>0</v>
      </c>
      <c r="L30" s="52"/>
      <c r="M30" s="53">
        <f t="shared" si="5"/>
        <v>0</v>
      </c>
      <c r="N30" s="54">
        <v>0</v>
      </c>
      <c r="O30" s="53">
        <f t="shared" si="6"/>
        <v>0</v>
      </c>
      <c r="P30" s="54">
        <v>0</v>
      </c>
      <c r="Q30" s="53">
        <f t="shared" si="7"/>
        <v>0</v>
      </c>
      <c r="R30" s="54">
        <v>0</v>
      </c>
      <c r="S30" s="53">
        <f t="shared" si="8"/>
        <v>0</v>
      </c>
      <c r="T30" s="54">
        <v>0</v>
      </c>
      <c r="U30" s="55">
        <f t="shared" si="9"/>
        <v>0</v>
      </c>
      <c r="V30" s="52"/>
      <c r="W30" s="53">
        <f t="shared" si="10"/>
        <v>0</v>
      </c>
      <c r="X30" s="54">
        <v>0</v>
      </c>
      <c r="Y30" s="53">
        <f t="shared" si="11"/>
        <v>0</v>
      </c>
      <c r="Z30" s="54"/>
      <c r="AA30" s="53">
        <f t="shared" si="12"/>
        <v>0</v>
      </c>
      <c r="AB30" s="54"/>
      <c r="AC30" s="53">
        <f t="shared" si="13"/>
        <v>0</v>
      </c>
      <c r="AD30" s="54">
        <v>0</v>
      </c>
      <c r="AE30" s="55">
        <f t="shared" si="14"/>
        <v>0</v>
      </c>
      <c r="AF30" s="52"/>
      <c r="AG30" s="53">
        <f t="shared" si="15"/>
        <v>0</v>
      </c>
      <c r="AH30" s="54">
        <v>0</v>
      </c>
      <c r="AI30" s="53">
        <f t="shared" si="16"/>
        <v>0</v>
      </c>
      <c r="AJ30" s="54"/>
      <c r="AK30" s="53">
        <f t="shared" si="17"/>
        <v>0</v>
      </c>
      <c r="AL30" s="54">
        <v>0</v>
      </c>
      <c r="AM30" s="53">
        <f t="shared" si="18"/>
        <v>0</v>
      </c>
      <c r="AN30" s="54">
        <v>0</v>
      </c>
      <c r="AO30" s="55">
        <f t="shared" si="19"/>
        <v>0</v>
      </c>
    </row>
    <row r="31" spans="1:41" x14ac:dyDescent="0.25">
      <c r="A31" s="29" t="s">
        <v>81</v>
      </c>
      <c r="B31" s="52"/>
      <c r="C31" s="53">
        <f t="shared" si="0"/>
        <v>0</v>
      </c>
      <c r="D31" s="54">
        <v>0</v>
      </c>
      <c r="E31" s="53">
        <f t="shared" si="1"/>
        <v>0</v>
      </c>
      <c r="F31" s="54">
        <v>0</v>
      </c>
      <c r="G31" s="53">
        <f t="shared" si="2"/>
        <v>0</v>
      </c>
      <c r="H31" s="54">
        <v>0</v>
      </c>
      <c r="I31" s="53">
        <f t="shared" si="3"/>
        <v>0</v>
      </c>
      <c r="J31" s="54">
        <v>0</v>
      </c>
      <c r="K31" s="55">
        <f t="shared" si="4"/>
        <v>0</v>
      </c>
      <c r="L31" s="52"/>
      <c r="M31" s="53">
        <f t="shared" si="5"/>
        <v>0</v>
      </c>
      <c r="N31" s="54">
        <v>0</v>
      </c>
      <c r="O31" s="53">
        <f t="shared" si="6"/>
        <v>0</v>
      </c>
      <c r="P31" s="54">
        <v>0</v>
      </c>
      <c r="Q31" s="53">
        <f t="shared" si="7"/>
        <v>0</v>
      </c>
      <c r="R31" s="54">
        <v>0</v>
      </c>
      <c r="S31" s="53">
        <f t="shared" si="8"/>
        <v>0</v>
      </c>
      <c r="T31" s="54">
        <v>0</v>
      </c>
      <c r="U31" s="55">
        <f t="shared" si="9"/>
        <v>0</v>
      </c>
      <c r="V31" s="52"/>
      <c r="W31" s="53">
        <f t="shared" si="10"/>
        <v>0</v>
      </c>
      <c r="X31" s="54">
        <v>0</v>
      </c>
      <c r="Y31" s="53">
        <f t="shared" si="11"/>
        <v>0</v>
      </c>
      <c r="Z31" s="54"/>
      <c r="AA31" s="53">
        <f t="shared" si="12"/>
        <v>0</v>
      </c>
      <c r="AB31" s="54"/>
      <c r="AC31" s="53">
        <f t="shared" si="13"/>
        <v>0</v>
      </c>
      <c r="AD31" s="54">
        <v>0</v>
      </c>
      <c r="AE31" s="55">
        <f t="shared" si="14"/>
        <v>0</v>
      </c>
      <c r="AF31" s="52"/>
      <c r="AG31" s="53">
        <f t="shared" si="15"/>
        <v>0</v>
      </c>
      <c r="AH31" s="54">
        <v>0</v>
      </c>
      <c r="AI31" s="53">
        <f t="shared" si="16"/>
        <v>0</v>
      </c>
      <c r="AJ31" s="54"/>
      <c r="AK31" s="53">
        <f t="shared" si="17"/>
        <v>0</v>
      </c>
      <c r="AL31" s="54">
        <v>0</v>
      </c>
      <c r="AM31" s="53">
        <f t="shared" si="18"/>
        <v>0</v>
      </c>
      <c r="AN31" s="54">
        <v>0</v>
      </c>
      <c r="AO31" s="55">
        <f t="shared" si="19"/>
        <v>0</v>
      </c>
    </row>
    <row r="32" spans="1:41" x14ac:dyDescent="0.25">
      <c r="A32" s="29" t="s">
        <v>82</v>
      </c>
      <c r="B32" s="52"/>
      <c r="C32" s="53">
        <f t="shared" si="0"/>
        <v>0</v>
      </c>
      <c r="D32" s="54">
        <v>0</v>
      </c>
      <c r="E32" s="53">
        <f t="shared" si="1"/>
        <v>0</v>
      </c>
      <c r="F32" s="54">
        <v>0</v>
      </c>
      <c r="G32" s="53">
        <f t="shared" si="2"/>
        <v>0</v>
      </c>
      <c r="H32" s="54">
        <v>0</v>
      </c>
      <c r="I32" s="53">
        <f t="shared" si="3"/>
        <v>0</v>
      </c>
      <c r="J32" s="54">
        <v>0</v>
      </c>
      <c r="K32" s="55">
        <f t="shared" si="4"/>
        <v>0</v>
      </c>
      <c r="L32" s="52"/>
      <c r="M32" s="53">
        <f t="shared" si="5"/>
        <v>0</v>
      </c>
      <c r="N32" s="54">
        <v>0</v>
      </c>
      <c r="O32" s="53">
        <f t="shared" si="6"/>
        <v>0</v>
      </c>
      <c r="P32" s="54">
        <v>0</v>
      </c>
      <c r="Q32" s="53">
        <f t="shared" si="7"/>
        <v>0</v>
      </c>
      <c r="R32" s="54">
        <v>0</v>
      </c>
      <c r="S32" s="53">
        <f t="shared" si="8"/>
        <v>0</v>
      </c>
      <c r="T32" s="54">
        <v>0</v>
      </c>
      <c r="U32" s="55">
        <f t="shared" si="9"/>
        <v>0</v>
      </c>
      <c r="V32" s="52"/>
      <c r="W32" s="53">
        <f t="shared" si="10"/>
        <v>0</v>
      </c>
      <c r="X32" s="54">
        <v>0</v>
      </c>
      <c r="Y32" s="53">
        <f t="shared" si="11"/>
        <v>0</v>
      </c>
      <c r="Z32" s="54"/>
      <c r="AA32" s="53">
        <f t="shared" si="12"/>
        <v>0</v>
      </c>
      <c r="AB32" s="54"/>
      <c r="AC32" s="53">
        <f t="shared" si="13"/>
        <v>0</v>
      </c>
      <c r="AD32" s="54">
        <v>0</v>
      </c>
      <c r="AE32" s="55">
        <f t="shared" si="14"/>
        <v>0</v>
      </c>
      <c r="AF32" s="52"/>
      <c r="AG32" s="53">
        <f t="shared" si="15"/>
        <v>0</v>
      </c>
      <c r="AH32" s="54">
        <v>0</v>
      </c>
      <c r="AI32" s="53">
        <f t="shared" si="16"/>
        <v>0</v>
      </c>
      <c r="AJ32" s="54"/>
      <c r="AK32" s="53">
        <f t="shared" si="17"/>
        <v>0</v>
      </c>
      <c r="AL32" s="54">
        <v>7.291666666666663E-2</v>
      </c>
      <c r="AM32" s="53">
        <f t="shared" si="18"/>
        <v>1.3110250967661373E-2</v>
      </c>
      <c r="AN32" s="54">
        <v>8.8888888888888795E-2</v>
      </c>
      <c r="AO32" s="55">
        <f t="shared" si="19"/>
        <v>1.0405658076579128E-2</v>
      </c>
    </row>
    <row r="33" spans="1:41" x14ac:dyDescent="0.25">
      <c r="A33" s="29" t="s">
        <v>83</v>
      </c>
      <c r="B33" s="52"/>
      <c r="C33" s="53">
        <f t="shared" si="0"/>
        <v>0</v>
      </c>
      <c r="D33" s="54">
        <v>0</v>
      </c>
      <c r="E33" s="53">
        <f t="shared" si="1"/>
        <v>0</v>
      </c>
      <c r="F33" s="54">
        <v>0</v>
      </c>
      <c r="G33" s="53">
        <f t="shared" si="2"/>
        <v>0</v>
      </c>
      <c r="H33" s="54">
        <v>0</v>
      </c>
      <c r="I33" s="53">
        <f t="shared" si="3"/>
        <v>0</v>
      </c>
      <c r="J33" s="54">
        <v>0</v>
      </c>
      <c r="K33" s="55">
        <f t="shared" si="4"/>
        <v>0</v>
      </c>
      <c r="L33" s="52"/>
      <c r="M33" s="53">
        <f t="shared" si="5"/>
        <v>0</v>
      </c>
      <c r="N33" s="54">
        <v>0</v>
      </c>
      <c r="O33" s="53">
        <f t="shared" si="6"/>
        <v>0</v>
      </c>
      <c r="P33" s="54">
        <v>0</v>
      </c>
      <c r="Q33" s="53">
        <f t="shared" si="7"/>
        <v>0</v>
      </c>
      <c r="R33" s="54">
        <v>0</v>
      </c>
      <c r="S33" s="53">
        <f t="shared" si="8"/>
        <v>0</v>
      </c>
      <c r="T33" s="54">
        <v>0</v>
      </c>
      <c r="U33" s="55">
        <f t="shared" si="9"/>
        <v>0</v>
      </c>
      <c r="V33" s="52"/>
      <c r="W33" s="53">
        <f t="shared" si="10"/>
        <v>0</v>
      </c>
      <c r="X33" s="54">
        <v>0</v>
      </c>
      <c r="Y33" s="53">
        <f t="shared" si="11"/>
        <v>0</v>
      </c>
      <c r="Z33" s="54"/>
      <c r="AA33" s="53">
        <f t="shared" si="12"/>
        <v>0</v>
      </c>
      <c r="AB33" s="54"/>
      <c r="AC33" s="53">
        <f t="shared" si="13"/>
        <v>0</v>
      </c>
      <c r="AD33" s="54">
        <v>6.5972222222222321E-2</v>
      </c>
      <c r="AE33" s="55">
        <f t="shared" si="14"/>
        <v>7.630522088353426E-3</v>
      </c>
      <c r="AF33" s="52"/>
      <c r="AG33" s="53">
        <f t="shared" si="15"/>
        <v>0</v>
      </c>
      <c r="AH33" s="54">
        <v>0</v>
      </c>
      <c r="AI33" s="53">
        <f t="shared" si="16"/>
        <v>0</v>
      </c>
      <c r="AJ33" s="54"/>
      <c r="AK33" s="53">
        <f t="shared" si="17"/>
        <v>0</v>
      </c>
      <c r="AL33" s="54">
        <v>0</v>
      </c>
      <c r="AM33" s="53">
        <f t="shared" si="18"/>
        <v>0</v>
      </c>
      <c r="AN33" s="54">
        <v>0</v>
      </c>
      <c r="AO33" s="55">
        <f t="shared" si="19"/>
        <v>0</v>
      </c>
    </row>
    <row r="34" spans="1:41" x14ac:dyDescent="0.25">
      <c r="A34" s="29" t="s">
        <v>84</v>
      </c>
      <c r="B34" s="52"/>
      <c r="C34" s="53">
        <f t="shared" si="0"/>
        <v>0</v>
      </c>
      <c r="D34" s="54">
        <v>2.0833333333333259E-2</v>
      </c>
      <c r="E34" s="53">
        <f t="shared" si="1"/>
        <v>7.6530612244897706E-3</v>
      </c>
      <c r="F34" s="54">
        <v>2.0833333333333259E-2</v>
      </c>
      <c r="G34" s="53">
        <f t="shared" si="2"/>
        <v>3.6101083032490863E-3</v>
      </c>
      <c r="H34" s="54">
        <v>2.0833333333333259E-2</v>
      </c>
      <c r="I34" s="53">
        <f t="shared" si="3"/>
        <v>3.9735099337748214E-3</v>
      </c>
      <c r="J34" s="54">
        <v>3.4722222222222099E-2</v>
      </c>
      <c r="K34" s="55">
        <f t="shared" si="4"/>
        <v>3.4449497037343148E-3</v>
      </c>
      <c r="L34" s="52"/>
      <c r="M34" s="53">
        <f t="shared" si="5"/>
        <v>0</v>
      </c>
      <c r="N34" s="54">
        <v>0</v>
      </c>
      <c r="O34" s="53">
        <f t="shared" si="6"/>
        <v>0</v>
      </c>
      <c r="P34" s="54">
        <v>0</v>
      </c>
      <c r="Q34" s="53">
        <f t="shared" si="7"/>
        <v>0</v>
      </c>
      <c r="R34" s="54">
        <v>0</v>
      </c>
      <c r="S34" s="53">
        <f t="shared" si="8"/>
        <v>0</v>
      </c>
      <c r="T34" s="54">
        <v>0</v>
      </c>
      <c r="U34" s="55">
        <f t="shared" si="9"/>
        <v>0</v>
      </c>
      <c r="V34" s="52"/>
      <c r="W34" s="53">
        <f t="shared" si="10"/>
        <v>0</v>
      </c>
      <c r="X34" s="54">
        <v>2.0833333333333343E-2</v>
      </c>
      <c r="Y34" s="53">
        <f t="shared" si="11"/>
        <v>1.0522623640827787E-2</v>
      </c>
      <c r="Z34" s="54"/>
      <c r="AA34" s="53">
        <f t="shared" si="12"/>
        <v>0</v>
      </c>
      <c r="AB34" s="54"/>
      <c r="AC34" s="53">
        <f t="shared" si="13"/>
        <v>0</v>
      </c>
      <c r="AD34" s="54">
        <v>4.8611111111111022E-2</v>
      </c>
      <c r="AE34" s="55">
        <f t="shared" si="14"/>
        <v>5.6224899598393482E-3</v>
      </c>
      <c r="AF34" s="52"/>
      <c r="AG34" s="53">
        <f t="shared" si="15"/>
        <v>0</v>
      </c>
      <c r="AH34" s="54">
        <v>0</v>
      </c>
      <c r="AI34" s="53">
        <f t="shared" si="16"/>
        <v>0</v>
      </c>
      <c r="AJ34" s="54"/>
      <c r="AK34" s="53">
        <f t="shared" si="17"/>
        <v>0</v>
      </c>
      <c r="AL34" s="54">
        <v>2.4305555555555469E-2</v>
      </c>
      <c r="AM34" s="53">
        <f t="shared" si="18"/>
        <v>4.3700836558871114E-3</v>
      </c>
      <c r="AN34" s="54">
        <v>4.0277777777777635E-2</v>
      </c>
      <c r="AO34" s="55">
        <f t="shared" si="19"/>
        <v>4.715063815949906E-3</v>
      </c>
    </row>
    <row r="35" spans="1:41" ht="15.75" thickBot="1" x14ac:dyDescent="0.3">
      <c r="A35" s="30" t="s">
        <v>85</v>
      </c>
      <c r="B35" s="52"/>
      <c r="C35" s="53">
        <f t="shared" si="0"/>
        <v>0</v>
      </c>
      <c r="D35" s="54">
        <v>0</v>
      </c>
      <c r="E35" s="53">
        <f t="shared" si="1"/>
        <v>0</v>
      </c>
      <c r="F35" s="54">
        <v>0</v>
      </c>
      <c r="G35" s="53">
        <f t="shared" si="2"/>
        <v>0</v>
      </c>
      <c r="H35" s="54">
        <v>0</v>
      </c>
      <c r="I35" s="53">
        <f t="shared" si="3"/>
        <v>0</v>
      </c>
      <c r="J35" s="54">
        <v>1.041666666666663E-2</v>
      </c>
      <c r="K35" s="55">
        <f t="shared" si="4"/>
        <v>1.0334849111202945E-3</v>
      </c>
      <c r="L35" s="52"/>
      <c r="M35" s="53">
        <f t="shared" si="5"/>
        <v>0</v>
      </c>
      <c r="N35" s="54">
        <v>2.0833333333333592E-2</v>
      </c>
      <c r="O35" s="53">
        <f t="shared" si="6"/>
        <v>1.3888888888889062E-2</v>
      </c>
      <c r="P35" s="54">
        <v>5.416666666666714E-2</v>
      </c>
      <c r="Q35" s="53">
        <f t="shared" si="7"/>
        <v>1.800554016620514E-2</v>
      </c>
      <c r="R35" s="54">
        <v>4.0972222222222632E-2</v>
      </c>
      <c r="S35" s="53">
        <f t="shared" si="8"/>
        <v>1.4853977844914547E-2</v>
      </c>
      <c r="T35" s="54">
        <v>0.11319444444444504</v>
      </c>
      <c r="U35" s="55">
        <f t="shared" si="9"/>
        <v>2.3568536726431586E-2</v>
      </c>
      <c r="V35" s="52"/>
      <c r="W35" s="53">
        <f t="shared" si="10"/>
        <v>0</v>
      </c>
      <c r="X35" s="54">
        <v>5.2083333333333322E-2</v>
      </c>
      <c r="Y35" s="53">
        <f t="shared" si="11"/>
        <v>2.630655910206945E-2</v>
      </c>
      <c r="Z35" s="54"/>
      <c r="AA35" s="53">
        <f t="shared" si="12"/>
        <v>0</v>
      </c>
      <c r="AB35" s="54"/>
      <c r="AC35" s="53">
        <f t="shared" si="13"/>
        <v>0</v>
      </c>
      <c r="AD35" s="54">
        <v>0.10416666666666674</v>
      </c>
      <c r="AE35" s="55">
        <f t="shared" si="14"/>
        <v>1.2048192771084348E-2</v>
      </c>
      <c r="AF35" s="52"/>
      <c r="AG35" s="53">
        <f t="shared" si="15"/>
        <v>0</v>
      </c>
      <c r="AH35" s="54">
        <v>0</v>
      </c>
      <c r="AI35" s="53">
        <f t="shared" si="16"/>
        <v>0</v>
      </c>
      <c r="AJ35" s="54"/>
      <c r="AK35" s="53">
        <f t="shared" si="17"/>
        <v>0</v>
      </c>
      <c r="AL35" s="54">
        <v>0</v>
      </c>
      <c r="AM35" s="53">
        <f t="shared" si="18"/>
        <v>0</v>
      </c>
      <c r="AN35" s="54">
        <v>0</v>
      </c>
      <c r="AO35" s="55">
        <f t="shared" si="19"/>
        <v>0</v>
      </c>
    </row>
    <row r="36" spans="1:41" ht="15.75" thickBot="1" x14ac:dyDescent="0.3">
      <c r="A36" s="30" t="s">
        <v>86</v>
      </c>
      <c r="B36" s="56"/>
      <c r="C36" s="57">
        <f t="shared" si="0"/>
        <v>0</v>
      </c>
      <c r="D36" s="58">
        <v>0.20833333333333326</v>
      </c>
      <c r="E36" s="57">
        <f t="shared" si="1"/>
        <v>7.6530612244897961E-2</v>
      </c>
      <c r="F36" s="58">
        <v>0.44097222222222188</v>
      </c>
      <c r="G36" s="57">
        <f t="shared" si="2"/>
        <v>7.6413959085439215E-2</v>
      </c>
      <c r="H36" s="58">
        <v>0.44097222222222188</v>
      </c>
      <c r="I36" s="57">
        <f t="shared" si="3"/>
        <v>8.4105960264900623E-2</v>
      </c>
      <c r="J36" s="58">
        <v>0.61458333333333315</v>
      </c>
      <c r="K36" s="59">
        <f t="shared" si="4"/>
        <v>6.0975609756097567E-2</v>
      </c>
      <c r="L36" s="56"/>
      <c r="M36" s="57">
        <f t="shared" si="5"/>
        <v>0</v>
      </c>
      <c r="N36" s="58">
        <v>0</v>
      </c>
      <c r="O36" s="57">
        <f t="shared" si="6"/>
        <v>0</v>
      </c>
      <c r="P36" s="58">
        <v>0.12499999999999978</v>
      </c>
      <c r="Q36" s="57">
        <f t="shared" si="7"/>
        <v>4.1551246537396044E-2</v>
      </c>
      <c r="R36" s="58">
        <v>0.11458333333333315</v>
      </c>
      <c r="S36" s="57">
        <f t="shared" si="8"/>
        <v>4.1540785498489351E-2</v>
      </c>
      <c r="T36" s="58">
        <v>0.14930555555555525</v>
      </c>
      <c r="U36" s="59">
        <f t="shared" si="9"/>
        <v>3.1087333718912601E-2</v>
      </c>
      <c r="V36" s="56"/>
      <c r="W36" s="57">
        <f t="shared" si="10"/>
        <v>0</v>
      </c>
      <c r="X36" s="58">
        <v>8.3333333333333287E-2</v>
      </c>
      <c r="Y36" s="57">
        <f t="shared" si="11"/>
        <v>4.2090494563311105E-2</v>
      </c>
      <c r="Z36" s="58"/>
      <c r="AA36" s="57">
        <f t="shared" si="12"/>
        <v>0</v>
      </c>
      <c r="AB36" s="58"/>
      <c r="AC36" s="57">
        <f t="shared" si="13"/>
        <v>0</v>
      </c>
      <c r="AD36" s="58">
        <v>0.13194444444444445</v>
      </c>
      <c r="AE36" s="59">
        <f t="shared" si="14"/>
        <v>1.5261044176706829E-2</v>
      </c>
      <c r="AF36" s="56"/>
      <c r="AG36" s="57">
        <f t="shared" si="15"/>
        <v>0</v>
      </c>
      <c r="AH36" s="58">
        <v>0.15347222222222212</v>
      </c>
      <c r="AI36" s="57">
        <f t="shared" si="16"/>
        <v>8.5592563903950369E-2</v>
      </c>
      <c r="AJ36" s="58"/>
      <c r="AK36" s="57">
        <f t="shared" si="17"/>
        <v>0</v>
      </c>
      <c r="AL36" s="58">
        <v>0.29652777777777761</v>
      </c>
      <c r="AM36" s="57">
        <f t="shared" si="18"/>
        <v>5.3315020601822916E-2</v>
      </c>
      <c r="AN36" s="58">
        <v>0.29652777777777761</v>
      </c>
      <c r="AO36" s="59">
        <f t="shared" si="19"/>
        <v>3.4712624989838202E-2</v>
      </c>
    </row>
    <row r="37" spans="1:41" x14ac:dyDescent="0.25">
      <c r="B37" s="45">
        <f>SUM(B4:B36)</f>
        <v>0</v>
      </c>
      <c r="D37" s="45">
        <f>SUM(D4:D36)</f>
        <v>2.7222222222222214</v>
      </c>
      <c r="F37" s="45">
        <f>SUM(F4:F36)</f>
        <v>5.7708333333333304</v>
      </c>
      <c r="H37" s="45">
        <f>SUM(H4:H36)</f>
        <v>5.2430555555555536</v>
      </c>
      <c r="J37" s="45">
        <f>SUM(J4:J36)</f>
        <v>10.079166666666662</v>
      </c>
      <c r="L37" s="45">
        <f>SUM(L4:L36)</f>
        <v>0</v>
      </c>
      <c r="N37" s="45">
        <f>SUM(N4:N36)</f>
        <v>1.5</v>
      </c>
      <c r="P37" s="45">
        <f>SUM(P4:P36)</f>
        <v>3.0083333333333337</v>
      </c>
      <c r="R37" s="45">
        <f>SUM(R4:R36)</f>
        <v>2.7583333333333337</v>
      </c>
      <c r="T37" s="45">
        <f>SUM(T4:T36)</f>
        <v>4.802777777777778</v>
      </c>
      <c r="V37" s="45">
        <f>SUM(V4:V36)</f>
        <v>0</v>
      </c>
      <c r="X37" s="45">
        <f>SUM(X4:X36)</f>
        <v>1.9798611111111106</v>
      </c>
      <c r="Z37" s="45">
        <f>SUM(Z4:Z36)</f>
        <v>0</v>
      </c>
      <c r="AB37" s="45">
        <f>SUM(AB4:AB36)</f>
        <v>0</v>
      </c>
      <c r="AD37" s="45">
        <f>SUM(AD4:AD36)</f>
        <v>8.6458333333333321</v>
      </c>
      <c r="AF37" s="45">
        <f>SUM(AF4:AF36)</f>
        <v>0</v>
      </c>
      <c r="AH37" s="45">
        <f>SUM(AH4:AH36)</f>
        <v>1.7930555555555556</v>
      </c>
      <c r="AJ37" s="45">
        <f>SUM(AJ4:AJ36)</f>
        <v>0</v>
      </c>
      <c r="AL37" s="45">
        <f>SUM(AL4:AL36)</f>
        <v>5.5618055555555559</v>
      </c>
      <c r="AN37" s="45">
        <f>SUM(AN4:AN36)</f>
        <v>8.5423611111111111</v>
      </c>
    </row>
    <row r="38" spans="1:41" x14ac:dyDescent="0.25">
      <c r="D38" s="39">
        <v>88.8333333333333</v>
      </c>
      <c r="F38" s="39">
        <v>138.5</v>
      </c>
      <c r="H38" s="39">
        <v>125.833333333333</v>
      </c>
      <c r="J38" s="39">
        <v>241.9</v>
      </c>
      <c r="N38" s="39">
        <v>36</v>
      </c>
      <c r="P38" s="39">
        <v>72.733333333333306</v>
      </c>
      <c r="R38" s="39">
        <v>66.733333333333306</v>
      </c>
      <c r="T38" s="39">
        <v>115.8</v>
      </c>
      <c r="X38" s="39">
        <v>47.516666666666701</v>
      </c>
      <c r="AD38" s="39">
        <v>207.5</v>
      </c>
      <c r="AH38" s="39">
        <v>43.033333333333303</v>
      </c>
      <c r="AL38" s="39">
        <v>133.48333333333301</v>
      </c>
      <c r="AN38" s="39">
        <v>205.01666666666699</v>
      </c>
    </row>
    <row r="39" spans="1:41" x14ac:dyDescent="0.25">
      <c r="D39" s="39">
        <v>65.3333333333333</v>
      </c>
      <c r="F39" s="39">
        <v>138.5</v>
      </c>
      <c r="H39" s="39">
        <v>125.833333333333</v>
      </c>
      <c r="J39" s="39">
        <v>241.9</v>
      </c>
      <c r="N39" s="39">
        <v>36</v>
      </c>
      <c r="P39" s="39">
        <v>72.2</v>
      </c>
      <c r="R39" s="39">
        <v>66.2</v>
      </c>
      <c r="T39" s="39">
        <v>115.26666666666701</v>
      </c>
      <c r="X39" s="39">
        <v>47.516666666666701</v>
      </c>
      <c r="AD39" s="39">
        <v>207.5</v>
      </c>
      <c r="AH39" s="39">
        <v>43.033333333333303</v>
      </c>
      <c r="AL39" s="39">
        <v>133.48333333333301</v>
      </c>
      <c r="AN39" s="39">
        <v>205.01666666666699</v>
      </c>
    </row>
  </sheetData>
  <mergeCells count="24">
    <mergeCell ref="X2:Y2"/>
    <mergeCell ref="B1:K1"/>
    <mergeCell ref="L1:U1"/>
    <mergeCell ref="V1:AE1"/>
    <mergeCell ref="AF1:AO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AL2:AM2"/>
    <mergeCell ref="AN2:AO2"/>
    <mergeCell ref="Z2:AA2"/>
    <mergeCell ref="AB2:AC2"/>
    <mergeCell ref="AD2:AE2"/>
    <mergeCell ref="AF2:AG2"/>
    <mergeCell ref="AH2:AI2"/>
    <mergeCell ref="AJ2:AK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E39"/>
  <sheetViews>
    <sheetView workbookViewId="0">
      <selection activeCell="B2" sqref="B2:DB2"/>
    </sheetView>
  </sheetViews>
  <sheetFormatPr defaultRowHeight="15" x14ac:dyDescent="0.25"/>
  <cols>
    <col min="1" max="1" width="34.28515625" style="39" bestFit="1" customWidth="1"/>
    <col min="2" max="16384" width="9.140625" style="39"/>
  </cols>
  <sheetData>
    <row r="1" spans="1:31" ht="15.75" customHeight="1" thickBot="1" x14ac:dyDescent="0.3">
      <c r="B1" s="72" t="s">
        <v>56</v>
      </c>
      <c r="C1" s="67"/>
      <c r="D1" s="67"/>
      <c r="E1" s="67"/>
      <c r="F1" s="67"/>
      <c r="G1" s="67"/>
      <c r="H1" s="67"/>
      <c r="I1" s="67"/>
      <c r="J1" s="67"/>
      <c r="K1" s="68"/>
      <c r="L1" s="72" t="s">
        <v>59</v>
      </c>
      <c r="M1" s="67"/>
      <c r="N1" s="67"/>
      <c r="O1" s="67"/>
      <c r="P1" s="67"/>
      <c r="Q1" s="67"/>
      <c r="R1" s="67"/>
      <c r="S1" s="67"/>
      <c r="T1" s="67"/>
      <c r="U1" s="68"/>
      <c r="V1" s="72" t="s">
        <v>61</v>
      </c>
      <c r="W1" s="67"/>
      <c r="X1" s="67"/>
      <c r="Y1" s="67"/>
      <c r="Z1" s="67"/>
      <c r="AA1" s="67"/>
      <c r="AB1" s="67"/>
      <c r="AC1" s="67"/>
      <c r="AD1" s="67"/>
      <c r="AE1" s="68"/>
    </row>
    <row r="2" spans="1:31" x14ac:dyDescent="0.25">
      <c r="B2" s="64">
        <f ca="1">SunDates!$H1</f>
        <v>43435</v>
      </c>
      <c r="C2" s="65"/>
      <c r="D2" s="64">
        <f ca="1">SunDates!$H2</f>
        <v>43442</v>
      </c>
      <c r="E2" s="65"/>
      <c r="F2" s="64">
        <f ca="1">SunDates!$H3</f>
        <v>43449</v>
      </c>
      <c r="G2" s="65"/>
      <c r="H2" s="64">
        <f ca="1">SunDates!$H4</f>
        <v>43456</v>
      </c>
      <c r="I2" s="65"/>
      <c r="J2" s="64">
        <f ca="1">SunDates!$H5</f>
        <v>43463</v>
      </c>
      <c r="K2" s="65"/>
      <c r="L2" s="64">
        <f ca="1">SunDates!$H1</f>
        <v>43435</v>
      </c>
      <c r="M2" s="65"/>
      <c r="N2" s="64">
        <f ca="1">SunDates!$H2</f>
        <v>43442</v>
      </c>
      <c r="O2" s="65"/>
      <c r="P2" s="64">
        <f ca="1">SunDates!$H3</f>
        <v>43449</v>
      </c>
      <c r="Q2" s="65"/>
      <c r="R2" s="64">
        <f ca="1">SunDates!$H4</f>
        <v>43456</v>
      </c>
      <c r="S2" s="65"/>
      <c r="T2" s="64">
        <f ca="1">SunDates!$H5</f>
        <v>43463</v>
      </c>
      <c r="U2" s="65"/>
      <c r="V2" s="64">
        <f ca="1">SunDates!$H1</f>
        <v>43435</v>
      </c>
      <c r="W2" s="65"/>
      <c r="X2" s="64">
        <f ca="1">SunDates!$H2</f>
        <v>43442</v>
      </c>
      <c r="Y2" s="65"/>
      <c r="Z2" s="64">
        <f ca="1">SunDates!$H3</f>
        <v>43449</v>
      </c>
      <c r="AA2" s="65"/>
      <c r="AB2" s="64">
        <f ca="1">SunDates!$H4</f>
        <v>43456</v>
      </c>
      <c r="AC2" s="65"/>
      <c r="AD2" s="64">
        <f ca="1">SunDates!$H5</f>
        <v>43463</v>
      </c>
      <c r="AE2" s="65"/>
    </row>
    <row r="3" spans="1:31" ht="15.75" thickBot="1" x14ac:dyDescent="0.3">
      <c r="B3" s="42" t="s">
        <v>195</v>
      </c>
      <c r="C3" s="43" t="s">
        <v>196</v>
      </c>
      <c r="D3" s="43" t="s">
        <v>195</v>
      </c>
      <c r="E3" s="43" t="s">
        <v>196</v>
      </c>
      <c r="F3" s="43" t="s">
        <v>195</v>
      </c>
      <c r="G3" s="43" t="s">
        <v>196</v>
      </c>
      <c r="H3" s="43" t="s">
        <v>195</v>
      </c>
      <c r="I3" s="43" t="s">
        <v>196</v>
      </c>
      <c r="J3" s="43" t="s">
        <v>195</v>
      </c>
      <c r="K3" s="44" t="s">
        <v>196</v>
      </c>
      <c r="L3" s="42" t="s">
        <v>195</v>
      </c>
      <c r="M3" s="43" t="s">
        <v>196</v>
      </c>
      <c r="N3" s="43" t="s">
        <v>195</v>
      </c>
      <c r="O3" s="43" t="s">
        <v>196</v>
      </c>
      <c r="P3" s="43" t="s">
        <v>195</v>
      </c>
      <c r="Q3" s="43" t="s">
        <v>196</v>
      </c>
      <c r="R3" s="43" t="s">
        <v>195</v>
      </c>
      <c r="S3" s="43" t="s">
        <v>196</v>
      </c>
      <c r="T3" s="43" t="s">
        <v>195</v>
      </c>
      <c r="U3" s="44" t="s">
        <v>196</v>
      </c>
      <c r="V3" s="42" t="s">
        <v>195</v>
      </c>
      <c r="W3" s="43" t="s">
        <v>196</v>
      </c>
      <c r="X3" s="43" t="s">
        <v>195</v>
      </c>
      <c r="Y3" s="43" t="s">
        <v>196</v>
      </c>
      <c r="Z3" s="43" t="s">
        <v>195</v>
      </c>
      <c r="AA3" s="43" t="s">
        <v>196</v>
      </c>
      <c r="AB3" s="43" t="s">
        <v>195</v>
      </c>
      <c r="AC3" s="43" t="s">
        <v>196</v>
      </c>
      <c r="AD3" s="43" t="s">
        <v>195</v>
      </c>
      <c r="AE3" s="44" t="s">
        <v>196</v>
      </c>
    </row>
    <row r="4" spans="1:31" x14ac:dyDescent="0.25">
      <c r="A4" s="27" t="s">
        <v>68</v>
      </c>
      <c r="B4" s="48"/>
      <c r="C4" s="49">
        <f t="shared" ref="C4:C36" si="0">IFERROR(B4/B$37,0%)</f>
        <v>0</v>
      </c>
      <c r="D4" s="50"/>
      <c r="E4" s="49">
        <f t="shared" ref="E4:E36" si="1">IFERROR(D4/D$37,0%)</f>
        <v>0</v>
      </c>
      <c r="F4" s="50"/>
      <c r="G4" s="49">
        <f t="shared" ref="G4:G36" si="2">IFERROR(F4/F$37,0%)</f>
        <v>0</v>
      </c>
      <c r="H4" s="50">
        <v>0</v>
      </c>
      <c r="I4" s="49">
        <f t="shared" ref="I4:I36" si="3">IFERROR(H4/H$37,0%)</f>
        <v>0</v>
      </c>
      <c r="J4" s="50">
        <v>0</v>
      </c>
      <c r="K4" s="51">
        <f t="shared" ref="K4:K36" si="4">IFERROR(J4/J$37,0%)</f>
        <v>0</v>
      </c>
      <c r="L4" s="48"/>
      <c r="M4" s="49">
        <f t="shared" ref="M4:M36" si="5">IFERROR(L4/L$37,0%)</f>
        <v>0</v>
      </c>
      <c r="N4" s="50"/>
      <c r="O4" s="49">
        <f t="shared" ref="O4:O36" si="6">IFERROR(N4/N$37,0%)</f>
        <v>0</v>
      </c>
      <c r="P4" s="50">
        <v>0</v>
      </c>
      <c r="Q4" s="49">
        <f t="shared" ref="Q4:Q36" si="7">IFERROR(P4/P$37,0%)</f>
        <v>0</v>
      </c>
      <c r="R4" s="50">
        <v>0</v>
      </c>
      <c r="S4" s="49">
        <f t="shared" ref="S4:S36" si="8">IFERROR(R4/R$37,0%)</f>
        <v>0</v>
      </c>
      <c r="T4" s="50">
        <v>0</v>
      </c>
      <c r="U4" s="51">
        <f t="shared" ref="U4:U36" si="9">IFERROR(T4/T$37,0%)</f>
        <v>0</v>
      </c>
      <c r="V4" s="48"/>
      <c r="W4" s="49">
        <f t="shared" ref="W4:W36" si="10">IFERROR(V4/V$37,0%)</f>
        <v>0</v>
      </c>
      <c r="X4" s="50">
        <v>0</v>
      </c>
      <c r="Y4" s="49">
        <f t="shared" ref="Y4:Y36" si="11">IFERROR(X4/X$37,0%)</f>
        <v>0</v>
      </c>
      <c r="Z4" s="50"/>
      <c r="AA4" s="49">
        <f t="shared" ref="AA4:AA36" si="12">IFERROR(Z4/Z$37,0%)</f>
        <v>0</v>
      </c>
      <c r="AB4" s="50">
        <v>0</v>
      </c>
      <c r="AC4" s="49">
        <f t="shared" ref="AC4:AC36" si="13">IFERROR(AB4/AB$37,0%)</f>
        <v>0</v>
      </c>
      <c r="AD4" s="50">
        <v>0</v>
      </c>
      <c r="AE4" s="51">
        <f t="shared" ref="AE4:AE36" si="14">IFERROR(AD4/AD$37,0%)</f>
        <v>0</v>
      </c>
    </row>
    <row r="5" spans="1:31" x14ac:dyDescent="0.25">
      <c r="A5" s="28" t="s">
        <v>69</v>
      </c>
      <c r="B5" s="52"/>
      <c r="C5" s="53">
        <f t="shared" si="0"/>
        <v>0</v>
      </c>
      <c r="D5" s="54"/>
      <c r="E5" s="53">
        <f t="shared" si="1"/>
        <v>0</v>
      </c>
      <c r="F5" s="54"/>
      <c r="G5" s="53">
        <f t="shared" si="2"/>
        <v>0</v>
      </c>
      <c r="H5" s="54">
        <v>0</v>
      </c>
      <c r="I5" s="53">
        <f t="shared" si="3"/>
        <v>0</v>
      </c>
      <c r="J5" s="54">
        <v>0</v>
      </c>
      <c r="K5" s="55">
        <f t="shared" si="4"/>
        <v>0</v>
      </c>
      <c r="L5" s="52"/>
      <c r="M5" s="53">
        <f t="shared" si="5"/>
        <v>0</v>
      </c>
      <c r="N5" s="54"/>
      <c r="O5" s="53">
        <f t="shared" si="6"/>
        <v>0</v>
      </c>
      <c r="P5" s="54">
        <v>2.3611111111110861E-2</v>
      </c>
      <c r="Q5" s="53">
        <f t="shared" si="7"/>
        <v>1.3317665491578394E-2</v>
      </c>
      <c r="R5" s="54">
        <v>1.5277777777777557E-2</v>
      </c>
      <c r="S5" s="53">
        <f t="shared" si="8"/>
        <v>2.5287356321838723E-2</v>
      </c>
      <c r="T5" s="54">
        <v>1.5277777777777557E-2</v>
      </c>
      <c r="U5" s="55">
        <f t="shared" si="9"/>
        <v>2.5287356321838723E-2</v>
      </c>
      <c r="V5" s="52"/>
      <c r="W5" s="53">
        <f t="shared" si="10"/>
        <v>0</v>
      </c>
      <c r="X5" s="54">
        <v>0</v>
      </c>
      <c r="Y5" s="53">
        <f t="shared" si="11"/>
        <v>0</v>
      </c>
      <c r="Z5" s="54"/>
      <c r="AA5" s="53">
        <f t="shared" si="12"/>
        <v>0</v>
      </c>
      <c r="AB5" s="54">
        <v>0</v>
      </c>
      <c r="AC5" s="53">
        <f t="shared" si="13"/>
        <v>0</v>
      </c>
      <c r="AD5" s="54">
        <v>0</v>
      </c>
      <c r="AE5" s="55">
        <f t="shared" si="14"/>
        <v>0</v>
      </c>
    </row>
    <row r="6" spans="1:31" x14ac:dyDescent="0.25">
      <c r="A6" s="28" t="s">
        <v>70</v>
      </c>
      <c r="B6" s="52"/>
      <c r="C6" s="53">
        <f t="shared" si="0"/>
        <v>0</v>
      </c>
      <c r="D6" s="54"/>
      <c r="E6" s="53">
        <f t="shared" si="1"/>
        <v>0</v>
      </c>
      <c r="F6" s="54"/>
      <c r="G6" s="53">
        <f t="shared" si="2"/>
        <v>0</v>
      </c>
      <c r="H6" s="54">
        <v>0</v>
      </c>
      <c r="I6" s="53">
        <f t="shared" si="3"/>
        <v>0</v>
      </c>
      <c r="J6" s="54">
        <v>0</v>
      </c>
      <c r="K6" s="55">
        <f t="shared" si="4"/>
        <v>0</v>
      </c>
      <c r="L6" s="52"/>
      <c r="M6" s="53">
        <f t="shared" si="5"/>
        <v>0</v>
      </c>
      <c r="N6" s="54"/>
      <c r="O6" s="53">
        <f t="shared" si="6"/>
        <v>0</v>
      </c>
      <c r="P6" s="54">
        <v>0.10416666666666663</v>
      </c>
      <c r="Q6" s="53">
        <f t="shared" si="7"/>
        <v>5.8754406580493516E-2</v>
      </c>
      <c r="R6" s="54">
        <v>0.10416666666666663</v>
      </c>
      <c r="S6" s="53">
        <f t="shared" si="8"/>
        <v>0.17241379310344826</v>
      </c>
      <c r="T6" s="54">
        <v>0.10416666666666663</v>
      </c>
      <c r="U6" s="55">
        <f t="shared" si="9"/>
        <v>0.17241379310344826</v>
      </c>
      <c r="V6" s="52"/>
      <c r="W6" s="53">
        <f t="shared" si="10"/>
        <v>0</v>
      </c>
      <c r="X6" s="54">
        <v>0</v>
      </c>
      <c r="Y6" s="53">
        <f t="shared" si="11"/>
        <v>0</v>
      </c>
      <c r="Z6" s="54"/>
      <c r="AA6" s="53">
        <f t="shared" si="12"/>
        <v>0</v>
      </c>
      <c r="AB6" s="54">
        <v>0</v>
      </c>
      <c r="AC6" s="53">
        <f t="shared" si="13"/>
        <v>0</v>
      </c>
      <c r="AD6" s="54">
        <v>0</v>
      </c>
      <c r="AE6" s="55">
        <f t="shared" si="14"/>
        <v>0</v>
      </c>
    </row>
    <row r="7" spans="1:31" x14ac:dyDescent="0.25">
      <c r="A7" s="28" t="s">
        <v>71</v>
      </c>
      <c r="B7" s="52"/>
      <c r="C7" s="53">
        <f t="shared" si="0"/>
        <v>0</v>
      </c>
      <c r="D7" s="54"/>
      <c r="E7" s="53">
        <f t="shared" si="1"/>
        <v>0</v>
      </c>
      <c r="F7" s="54"/>
      <c r="G7" s="53">
        <f t="shared" si="2"/>
        <v>0</v>
      </c>
      <c r="H7" s="54">
        <v>0</v>
      </c>
      <c r="I7" s="53">
        <f t="shared" si="3"/>
        <v>0</v>
      </c>
      <c r="J7" s="54">
        <v>0</v>
      </c>
      <c r="K7" s="55">
        <f t="shared" si="4"/>
        <v>0</v>
      </c>
      <c r="L7" s="52"/>
      <c r="M7" s="53">
        <f t="shared" si="5"/>
        <v>0</v>
      </c>
      <c r="N7" s="54"/>
      <c r="O7" s="53">
        <f t="shared" si="6"/>
        <v>0</v>
      </c>
      <c r="P7" s="54">
        <v>0</v>
      </c>
      <c r="Q7" s="53">
        <f t="shared" si="7"/>
        <v>0</v>
      </c>
      <c r="R7" s="54">
        <v>0</v>
      </c>
      <c r="S7" s="53">
        <f t="shared" si="8"/>
        <v>0</v>
      </c>
      <c r="T7" s="54">
        <v>0</v>
      </c>
      <c r="U7" s="55">
        <f t="shared" si="9"/>
        <v>0</v>
      </c>
      <c r="V7" s="52"/>
      <c r="W7" s="53">
        <f t="shared" si="10"/>
        <v>0</v>
      </c>
      <c r="X7" s="54">
        <v>0</v>
      </c>
      <c r="Y7" s="53">
        <f t="shared" si="11"/>
        <v>0</v>
      </c>
      <c r="Z7" s="54"/>
      <c r="AA7" s="53">
        <f t="shared" si="12"/>
        <v>0</v>
      </c>
      <c r="AB7" s="54">
        <v>0</v>
      </c>
      <c r="AC7" s="53">
        <f t="shared" si="13"/>
        <v>0</v>
      </c>
      <c r="AD7" s="54">
        <v>0</v>
      </c>
      <c r="AE7" s="55">
        <f t="shared" si="14"/>
        <v>0</v>
      </c>
    </row>
    <row r="8" spans="1:31" x14ac:dyDescent="0.25">
      <c r="A8" s="28" t="s">
        <v>72</v>
      </c>
      <c r="B8" s="52"/>
      <c r="C8" s="53">
        <f t="shared" si="0"/>
        <v>0</v>
      </c>
      <c r="D8" s="54"/>
      <c r="E8" s="53">
        <f t="shared" si="1"/>
        <v>0</v>
      </c>
      <c r="F8" s="54"/>
      <c r="G8" s="53">
        <f t="shared" si="2"/>
        <v>0</v>
      </c>
      <c r="H8" s="54">
        <v>0</v>
      </c>
      <c r="I8" s="53">
        <f t="shared" si="3"/>
        <v>0</v>
      </c>
      <c r="J8" s="54">
        <v>0</v>
      </c>
      <c r="K8" s="55">
        <f t="shared" si="4"/>
        <v>0</v>
      </c>
      <c r="L8" s="52"/>
      <c r="M8" s="53">
        <f t="shared" si="5"/>
        <v>0</v>
      </c>
      <c r="N8" s="54"/>
      <c r="O8" s="53">
        <f t="shared" si="6"/>
        <v>0</v>
      </c>
      <c r="P8" s="54">
        <v>0</v>
      </c>
      <c r="Q8" s="53">
        <f t="shared" si="7"/>
        <v>0</v>
      </c>
      <c r="R8" s="54">
        <v>0</v>
      </c>
      <c r="S8" s="53">
        <f t="shared" si="8"/>
        <v>0</v>
      </c>
      <c r="T8" s="54">
        <v>0</v>
      </c>
      <c r="U8" s="55">
        <f t="shared" si="9"/>
        <v>0</v>
      </c>
      <c r="V8" s="52"/>
      <c r="W8" s="53">
        <f t="shared" si="10"/>
        <v>0</v>
      </c>
      <c r="X8" s="54">
        <v>0</v>
      </c>
      <c r="Y8" s="53">
        <f t="shared" si="11"/>
        <v>0</v>
      </c>
      <c r="Z8" s="54"/>
      <c r="AA8" s="53">
        <f t="shared" si="12"/>
        <v>0</v>
      </c>
      <c r="AB8" s="54">
        <v>0</v>
      </c>
      <c r="AC8" s="53">
        <f t="shared" si="13"/>
        <v>0</v>
      </c>
      <c r="AD8" s="54">
        <v>0</v>
      </c>
      <c r="AE8" s="55">
        <f t="shared" si="14"/>
        <v>0</v>
      </c>
    </row>
    <row r="9" spans="1:31" x14ac:dyDescent="0.25">
      <c r="A9" s="28" t="s">
        <v>73</v>
      </c>
      <c r="B9" s="52"/>
      <c r="C9" s="53">
        <f t="shared" si="0"/>
        <v>0</v>
      </c>
      <c r="D9" s="54"/>
      <c r="E9" s="53">
        <f t="shared" si="1"/>
        <v>0</v>
      </c>
      <c r="F9" s="54"/>
      <c r="G9" s="53">
        <f t="shared" si="2"/>
        <v>0</v>
      </c>
      <c r="H9" s="54">
        <v>0</v>
      </c>
      <c r="I9" s="53">
        <f t="shared" si="3"/>
        <v>0</v>
      </c>
      <c r="J9" s="54">
        <v>0</v>
      </c>
      <c r="K9" s="55">
        <f t="shared" si="4"/>
        <v>0</v>
      </c>
      <c r="L9" s="52"/>
      <c r="M9" s="53">
        <f t="shared" si="5"/>
        <v>0</v>
      </c>
      <c r="N9" s="54"/>
      <c r="O9" s="53">
        <f t="shared" si="6"/>
        <v>0</v>
      </c>
      <c r="P9" s="54">
        <v>0</v>
      </c>
      <c r="Q9" s="53">
        <f t="shared" si="7"/>
        <v>0</v>
      </c>
      <c r="R9" s="54">
        <v>0</v>
      </c>
      <c r="S9" s="53">
        <f t="shared" si="8"/>
        <v>0</v>
      </c>
      <c r="T9" s="54">
        <v>0</v>
      </c>
      <c r="U9" s="55">
        <f t="shared" si="9"/>
        <v>0</v>
      </c>
      <c r="V9" s="52"/>
      <c r="W9" s="53">
        <f t="shared" si="10"/>
        <v>0</v>
      </c>
      <c r="X9" s="54">
        <v>0</v>
      </c>
      <c r="Y9" s="53">
        <f t="shared" si="11"/>
        <v>0</v>
      </c>
      <c r="Z9" s="54"/>
      <c r="AA9" s="53">
        <f t="shared" si="12"/>
        <v>0</v>
      </c>
      <c r="AB9" s="54">
        <v>0</v>
      </c>
      <c r="AC9" s="53">
        <f t="shared" si="13"/>
        <v>0</v>
      </c>
      <c r="AD9" s="54">
        <v>0</v>
      </c>
      <c r="AE9" s="55">
        <f t="shared" si="14"/>
        <v>0</v>
      </c>
    </row>
    <row r="10" spans="1:31" x14ac:dyDescent="0.25">
      <c r="A10" s="28" t="s">
        <v>74</v>
      </c>
      <c r="B10" s="52"/>
      <c r="C10" s="53">
        <f t="shared" si="0"/>
        <v>0</v>
      </c>
      <c r="D10" s="54"/>
      <c r="E10" s="53">
        <f t="shared" si="1"/>
        <v>0</v>
      </c>
      <c r="F10" s="54"/>
      <c r="G10" s="53">
        <f t="shared" si="2"/>
        <v>0</v>
      </c>
      <c r="H10" s="54">
        <v>0</v>
      </c>
      <c r="I10" s="53">
        <f t="shared" si="3"/>
        <v>0</v>
      </c>
      <c r="J10" s="54">
        <v>0</v>
      </c>
      <c r="K10" s="55">
        <f t="shared" si="4"/>
        <v>0</v>
      </c>
      <c r="L10" s="52"/>
      <c r="M10" s="53">
        <f t="shared" si="5"/>
        <v>0</v>
      </c>
      <c r="N10" s="54"/>
      <c r="O10" s="53">
        <f t="shared" si="6"/>
        <v>0</v>
      </c>
      <c r="P10" s="54">
        <v>5.5555555555555525E-2</v>
      </c>
      <c r="Q10" s="53">
        <f t="shared" si="7"/>
        <v>3.1335683509596535E-2</v>
      </c>
      <c r="R10" s="54">
        <v>3.6805555555555536E-2</v>
      </c>
      <c r="S10" s="53">
        <f t="shared" si="8"/>
        <v>6.0919540229885043E-2</v>
      </c>
      <c r="T10" s="54">
        <v>3.6805555555555536E-2</v>
      </c>
      <c r="U10" s="55">
        <f t="shared" si="9"/>
        <v>6.0919540229885043E-2</v>
      </c>
      <c r="V10" s="52"/>
      <c r="W10" s="53">
        <f t="shared" si="10"/>
        <v>0</v>
      </c>
      <c r="X10" s="54">
        <v>6.9444444444444198E-4</v>
      </c>
      <c r="Y10" s="53">
        <f t="shared" si="11"/>
        <v>4.2016806722688918E-3</v>
      </c>
      <c r="Z10" s="54"/>
      <c r="AA10" s="53">
        <f t="shared" si="12"/>
        <v>0</v>
      </c>
      <c r="AB10" s="54">
        <v>1.3888888888889395E-3</v>
      </c>
      <c r="AC10" s="53">
        <f t="shared" si="13"/>
        <v>6.3897763578277074E-3</v>
      </c>
      <c r="AD10" s="54">
        <v>3.2638888888888939E-2</v>
      </c>
      <c r="AE10" s="55">
        <f t="shared" si="14"/>
        <v>3.16925151719488E-2</v>
      </c>
    </row>
    <row r="11" spans="1:31" x14ac:dyDescent="0.25">
      <c r="A11" s="28" t="s">
        <v>75</v>
      </c>
      <c r="B11" s="52"/>
      <c r="C11" s="53">
        <f t="shared" si="0"/>
        <v>0</v>
      </c>
      <c r="D11" s="54"/>
      <c r="E11" s="53">
        <f t="shared" si="1"/>
        <v>0</v>
      </c>
      <c r="F11" s="54"/>
      <c r="G11" s="53">
        <f t="shared" si="2"/>
        <v>0</v>
      </c>
      <c r="H11" s="54">
        <v>0</v>
      </c>
      <c r="I11" s="53">
        <f t="shared" si="3"/>
        <v>0</v>
      </c>
      <c r="J11" s="54">
        <v>0</v>
      </c>
      <c r="K11" s="55">
        <f t="shared" si="4"/>
        <v>0</v>
      </c>
      <c r="L11" s="52"/>
      <c r="M11" s="53">
        <f t="shared" si="5"/>
        <v>0</v>
      </c>
      <c r="N11" s="54"/>
      <c r="O11" s="53">
        <f t="shared" si="6"/>
        <v>0</v>
      </c>
      <c r="P11" s="54">
        <v>0</v>
      </c>
      <c r="Q11" s="53">
        <f t="shared" si="7"/>
        <v>0</v>
      </c>
      <c r="R11" s="54">
        <v>0</v>
      </c>
      <c r="S11" s="53">
        <f t="shared" si="8"/>
        <v>0</v>
      </c>
      <c r="T11" s="54">
        <v>0</v>
      </c>
      <c r="U11" s="55">
        <f t="shared" si="9"/>
        <v>0</v>
      </c>
      <c r="V11" s="52"/>
      <c r="W11" s="53">
        <f t="shared" si="10"/>
        <v>0</v>
      </c>
      <c r="X11" s="54">
        <v>0</v>
      </c>
      <c r="Y11" s="53">
        <f t="shared" si="11"/>
        <v>0</v>
      </c>
      <c r="Z11" s="54"/>
      <c r="AA11" s="53">
        <f t="shared" si="12"/>
        <v>0</v>
      </c>
      <c r="AB11" s="54">
        <v>0</v>
      </c>
      <c r="AC11" s="53">
        <f t="shared" si="13"/>
        <v>0</v>
      </c>
      <c r="AD11" s="54">
        <v>0</v>
      </c>
      <c r="AE11" s="55">
        <f t="shared" si="14"/>
        <v>0</v>
      </c>
    </row>
    <row r="12" spans="1:31" x14ac:dyDescent="0.25">
      <c r="A12" s="28" t="s">
        <v>157</v>
      </c>
      <c r="B12" s="52"/>
      <c r="C12" s="53">
        <f t="shared" si="0"/>
        <v>0</v>
      </c>
      <c r="D12" s="54"/>
      <c r="E12" s="53">
        <f t="shared" si="1"/>
        <v>0</v>
      </c>
      <c r="F12" s="54"/>
      <c r="G12" s="53">
        <f t="shared" si="2"/>
        <v>0</v>
      </c>
      <c r="H12" s="54">
        <v>0</v>
      </c>
      <c r="I12" s="53">
        <f t="shared" si="3"/>
        <v>0</v>
      </c>
      <c r="J12" s="54">
        <v>0</v>
      </c>
      <c r="K12" s="55">
        <f t="shared" si="4"/>
        <v>0</v>
      </c>
      <c r="L12" s="52"/>
      <c r="M12" s="53">
        <f t="shared" si="5"/>
        <v>0</v>
      </c>
      <c r="N12" s="54"/>
      <c r="O12" s="53">
        <f t="shared" si="6"/>
        <v>0</v>
      </c>
      <c r="P12" s="54">
        <v>0</v>
      </c>
      <c r="Q12" s="53">
        <f t="shared" si="7"/>
        <v>0</v>
      </c>
      <c r="R12" s="54">
        <v>0</v>
      </c>
      <c r="S12" s="53">
        <f t="shared" si="8"/>
        <v>0</v>
      </c>
      <c r="T12" s="54">
        <v>0</v>
      </c>
      <c r="U12" s="55">
        <f t="shared" si="9"/>
        <v>0</v>
      </c>
      <c r="V12" s="52"/>
      <c r="W12" s="53">
        <f t="shared" si="10"/>
        <v>0</v>
      </c>
      <c r="X12" s="54">
        <v>0</v>
      </c>
      <c r="Y12" s="53">
        <f t="shared" si="11"/>
        <v>0</v>
      </c>
      <c r="Z12" s="54"/>
      <c r="AA12" s="53">
        <f t="shared" si="12"/>
        <v>0</v>
      </c>
      <c r="AB12" s="54">
        <v>9.7222222222221877E-3</v>
      </c>
      <c r="AC12" s="53">
        <f t="shared" si="13"/>
        <v>4.4728434504792164E-2</v>
      </c>
      <c r="AD12" s="54">
        <v>0.11041666666666672</v>
      </c>
      <c r="AE12" s="55">
        <f t="shared" si="14"/>
        <v>0.10721510451786924</v>
      </c>
    </row>
    <row r="13" spans="1:31" x14ac:dyDescent="0.25">
      <c r="A13" s="28" t="s">
        <v>158</v>
      </c>
      <c r="B13" s="52"/>
      <c r="C13" s="53">
        <f t="shared" si="0"/>
        <v>0</v>
      </c>
      <c r="D13" s="54"/>
      <c r="E13" s="53">
        <f t="shared" si="1"/>
        <v>0</v>
      </c>
      <c r="F13" s="54"/>
      <c r="G13" s="53">
        <f t="shared" si="2"/>
        <v>0</v>
      </c>
      <c r="H13" s="54">
        <v>0</v>
      </c>
      <c r="I13" s="53">
        <f t="shared" si="3"/>
        <v>0</v>
      </c>
      <c r="J13" s="54">
        <v>0</v>
      </c>
      <c r="K13" s="55">
        <f t="shared" si="4"/>
        <v>0</v>
      </c>
      <c r="L13" s="52"/>
      <c r="M13" s="53">
        <f t="shared" si="5"/>
        <v>0</v>
      </c>
      <c r="N13" s="54"/>
      <c r="O13" s="53">
        <f t="shared" si="6"/>
        <v>0</v>
      </c>
      <c r="P13" s="54">
        <v>9.8611111111111149E-2</v>
      </c>
      <c r="Q13" s="53">
        <f t="shared" si="7"/>
        <v>5.5620838229533905E-2</v>
      </c>
      <c r="R13" s="54">
        <v>8.5416666666666752E-2</v>
      </c>
      <c r="S13" s="53">
        <f t="shared" si="8"/>
        <v>0.14137931034482776</v>
      </c>
      <c r="T13" s="54">
        <v>8.5416666666666752E-2</v>
      </c>
      <c r="U13" s="55">
        <f t="shared" si="9"/>
        <v>0.14137931034482776</v>
      </c>
      <c r="V13" s="52"/>
      <c r="W13" s="53">
        <f t="shared" si="10"/>
        <v>0</v>
      </c>
      <c r="X13" s="54">
        <v>0</v>
      </c>
      <c r="Y13" s="53">
        <f t="shared" si="11"/>
        <v>0</v>
      </c>
      <c r="Z13" s="54"/>
      <c r="AA13" s="53">
        <f t="shared" si="12"/>
        <v>0</v>
      </c>
      <c r="AB13" s="54">
        <v>2.1527777777777701E-2</v>
      </c>
      <c r="AC13" s="53">
        <f t="shared" si="13"/>
        <v>9.90415335463255E-2</v>
      </c>
      <c r="AD13" s="54">
        <v>4.0972222222222215E-2</v>
      </c>
      <c r="AE13" s="55">
        <f t="shared" si="14"/>
        <v>3.9784221173297364E-2</v>
      </c>
    </row>
    <row r="14" spans="1:31" x14ac:dyDescent="0.25">
      <c r="A14" s="28" t="s">
        <v>159</v>
      </c>
      <c r="B14" s="52"/>
      <c r="C14" s="53">
        <f t="shared" si="0"/>
        <v>0</v>
      </c>
      <c r="D14" s="54"/>
      <c r="E14" s="53">
        <f t="shared" si="1"/>
        <v>0</v>
      </c>
      <c r="F14" s="54"/>
      <c r="G14" s="53">
        <f t="shared" si="2"/>
        <v>0</v>
      </c>
      <c r="H14" s="54">
        <v>0</v>
      </c>
      <c r="I14" s="53">
        <f t="shared" si="3"/>
        <v>0</v>
      </c>
      <c r="J14" s="54">
        <v>0</v>
      </c>
      <c r="K14" s="55">
        <f t="shared" si="4"/>
        <v>0</v>
      </c>
      <c r="L14" s="52"/>
      <c r="M14" s="53">
        <f t="shared" si="5"/>
        <v>0</v>
      </c>
      <c r="N14" s="54"/>
      <c r="O14" s="53">
        <f t="shared" si="6"/>
        <v>0</v>
      </c>
      <c r="P14" s="54">
        <v>0</v>
      </c>
      <c r="Q14" s="53">
        <f t="shared" si="7"/>
        <v>0</v>
      </c>
      <c r="R14" s="54">
        <v>0</v>
      </c>
      <c r="S14" s="53">
        <f t="shared" si="8"/>
        <v>0</v>
      </c>
      <c r="T14" s="54">
        <v>0</v>
      </c>
      <c r="U14" s="55">
        <f t="shared" si="9"/>
        <v>0</v>
      </c>
      <c r="V14" s="52"/>
      <c r="W14" s="53">
        <f t="shared" si="10"/>
        <v>0</v>
      </c>
      <c r="X14" s="54">
        <v>0</v>
      </c>
      <c r="Y14" s="53">
        <f t="shared" si="11"/>
        <v>0</v>
      </c>
      <c r="Z14" s="54"/>
      <c r="AA14" s="53">
        <f t="shared" si="12"/>
        <v>0</v>
      </c>
      <c r="AB14" s="54">
        <v>0</v>
      </c>
      <c r="AC14" s="53">
        <f t="shared" si="13"/>
        <v>0</v>
      </c>
      <c r="AD14" s="54">
        <v>0</v>
      </c>
      <c r="AE14" s="55">
        <f t="shared" si="14"/>
        <v>0</v>
      </c>
    </row>
    <row r="15" spans="1:31" x14ac:dyDescent="0.25">
      <c r="A15" s="28" t="s">
        <v>160</v>
      </c>
      <c r="B15" s="52"/>
      <c r="C15" s="53">
        <f t="shared" si="0"/>
        <v>0</v>
      </c>
      <c r="D15" s="54"/>
      <c r="E15" s="53">
        <f t="shared" si="1"/>
        <v>0</v>
      </c>
      <c r="F15" s="54"/>
      <c r="G15" s="53">
        <f t="shared" si="2"/>
        <v>0</v>
      </c>
      <c r="H15" s="54">
        <v>0</v>
      </c>
      <c r="I15" s="53">
        <f t="shared" si="3"/>
        <v>0</v>
      </c>
      <c r="J15" s="54">
        <v>0</v>
      </c>
      <c r="K15" s="55">
        <f t="shared" si="4"/>
        <v>0</v>
      </c>
      <c r="L15" s="52"/>
      <c r="M15" s="53">
        <f t="shared" si="5"/>
        <v>0</v>
      </c>
      <c r="N15" s="54"/>
      <c r="O15" s="53">
        <f t="shared" si="6"/>
        <v>0</v>
      </c>
      <c r="P15" s="54">
        <v>1.2673611111111112</v>
      </c>
      <c r="Q15" s="53">
        <f t="shared" si="7"/>
        <v>0.71484528006267134</v>
      </c>
      <c r="R15" s="54">
        <v>0.14999999999999997</v>
      </c>
      <c r="S15" s="53">
        <f t="shared" si="8"/>
        <v>0.24827586206896551</v>
      </c>
      <c r="T15" s="54">
        <v>0.14999999999999997</v>
      </c>
      <c r="U15" s="55">
        <f t="shared" si="9"/>
        <v>0.24827586206896551</v>
      </c>
      <c r="V15" s="52"/>
      <c r="W15" s="53">
        <f t="shared" si="10"/>
        <v>0</v>
      </c>
      <c r="X15" s="54">
        <v>0</v>
      </c>
      <c r="Y15" s="53">
        <f t="shared" si="11"/>
        <v>0</v>
      </c>
      <c r="Z15" s="54"/>
      <c r="AA15" s="53">
        <f t="shared" si="12"/>
        <v>0</v>
      </c>
      <c r="AB15" s="54">
        <v>3.4722222222222654E-3</v>
      </c>
      <c r="AC15" s="53">
        <f t="shared" si="13"/>
        <v>1.5974440894568884E-2</v>
      </c>
      <c r="AD15" s="54">
        <v>2.0833333333333315E-2</v>
      </c>
      <c r="AE15" s="55">
        <f t="shared" si="14"/>
        <v>2.0229265003371525E-2</v>
      </c>
    </row>
    <row r="16" spans="1:31" x14ac:dyDescent="0.25">
      <c r="A16" s="28" t="s">
        <v>161</v>
      </c>
      <c r="B16" s="52"/>
      <c r="C16" s="53">
        <f t="shared" si="0"/>
        <v>0</v>
      </c>
      <c r="D16" s="54"/>
      <c r="E16" s="53">
        <f t="shared" si="1"/>
        <v>0</v>
      </c>
      <c r="F16" s="54"/>
      <c r="G16" s="53">
        <f t="shared" si="2"/>
        <v>0</v>
      </c>
      <c r="H16" s="54">
        <v>0</v>
      </c>
      <c r="I16" s="53">
        <f t="shared" si="3"/>
        <v>0</v>
      </c>
      <c r="J16" s="54">
        <v>0</v>
      </c>
      <c r="K16" s="55">
        <f t="shared" si="4"/>
        <v>0</v>
      </c>
      <c r="L16" s="52"/>
      <c r="M16" s="53">
        <f t="shared" si="5"/>
        <v>0</v>
      </c>
      <c r="N16" s="54"/>
      <c r="O16" s="53">
        <f t="shared" si="6"/>
        <v>0</v>
      </c>
      <c r="P16" s="54">
        <v>0</v>
      </c>
      <c r="Q16" s="53">
        <f t="shared" si="7"/>
        <v>0</v>
      </c>
      <c r="R16" s="54">
        <v>0</v>
      </c>
      <c r="S16" s="53">
        <f t="shared" si="8"/>
        <v>0</v>
      </c>
      <c r="T16" s="54">
        <v>0</v>
      </c>
      <c r="U16" s="55">
        <f t="shared" si="9"/>
        <v>0</v>
      </c>
      <c r="V16" s="52"/>
      <c r="W16" s="53">
        <f t="shared" si="10"/>
        <v>0</v>
      </c>
      <c r="X16" s="54">
        <v>0</v>
      </c>
      <c r="Y16" s="53">
        <f t="shared" si="11"/>
        <v>0</v>
      </c>
      <c r="Z16" s="54"/>
      <c r="AA16" s="53">
        <f t="shared" si="12"/>
        <v>0</v>
      </c>
      <c r="AB16" s="54">
        <v>0</v>
      </c>
      <c r="AC16" s="53">
        <f t="shared" si="13"/>
        <v>0</v>
      </c>
      <c r="AD16" s="54">
        <v>0</v>
      </c>
      <c r="AE16" s="55">
        <f t="shared" si="14"/>
        <v>0</v>
      </c>
    </row>
    <row r="17" spans="1:31" x14ac:dyDescent="0.25">
      <c r="A17" s="28" t="s">
        <v>162</v>
      </c>
      <c r="B17" s="52"/>
      <c r="C17" s="53">
        <f t="shared" si="0"/>
        <v>0</v>
      </c>
      <c r="D17" s="54"/>
      <c r="E17" s="53">
        <f t="shared" si="1"/>
        <v>0</v>
      </c>
      <c r="F17" s="54"/>
      <c r="G17" s="53">
        <f t="shared" si="2"/>
        <v>0</v>
      </c>
      <c r="H17" s="54">
        <v>0</v>
      </c>
      <c r="I17" s="53">
        <f t="shared" si="3"/>
        <v>0</v>
      </c>
      <c r="J17" s="54">
        <v>0</v>
      </c>
      <c r="K17" s="55">
        <f t="shared" si="4"/>
        <v>0</v>
      </c>
      <c r="L17" s="52"/>
      <c r="M17" s="53">
        <f t="shared" si="5"/>
        <v>0</v>
      </c>
      <c r="N17" s="54"/>
      <c r="O17" s="53">
        <f t="shared" si="6"/>
        <v>0</v>
      </c>
      <c r="P17" s="54">
        <v>0</v>
      </c>
      <c r="Q17" s="53">
        <f t="shared" si="7"/>
        <v>0</v>
      </c>
      <c r="R17" s="54">
        <v>0</v>
      </c>
      <c r="S17" s="53">
        <f t="shared" si="8"/>
        <v>0</v>
      </c>
      <c r="T17" s="54">
        <v>0</v>
      </c>
      <c r="U17" s="55">
        <f t="shared" si="9"/>
        <v>0</v>
      </c>
      <c r="V17" s="52"/>
      <c r="W17" s="53">
        <f t="shared" si="10"/>
        <v>0</v>
      </c>
      <c r="X17" s="54">
        <v>0</v>
      </c>
      <c r="Y17" s="53">
        <f t="shared" si="11"/>
        <v>0</v>
      </c>
      <c r="Z17" s="54"/>
      <c r="AA17" s="53">
        <f t="shared" si="12"/>
        <v>0</v>
      </c>
      <c r="AB17" s="54">
        <v>0</v>
      </c>
      <c r="AC17" s="53">
        <f t="shared" si="13"/>
        <v>0</v>
      </c>
      <c r="AD17" s="54">
        <v>1.8750000000000003E-2</v>
      </c>
      <c r="AE17" s="55">
        <f t="shared" si="14"/>
        <v>1.8206338503034391E-2</v>
      </c>
    </row>
    <row r="18" spans="1:31" x14ac:dyDescent="0.25">
      <c r="A18" s="28" t="s">
        <v>163</v>
      </c>
      <c r="B18" s="52"/>
      <c r="C18" s="53">
        <f t="shared" si="0"/>
        <v>0</v>
      </c>
      <c r="D18" s="54"/>
      <c r="E18" s="53">
        <f t="shared" si="1"/>
        <v>0</v>
      </c>
      <c r="F18" s="54"/>
      <c r="G18" s="53">
        <f t="shared" si="2"/>
        <v>0</v>
      </c>
      <c r="H18" s="54">
        <v>0</v>
      </c>
      <c r="I18" s="53">
        <f t="shared" si="3"/>
        <v>0</v>
      </c>
      <c r="J18" s="54">
        <v>0</v>
      </c>
      <c r="K18" s="55">
        <f t="shared" si="4"/>
        <v>0</v>
      </c>
      <c r="L18" s="52"/>
      <c r="M18" s="53">
        <f t="shared" si="5"/>
        <v>0</v>
      </c>
      <c r="N18" s="54"/>
      <c r="O18" s="53">
        <f t="shared" si="6"/>
        <v>0</v>
      </c>
      <c r="P18" s="54">
        <v>0</v>
      </c>
      <c r="Q18" s="53">
        <f t="shared" si="7"/>
        <v>0</v>
      </c>
      <c r="R18" s="54">
        <v>0</v>
      </c>
      <c r="S18" s="53">
        <f t="shared" si="8"/>
        <v>0</v>
      </c>
      <c r="T18" s="54">
        <v>0</v>
      </c>
      <c r="U18" s="55">
        <f t="shared" si="9"/>
        <v>0</v>
      </c>
      <c r="V18" s="52"/>
      <c r="W18" s="53">
        <f t="shared" si="10"/>
        <v>0</v>
      </c>
      <c r="X18" s="54">
        <v>0</v>
      </c>
      <c r="Y18" s="53">
        <f t="shared" si="11"/>
        <v>0</v>
      </c>
      <c r="Z18" s="54"/>
      <c r="AA18" s="53">
        <f t="shared" si="12"/>
        <v>0</v>
      </c>
      <c r="AB18" s="54">
        <v>0</v>
      </c>
      <c r="AC18" s="53">
        <f t="shared" si="13"/>
        <v>0</v>
      </c>
      <c r="AD18" s="54">
        <v>0</v>
      </c>
      <c r="AE18" s="55">
        <f t="shared" si="14"/>
        <v>0</v>
      </c>
    </row>
    <row r="19" spans="1:31" x14ac:dyDescent="0.25">
      <c r="A19" s="28" t="s">
        <v>164</v>
      </c>
      <c r="B19" s="52"/>
      <c r="C19" s="53">
        <f t="shared" si="0"/>
        <v>0</v>
      </c>
      <c r="D19" s="54"/>
      <c r="E19" s="53">
        <f t="shared" si="1"/>
        <v>0</v>
      </c>
      <c r="F19" s="54"/>
      <c r="G19" s="53">
        <f t="shared" si="2"/>
        <v>0</v>
      </c>
      <c r="H19" s="54">
        <v>0</v>
      </c>
      <c r="I19" s="53">
        <f t="shared" si="3"/>
        <v>0</v>
      </c>
      <c r="J19" s="54">
        <v>0</v>
      </c>
      <c r="K19" s="55">
        <f t="shared" si="4"/>
        <v>0</v>
      </c>
      <c r="L19" s="52"/>
      <c r="M19" s="53">
        <f t="shared" si="5"/>
        <v>0</v>
      </c>
      <c r="N19" s="54"/>
      <c r="O19" s="53">
        <f t="shared" si="6"/>
        <v>0</v>
      </c>
      <c r="P19" s="54">
        <v>1.388888888888884E-2</v>
      </c>
      <c r="Q19" s="53">
        <f t="shared" si="7"/>
        <v>7.8339208773991111E-3</v>
      </c>
      <c r="R19" s="54">
        <v>1.388888888888884E-2</v>
      </c>
      <c r="S19" s="53">
        <f t="shared" si="8"/>
        <v>2.298850574712636E-2</v>
      </c>
      <c r="T19" s="54">
        <v>1.388888888888884E-2</v>
      </c>
      <c r="U19" s="55">
        <f t="shared" si="9"/>
        <v>2.298850574712636E-2</v>
      </c>
      <c r="V19" s="52"/>
      <c r="W19" s="53">
        <f t="shared" si="10"/>
        <v>0</v>
      </c>
      <c r="X19" s="54">
        <v>0</v>
      </c>
      <c r="Y19" s="53">
        <f t="shared" si="11"/>
        <v>0</v>
      </c>
      <c r="Z19" s="54"/>
      <c r="AA19" s="53">
        <f t="shared" si="12"/>
        <v>0</v>
      </c>
      <c r="AB19" s="54">
        <v>0</v>
      </c>
      <c r="AC19" s="53">
        <f t="shared" si="13"/>
        <v>0</v>
      </c>
      <c r="AD19" s="54">
        <v>0</v>
      </c>
      <c r="AE19" s="55">
        <f t="shared" si="14"/>
        <v>0</v>
      </c>
    </row>
    <row r="20" spans="1:31" x14ac:dyDescent="0.25">
      <c r="A20" s="28" t="s">
        <v>165</v>
      </c>
      <c r="B20" s="52"/>
      <c r="C20" s="53">
        <f t="shared" si="0"/>
        <v>0</v>
      </c>
      <c r="D20" s="54"/>
      <c r="E20" s="53">
        <f t="shared" si="1"/>
        <v>0</v>
      </c>
      <c r="F20" s="54"/>
      <c r="G20" s="53">
        <f t="shared" si="2"/>
        <v>0</v>
      </c>
      <c r="H20" s="54">
        <v>0</v>
      </c>
      <c r="I20" s="53">
        <f t="shared" si="3"/>
        <v>0</v>
      </c>
      <c r="J20" s="54">
        <v>0</v>
      </c>
      <c r="K20" s="55">
        <f t="shared" si="4"/>
        <v>0</v>
      </c>
      <c r="L20" s="52"/>
      <c r="M20" s="53">
        <f t="shared" si="5"/>
        <v>0</v>
      </c>
      <c r="N20" s="54"/>
      <c r="O20" s="53">
        <f t="shared" si="6"/>
        <v>0</v>
      </c>
      <c r="P20" s="54">
        <v>0</v>
      </c>
      <c r="Q20" s="53">
        <f t="shared" si="7"/>
        <v>0</v>
      </c>
      <c r="R20" s="54">
        <v>0</v>
      </c>
      <c r="S20" s="53">
        <f t="shared" si="8"/>
        <v>0</v>
      </c>
      <c r="T20" s="54">
        <v>0</v>
      </c>
      <c r="U20" s="55">
        <f t="shared" si="9"/>
        <v>0</v>
      </c>
      <c r="V20" s="52"/>
      <c r="W20" s="53">
        <f t="shared" si="10"/>
        <v>0</v>
      </c>
      <c r="X20" s="54">
        <v>0</v>
      </c>
      <c r="Y20" s="53">
        <f t="shared" si="11"/>
        <v>0</v>
      </c>
      <c r="Z20" s="54"/>
      <c r="AA20" s="53">
        <f t="shared" si="12"/>
        <v>0</v>
      </c>
      <c r="AB20" s="54">
        <v>0</v>
      </c>
      <c r="AC20" s="53">
        <f t="shared" si="13"/>
        <v>0</v>
      </c>
      <c r="AD20" s="54">
        <v>0</v>
      </c>
      <c r="AE20" s="55">
        <f t="shared" si="14"/>
        <v>0</v>
      </c>
    </row>
    <row r="21" spans="1:31" x14ac:dyDescent="0.25">
      <c r="A21" s="28" t="s">
        <v>166</v>
      </c>
      <c r="B21" s="52"/>
      <c r="C21" s="53">
        <f t="shared" si="0"/>
        <v>0</v>
      </c>
      <c r="D21" s="54"/>
      <c r="E21" s="53">
        <f t="shared" si="1"/>
        <v>0</v>
      </c>
      <c r="F21" s="54"/>
      <c r="G21" s="53">
        <f t="shared" si="2"/>
        <v>0</v>
      </c>
      <c r="H21" s="54">
        <v>0</v>
      </c>
      <c r="I21" s="53">
        <f t="shared" si="3"/>
        <v>0</v>
      </c>
      <c r="J21" s="54">
        <v>0</v>
      </c>
      <c r="K21" s="55">
        <f t="shared" si="4"/>
        <v>0</v>
      </c>
      <c r="L21" s="52"/>
      <c r="M21" s="53">
        <f t="shared" si="5"/>
        <v>0</v>
      </c>
      <c r="N21" s="54"/>
      <c r="O21" s="53">
        <f t="shared" si="6"/>
        <v>0</v>
      </c>
      <c r="P21" s="54">
        <v>0</v>
      </c>
      <c r="Q21" s="53">
        <f t="shared" si="7"/>
        <v>0</v>
      </c>
      <c r="R21" s="54">
        <v>0</v>
      </c>
      <c r="S21" s="53">
        <f t="shared" si="8"/>
        <v>0</v>
      </c>
      <c r="T21" s="54">
        <v>0</v>
      </c>
      <c r="U21" s="55">
        <f t="shared" si="9"/>
        <v>0</v>
      </c>
      <c r="V21" s="52"/>
      <c r="W21" s="53">
        <f t="shared" si="10"/>
        <v>0</v>
      </c>
      <c r="X21" s="54">
        <v>0</v>
      </c>
      <c r="Y21" s="53">
        <f t="shared" si="11"/>
        <v>0</v>
      </c>
      <c r="Z21" s="54"/>
      <c r="AA21" s="53">
        <f t="shared" si="12"/>
        <v>0</v>
      </c>
      <c r="AB21" s="54">
        <v>0</v>
      </c>
      <c r="AC21" s="53">
        <f t="shared" si="13"/>
        <v>0</v>
      </c>
      <c r="AD21" s="54">
        <v>0</v>
      </c>
      <c r="AE21" s="55">
        <f t="shared" si="14"/>
        <v>0</v>
      </c>
    </row>
    <row r="22" spans="1:31" x14ac:dyDescent="0.25">
      <c r="A22" s="28" t="s">
        <v>167</v>
      </c>
      <c r="B22" s="52"/>
      <c r="C22" s="53">
        <f t="shared" si="0"/>
        <v>0</v>
      </c>
      <c r="D22" s="54"/>
      <c r="E22" s="53">
        <f t="shared" si="1"/>
        <v>0</v>
      </c>
      <c r="F22" s="54"/>
      <c r="G22" s="53">
        <f t="shared" si="2"/>
        <v>0</v>
      </c>
      <c r="H22" s="54">
        <v>0</v>
      </c>
      <c r="I22" s="53">
        <f t="shared" si="3"/>
        <v>0</v>
      </c>
      <c r="J22" s="54">
        <v>0</v>
      </c>
      <c r="K22" s="55">
        <f t="shared" si="4"/>
        <v>0</v>
      </c>
      <c r="L22" s="52"/>
      <c r="M22" s="53">
        <f t="shared" si="5"/>
        <v>0</v>
      </c>
      <c r="N22" s="54"/>
      <c r="O22" s="53">
        <f t="shared" si="6"/>
        <v>0</v>
      </c>
      <c r="P22" s="54">
        <v>0</v>
      </c>
      <c r="Q22" s="53">
        <f t="shared" si="7"/>
        <v>0</v>
      </c>
      <c r="R22" s="54">
        <v>0</v>
      </c>
      <c r="S22" s="53">
        <f t="shared" si="8"/>
        <v>0</v>
      </c>
      <c r="T22" s="54">
        <v>0</v>
      </c>
      <c r="U22" s="55">
        <f t="shared" si="9"/>
        <v>0</v>
      </c>
      <c r="V22" s="52"/>
      <c r="W22" s="53">
        <f t="shared" si="10"/>
        <v>0</v>
      </c>
      <c r="X22" s="54">
        <v>0</v>
      </c>
      <c r="Y22" s="53">
        <f t="shared" si="11"/>
        <v>0</v>
      </c>
      <c r="Z22" s="54"/>
      <c r="AA22" s="53">
        <f t="shared" si="12"/>
        <v>0</v>
      </c>
      <c r="AB22" s="54">
        <v>0</v>
      </c>
      <c r="AC22" s="53">
        <f t="shared" si="13"/>
        <v>0</v>
      </c>
      <c r="AD22" s="54">
        <v>0</v>
      </c>
      <c r="AE22" s="55">
        <f t="shared" si="14"/>
        <v>0</v>
      </c>
    </row>
    <row r="23" spans="1:31" x14ac:dyDescent="0.25">
      <c r="A23" s="28" t="s">
        <v>168</v>
      </c>
      <c r="B23" s="52"/>
      <c r="C23" s="53">
        <f t="shared" si="0"/>
        <v>0</v>
      </c>
      <c r="D23" s="54"/>
      <c r="E23" s="53">
        <f t="shared" si="1"/>
        <v>0</v>
      </c>
      <c r="F23" s="54"/>
      <c r="G23" s="53">
        <f t="shared" si="2"/>
        <v>0</v>
      </c>
      <c r="H23" s="54">
        <v>0</v>
      </c>
      <c r="I23" s="53">
        <f t="shared" si="3"/>
        <v>0</v>
      </c>
      <c r="J23" s="54">
        <v>0</v>
      </c>
      <c r="K23" s="55">
        <f t="shared" si="4"/>
        <v>0</v>
      </c>
      <c r="L23" s="52"/>
      <c r="M23" s="53">
        <f t="shared" si="5"/>
        <v>0</v>
      </c>
      <c r="N23" s="54"/>
      <c r="O23" s="53">
        <f t="shared" si="6"/>
        <v>0</v>
      </c>
      <c r="P23" s="54">
        <v>0</v>
      </c>
      <c r="Q23" s="53">
        <f t="shared" si="7"/>
        <v>0</v>
      </c>
      <c r="R23" s="54">
        <v>0</v>
      </c>
      <c r="S23" s="53">
        <f t="shared" si="8"/>
        <v>0</v>
      </c>
      <c r="T23" s="54">
        <v>0</v>
      </c>
      <c r="U23" s="55">
        <f t="shared" si="9"/>
        <v>0</v>
      </c>
      <c r="V23" s="52"/>
      <c r="W23" s="53">
        <f t="shared" si="10"/>
        <v>0</v>
      </c>
      <c r="X23" s="54">
        <v>0</v>
      </c>
      <c r="Y23" s="53">
        <f t="shared" si="11"/>
        <v>0</v>
      </c>
      <c r="Z23" s="54"/>
      <c r="AA23" s="53">
        <f t="shared" si="12"/>
        <v>0</v>
      </c>
      <c r="AB23" s="54">
        <v>0</v>
      </c>
      <c r="AC23" s="53">
        <f t="shared" si="13"/>
        <v>0</v>
      </c>
      <c r="AD23" s="54">
        <v>0</v>
      </c>
      <c r="AE23" s="55">
        <f t="shared" si="14"/>
        <v>0</v>
      </c>
    </row>
    <row r="24" spans="1:31" x14ac:dyDescent="0.25">
      <c r="A24" s="28" t="s">
        <v>169</v>
      </c>
      <c r="B24" s="52"/>
      <c r="C24" s="53">
        <f t="shared" si="0"/>
        <v>0</v>
      </c>
      <c r="D24" s="54"/>
      <c r="E24" s="53">
        <f t="shared" si="1"/>
        <v>0</v>
      </c>
      <c r="F24" s="54"/>
      <c r="G24" s="53">
        <f t="shared" si="2"/>
        <v>0</v>
      </c>
      <c r="H24" s="54">
        <v>0</v>
      </c>
      <c r="I24" s="53">
        <f t="shared" si="3"/>
        <v>0</v>
      </c>
      <c r="J24" s="54">
        <v>0</v>
      </c>
      <c r="K24" s="55">
        <f t="shared" si="4"/>
        <v>0</v>
      </c>
      <c r="L24" s="52"/>
      <c r="M24" s="53">
        <f t="shared" si="5"/>
        <v>0</v>
      </c>
      <c r="N24" s="54"/>
      <c r="O24" s="53">
        <f t="shared" si="6"/>
        <v>0</v>
      </c>
      <c r="P24" s="54">
        <v>0</v>
      </c>
      <c r="Q24" s="53">
        <f t="shared" si="7"/>
        <v>0</v>
      </c>
      <c r="R24" s="54">
        <v>0</v>
      </c>
      <c r="S24" s="53">
        <f t="shared" si="8"/>
        <v>0</v>
      </c>
      <c r="T24" s="54">
        <v>0</v>
      </c>
      <c r="U24" s="55">
        <f t="shared" si="9"/>
        <v>0</v>
      </c>
      <c r="V24" s="52"/>
      <c r="W24" s="53">
        <f t="shared" si="10"/>
        <v>0</v>
      </c>
      <c r="X24" s="54">
        <v>8.8888888888888906E-2</v>
      </c>
      <c r="Y24" s="53">
        <f t="shared" si="11"/>
        <v>0.53781512605042014</v>
      </c>
      <c r="Z24" s="54"/>
      <c r="AA24" s="53">
        <f t="shared" si="12"/>
        <v>0</v>
      </c>
      <c r="AB24" s="54">
        <v>8.8888888888888906E-2</v>
      </c>
      <c r="AC24" s="53">
        <f t="shared" si="13"/>
        <v>0.40894568690095845</v>
      </c>
      <c r="AD24" s="54">
        <v>8.8888888888888906E-2</v>
      </c>
      <c r="AE24" s="55">
        <f t="shared" si="14"/>
        <v>8.6311530681051934E-2</v>
      </c>
    </row>
    <row r="25" spans="1:31" x14ac:dyDescent="0.25">
      <c r="A25" s="28" t="s">
        <v>170</v>
      </c>
      <c r="B25" s="52"/>
      <c r="C25" s="53">
        <f t="shared" si="0"/>
        <v>0</v>
      </c>
      <c r="D25" s="54"/>
      <c r="E25" s="53">
        <f t="shared" si="1"/>
        <v>0</v>
      </c>
      <c r="F25" s="54"/>
      <c r="G25" s="53">
        <f t="shared" si="2"/>
        <v>0</v>
      </c>
      <c r="H25" s="54">
        <v>0</v>
      </c>
      <c r="I25" s="53">
        <f t="shared" si="3"/>
        <v>0</v>
      </c>
      <c r="J25" s="54">
        <v>0</v>
      </c>
      <c r="K25" s="55">
        <f t="shared" si="4"/>
        <v>0</v>
      </c>
      <c r="L25" s="52"/>
      <c r="M25" s="53">
        <f t="shared" si="5"/>
        <v>0</v>
      </c>
      <c r="N25" s="54"/>
      <c r="O25" s="53">
        <f t="shared" si="6"/>
        <v>0</v>
      </c>
      <c r="P25" s="54">
        <v>0</v>
      </c>
      <c r="Q25" s="53">
        <f t="shared" si="7"/>
        <v>0</v>
      </c>
      <c r="R25" s="54">
        <v>0</v>
      </c>
      <c r="S25" s="53">
        <f t="shared" si="8"/>
        <v>0</v>
      </c>
      <c r="T25" s="54">
        <v>0</v>
      </c>
      <c r="U25" s="55">
        <f t="shared" si="9"/>
        <v>0</v>
      </c>
      <c r="V25" s="52"/>
      <c r="W25" s="53">
        <f t="shared" si="10"/>
        <v>0</v>
      </c>
      <c r="X25" s="54">
        <v>0</v>
      </c>
      <c r="Y25" s="53">
        <f t="shared" si="11"/>
        <v>0</v>
      </c>
      <c r="Z25" s="54"/>
      <c r="AA25" s="53">
        <f t="shared" si="12"/>
        <v>0</v>
      </c>
      <c r="AB25" s="54">
        <v>0</v>
      </c>
      <c r="AC25" s="53">
        <f t="shared" si="13"/>
        <v>0</v>
      </c>
      <c r="AD25" s="54">
        <v>0</v>
      </c>
      <c r="AE25" s="55">
        <f t="shared" si="14"/>
        <v>0</v>
      </c>
    </row>
    <row r="26" spans="1:31" x14ac:dyDescent="0.25">
      <c r="A26" s="28" t="s">
        <v>171</v>
      </c>
      <c r="B26" s="52"/>
      <c r="C26" s="53">
        <f t="shared" si="0"/>
        <v>0</v>
      </c>
      <c r="D26" s="54"/>
      <c r="E26" s="53">
        <f t="shared" si="1"/>
        <v>0</v>
      </c>
      <c r="F26" s="54"/>
      <c r="G26" s="53">
        <f t="shared" si="2"/>
        <v>0</v>
      </c>
      <c r="H26" s="54">
        <v>0</v>
      </c>
      <c r="I26" s="53">
        <f t="shared" si="3"/>
        <v>0</v>
      </c>
      <c r="J26" s="54">
        <v>0</v>
      </c>
      <c r="K26" s="55">
        <f t="shared" si="4"/>
        <v>0</v>
      </c>
      <c r="L26" s="52"/>
      <c r="M26" s="53">
        <f t="shared" si="5"/>
        <v>0</v>
      </c>
      <c r="N26" s="54"/>
      <c r="O26" s="53">
        <f t="shared" si="6"/>
        <v>0</v>
      </c>
      <c r="P26" s="54">
        <v>0</v>
      </c>
      <c r="Q26" s="53">
        <f t="shared" si="7"/>
        <v>0</v>
      </c>
      <c r="R26" s="54">
        <v>0</v>
      </c>
      <c r="S26" s="53">
        <f t="shared" si="8"/>
        <v>0</v>
      </c>
      <c r="T26" s="54">
        <v>0</v>
      </c>
      <c r="U26" s="55">
        <f t="shared" si="9"/>
        <v>0</v>
      </c>
      <c r="V26" s="52"/>
      <c r="W26" s="53">
        <f t="shared" si="10"/>
        <v>0</v>
      </c>
      <c r="X26" s="54">
        <v>0</v>
      </c>
      <c r="Y26" s="53">
        <f t="shared" si="11"/>
        <v>0</v>
      </c>
      <c r="Z26" s="54"/>
      <c r="AA26" s="53">
        <f t="shared" si="12"/>
        <v>0</v>
      </c>
      <c r="AB26" s="54">
        <v>0</v>
      </c>
      <c r="AC26" s="53">
        <f t="shared" si="13"/>
        <v>0</v>
      </c>
      <c r="AD26" s="54">
        <v>0</v>
      </c>
      <c r="AE26" s="55">
        <f t="shared" si="14"/>
        <v>0</v>
      </c>
    </row>
    <row r="27" spans="1:31" x14ac:dyDescent="0.25">
      <c r="A27" s="28" t="s">
        <v>172</v>
      </c>
      <c r="B27" s="52"/>
      <c r="C27" s="53">
        <f t="shared" si="0"/>
        <v>0</v>
      </c>
      <c r="D27" s="54"/>
      <c r="E27" s="53">
        <f t="shared" si="1"/>
        <v>0</v>
      </c>
      <c r="F27" s="54"/>
      <c r="G27" s="53">
        <f t="shared" si="2"/>
        <v>0</v>
      </c>
      <c r="H27" s="54">
        <v>0</v>
      </c>
      <c r="I27" s="53">
        <f t="shared" si="3"/>
        <v>0</v>
      </c>
      <c r="J27" s="54">
        <v>0</v>
      </c>
      <c r="K27" s="55">
        <f t="shared" si="4"/>
        <v>0</v>
      </c>
      <c r="L27" s="52"/>
      <c r="M27" s="53">
        <f t="shared" si="5"/>
        <v>0</v>
      </c>
      <c r="N27" s="54"/>
      <c r="O27" s="53">
        <f t="shared" si="6"/>
        <v>0</v>
      </c>
      <c r="P27" s="54">
        <v>0</v>
      </c>
      <c r="Q27" s="53">
        <f t="shared" si="7"/>
        <v>0</v>
      </c>
      <c r="R27" s="54">
        <v>0</v>
      </c>
      <c r="S27" s="53">
        <f t="shared" si="8"/>
        <v>0</v>
      </c>
      <c r="T27" s="54">
        <v>0</v>
      </c>
      <c r="U27" s="55">
        <f t="shared" si="9"/>
        <v>0</v>
      </c>
      <c r="V27" s="52"/>
      <c r="W27" s="53">
        <f t="shared" si="10"/>
        <v>0</v>
      </c>
      <c r="X27" s="54">
        <v>0</v>
      </c>
      <c r="Y27" s="53">
        <f t="shared" si="11"/>
        <v>0</v>
      </c>
      <c r="Z27" s="54"/>
      <c r="AA27" s="53">
        <f t="shared" si="12"/>
        <v>0</v>
      </c>
      <c r="AB27" s="54">
        <v>0</v>
      </c>
      <c r="AC27" s="53">
        <f t="shared" si="13"/>
        <v>0</v>
      </c>
      <c r="AD27" s="54">
        <v>0</v>
      </c>
      <c r="AE27" s="55">
        <f t="shared" si="14"/>
        <v>0</v>
      </c>
    </row>
    <row r="28" spans="1:31" x14ac:dyDescent="0.25">
      <c r="A28" s="29" t="s">
        <v>78</v>
      </c>
      <c r="B28" s="52"/>
      <c r="C28" s="53">
        <f t="shared" si="0"/>
        <v>0</v>
      </c>
      <c r="D28" s="54"/>
      <c r="E28" s="53">
        <f t="shared" si="1"/>
        <v>0</v>
      </c>
      <c r="F28" s="54"/>
      <c r="G28" s="53">
        <f t="shared" si="2"/>
        <v>0</v>
      </c>
      <c r="H28" s="54">
        <v>0</v>
      </c>
      <c r="I28" s="53">
        <f t="shared" si="3"/>
        <v>0</v>
      </c>
      <c r="J28" s="54">
        <v>0</v>
      </c>
      <c r="K28" s="55">
        <f t="shared" si="4"/>
        <v>0</v>
      </c>
      <c r="L28" s="52"/>
      <c r="M28" s="53">
        <f t="shared" si="5"/>
        <v>0</v>
      </c>
      <c r="N28" s="54"/>
      <c r="O28" s="53">
        <f t="shared" si="6"/>
        <v>0</v>
      </c>
      <c r="P28" s="54">
        <v>0</v>
      </c>
      <c r="Q28" s="53">
        <f t="shared" si="7"/>
        <v>0</v>
      </c>
      <c r="R28" s="54">
        <v>0</v>
      </c>
      <c r="S28" s="53">
        <f t="shared" si="8"/>
        <v>0</v>
      </c>
      <c r="T28" s="54">
        <v>0</v>
      </c>
      <c r="U28" s="55">
        <f t="shared" si="9"/>
        <v>0</v>
      </c>
      <c r="V28" s="52"/>
      <c r="W28" s="53">
        <f t="shared" si="10"/>
        <v>0</v>
      </c>
      <c r="X28" s="54">
        <v>0</v>
      </c>
      <c r="Y28" s="53">
        <f t="shared" si="11"/>
        <v>0</v>
      </c>
      <c r="Z28" s="54"/>
      <c r="AA28" s="53">
        <f t="shared" si="12"/>
        <v>0</v>
      </c>
      <c r="AB28" s="54">
        <v>0</v>
      </c>
      <c r="AC28" s="53">
        <f t="shared" si="13"/>
        <v>0</v>
      </c>
      <c r="AD28" s="54">
        <v>0</v>
      </c>
      <c r="AE28" s="55">
        <f t="shared" si="14"/>
        <v>0</v>
      </c>
    </row>
    <row r="29" spans="1:31" x14ac:dyDescent="0.25">
      <c r="A29" s="29" t="s">
        <v>79</v>
      </c>
      <c r="B29" s="52"/>
      <c r="C29" s="53">
        <f t="shared" si="0"/>
        <v>0</v>
      </c>
      <c r="D29" s="54"/>
      <c r="E29" s="53">
        <f t="shared" si="1"/>
        <v>0</v>
      </c>
      <c r="F29" s="54"/>
      <c r="G29" s="53">
        <f t="shared" si="2"/>
        <v>0</v>
      </c>
      <c r="H29" s="54">
        <v>0</v>
      </c>
      <c r="I29" s="53">
        <f t="shared" si="3"/>
        <v>0</v>
      </c>
      <c r="J29" s="54">
        <v>0</v>
      </c>
      <c r="K29" s="55">
        <f t="shared" si="4"/>
        <v>0</v>
      </c>
      <c r="L29" s="52"/>
      <c r="M29" s="53">
        <f t="shared" si="5"/>
        <v>0</v>
      </c>
      <c r="N29" s="54"/>
      <c r="O29" s="53">
        <f t="shared" si="6"/>
        <v>0</v>
      </c>
      <c r="P29" s="54">
        <v>1.736111111111116E-2</v>
      </c>
      <c r="Q29" s="53">
        <f t="shared" si="7"/>
        <v>9.7924010967489501E-3</v>
      </c>
      <c r="R29" s="54">
        <v>1.736111111111116E-2</v>
      </c>
      <c r="S29" s="53">
        <f t="shared" si="8"/>
        <v>2.8735632183908136E-2</v>
      </c>
      <c r="T29" s="54">
        <v>1.736111111111116E-2</v>
      </c>
      <c r="U29" s="55">
        <f t="shared" si="9"/>
        <v>2.8735632183908136E-2</v>
      </c>
      <c r="V29" s="52"/>
      <c r="W29" s="53">
        <f t="shared" si="10"/>
        <v>0</v>
      </c>
      <c r="X29" s="54">
        <v>0</v>
      </c>
      <c r="Y29" s="53">
        <f t="shared" si="11"/>
        <v>0</v>
      </c>
      <c r="Z29" s="54"/>
      <c r="AA29" s="53">
        <f t="shared" si="12"/>
        <v>0</v>
      </c>
      <c r="AB29" s="54">
        <v>0</v>
      </c>
      <c r="AC29" s="53">
        <f t="shared" si="13"/>
        <v>0</v>
      </c>
      <c r="AD29" s="54">
        <v>0</v>
      </c>
      <c r="AE29" s="55">
        <f t="shared" si="14"/>
        <v>0</v>
      </c>
    </row>
    <row r="30" spans="1:31" x14ac:dyDescent="0.25">
      <c r="A30" s="29" t="s">
        <v>80</v>
      </c>
      <c r="B30" s="52"/>
      <c r="C30" s="53">
        <f t="shared" si="0"/>
        <v>0</v>
      </c>
      <c r="D30" s="54"/>
      <c r="E30" s="53">
        <f t="shared" si="1"/>
        <v>0</v>
      </c>
      <c r="F30" s="54"/>
      <c r="G30" s="53">
        <f t="shared" si="2"/>
        <v>0</v>
      </c>
      <c r="H30" s="54">
        <v>0</v>
      </c>
      <c r="I30" s="53">
        <f t="shared" si="3"/>
        <v>0</v>
      </c>
      <c r="J30" s="54">
        <v>0</v>
      </c>
      <c r="K30" s="55">
        <f t="shared" si="4"/>
        <v>0</v>
      </c>
      <c r="L30" s="52"/>
      <c r="M30" s="53">
        <f t="shared" si="5"/>
        <v>0</v>
      </c>
      <c r="N30" s="54"/>
      <c r="O30" s="53">
        <f t="shared" si="6"/>
        <v>0</v>
      </c>
      <c r="P30" s="54">
        <v>0</v>
      </c>
      <c r="Q30" s="53">
        <f t="shared" si="7"/>
        <v>0</v>
      </c>
      <c r="R30" s="54">
        <v>0</v>
      </c>
      <c r="S30" s="53">
        <f t="shared" si="8"/>
        <v>0</v>
      </c>
      <c r="T30" s="54">
        <v>0</v>
      </c>
      <c r="U30" s="55">
        <f t="shared" si="9"/>
        <v>0</v>
      </c>
      <c r="V30" s="52"/>
      <c r="W30" s="53">
        <f t="shared" si="10"/>
        <v>0</v>
      </c>
      <c r="X30" s="54">
        <v>0</v>
      </c>
      <c r="Y30" s="53">
        <f t="shared" si="11"/>
        <v>0</v>
      </c>
      <c r="Z30" s="54"/>
      <c r="AA30" s="53">
        <f t="shared" si="12"/>
        <v>0</v>
      </c>
      <c r="AB30" s="54">
        <v>1.6666666666666718E-2</v>
      </c>
      <c r="AC30" s="53">
        <f t="shared" si="13"/>
        <v>7.6677316293929931E-2</v>
      </c>
      <c r="AD30" s="54">
        <v>3.8194444444444392E-2</v>
      </c>
      <c r="AE30" s="55">
        <f t="shared" si="14"/>
        <v>3.7086985839514447E-2</v>
      </c>
    </row>
    <row r="31" spans="1:31" x14ac:dyDescent="0.25">
      <c r="A31" s="29" t="s">
        <v>81</v>
      </c>
      <c r="B31" s="52"/>
      <c r="C31" s="53">
        <f t="shared" si="0"/>
        <v>0</v>
      </c>
      <c r="D31" s="54"/>
      <c r="E31" s="53">
        <f t="shared" si="1"/>
        <v>0</v>
      </c>
      <c r="F31" s="54"/>
      <c r="G31" s="53">
        <f t="shared" si="2"/>
        <v>0</v>
      </c>
      <c r="H31" s="54">
        <v>0.32986111111111105</v>
      </c>
      <c r="I31" s="53">
        <f t="shared" si="3"/>
        <v>1</v>
      </c>
      <c r="J31" s="54">
        <v>0.32986111111111105</v>
      </c>
      <c r="K31" s="55">
        <f t="shared" si="4"/>
        <v>1</v>
      </c>
      <c r="L31" s="52"/>
      <c r="M31" s="53">
        <f t="shared" si="5"/>
        <v>0</v>
      </c>
      <c r="N31" s="54"/>
      <c r="O31" s="53">
        <f t="shared" si="6"/>
        <v>0</v>
      </c>
      <c r="P31" s="54">
        <v>0.15000000000000008</v>
      </c>
      <c r="Q31" s="53">
        <f t="shared" si="7"/>
        <v>8.4606345475910741E-2</v>
      </c>
      <c r="R31" s="54">
        <v>0.15000000000000008</v>
      </c>
      <c r="S31" s="53">
        <f t="shared" si="8"/>
        <v>0.24827586206896571</v>
      </c>
      <c r="T31" s="54">
        <v>0.15000000000000008</v>
      </c>
      <c r="U31" s="55">
        <f t="shared" si="9"/>
        <v>0.24827586206896571</v>
      </c>
      <c r="V31" s="52"/>
      <c r="W31" s="53">
        <f t="shared" si="10"/>
        <v>0</v>
      </c>
      <c r="X31" s="54">
        <v>0</v>
      </c>
      <c r="Y31" s="53">
        <f t="shared" si="11"/>
        <v>0</v>
      </c>
      <c r="Z31" s="54"/>
      <c r="AA31" s="53">
        <f t="shared" si="12"/>
        <v>0</v>
      </c>
      <c r="AB31" s="54">
        <v>0</v>
      </c>
      <c r="AC31" s="53">
        <f t="shared" si="13"/>
        <v>0</v>
      </c>
      <c r="AD31" s="54">
        <v>0.60347222222222219</v>
      </c>
      <c r="AE31" s="55">
        <f t="shared" si="14"/>
        <v>0.58597437626432902</v>
      </c>
    </row>
    <row r="32" spans="1:31" x14ac:dyDescent="0.25">
      <c r="A32" s="29" t="s">
        <v>82</v>
      </c>
      <c r="B32" s="52"/>
      <c r="C32" s="53">
        <f t="shared" si="0"/>
        <v>0</v>
      </c>
      <c r="D32" s="54"/>
      <c r="E32" s="53">
        <f t="shared" si="1"/>
        <v>0</v>
      </c>
      <c r="F32" s="54"/>
      <c r="G32" s="53">
        <f t="shared" si="2"/>
        <v>0</v>
      </c>
      <c r="H32" s="54">
        <v>0</v>
      </c>
      <c r="I32" s="53">
        <f t="shared" si="3"/>
        <v>0</v>
      </c>
      <c r="J32" s="54">
        <v>0</v>
      </c>
      <c r="K32" s="55">
        <f t="shared" si="4"/>
        <v>0</v>
      </c>
      <c r="L32" s="52"/>
      <c r="M32" s="53">
        <f t="shared" si="5"/>
        <v>0</v>
      </c>
      <c r="N32" s="54"/>
      <c r="O32" s="53">
        <f t="shared" si="6"/>
        <v>0</v>
      </c>
      <c r="P32" s="54">
        <v>0</v>
      </c>
      <c r="Q32" s="53">
        <f t="shared" si="7"/>
        <v>0</v>
      </c>
      <c r="R32" s="54">
        <v>0</v>
      </c>
      <c r="S32" s="53">
        <f t="shared" si="8"/>
        <v>0</v>
      </c>
      <c r="T32" s="54">
        <v>0</v>
      </c>
      <c r="U32" s="55">
        <f t="shared" si="9"/>
        <v>0</v>
      </c>
      <c r="V32" s="52"/>
      <c r="W32" s="53">
        <f t="shared" si="10"/>
        <v>0</v>
      </c>
      <c r="X32" s="54">
        <v>0</v>
      </c>
      <c r="Y32" s="53">
        <f t="shared" si="11"/>
        <v>0</v>
      </c>
      <c r="Z32" s="54"/>
      <c r="AA32" s="53">
        <f t="shared" si="12"/>
        <v>0</v>
      </c>
      <c r="AB32" s="54">
        <v>0</v>
      </c>
      <c r="AC32" s="53">
        <f t="shared" si="13"/>
        <v>0</v>
      </c>
      <c r="AD32" s="54">
        <v>0</v>
      </c>
      <c r="AE32" s="55">
        <f t="shared" si="14"/>
        <v>0</v>
      </c>
    </row>
    <row r="33" spans="1:31" x14ac:dyDescent="0.25">
      <c r="A33" s="29" t="s">
        <v>83</v>
      </c>
      <c r="B33" s="52"/>
      <c r="C33" s="53">
        <f t="shared" si="0"/>
        <v>0</v>
      </c>
      <c r="D33" s="54"/>
      <c r="E33" s="53">
        <f t="shared" si="1"/>
        <v>0</v>
      </c>
      <c r="F33" s="54"/>
      <c r="G33" s="53">
        <f t="shared" si="2"/>
        <v>0</v>
      </c>
      <c r="H33" s="54">
        <v>0</v>
      </c>
      <c r="I33" s="53">
        <f t="shared" si="3"/>
        <v>0</v>
      </c>
      <c r="J33" s="54">
        <v>0</v>
      </c>
      <c r="K33" s="55">
        <f t="shared" si="4"/>
        <v>0</v>
      </c>
      <c r="L33" s="52"/>
      <c r="M33" s="53">
        <f t="shared" si="5"/>
        <v>0</v>
      </c>
      <c r="N33" s="54"/>
      <c r="O33" s="53">
        <f t="shared" si="6"/>
        <v>0</v>
      </c>
      <c r="P33" s="54">
        <v>0</v>
      </c>
      <c r="Q33" s="53">
        <f t="shared" si="7"/>
        <v>0</v>
      </c>
      <c r="R33" s="54">
        <v>0</v>
      </c>
      <c r="S33" s="53">
        <f t="shared" si="8"/>
        <v>0</v>
      </c>
      <c r="T33" s="54">
        <v>0</v>
      </c>
      <c r="U33" s="55">
        <f t="shared" si="9"/>
        <v>0</v>
      </c>
      <c r="V33" s="52"/>
      <c r="W33" s="53">
        <f t="shared" si="10"/>
        <v>0</v>
      </c>
      <c r="X33" s="54">
        <v>0</v>
      </c>
      <c r="Y33" s="53">
        <f t="shared" si="11"/>
        <v>0</v>
      </c>
      <c r="Z33" s="54"/>
      <c r="AA33" s="53">
        <f t="shared" si="12"/>
        <v>0</v>
      </c>
      <c r="AB33" s="54">
        <v>0</v>
      </c>
      <c r="AC33" s="53">
        <f t="shared" si="13"/>
        <v>0</v>
      </c>
      <c r="AD33" s="54">
        <v>0</v>
      </c>
      <c r="AE33" s="55">
        <f t="shared" si="14"/>
        <v>0</v>
      </c>
    </row>
    <row r="34" spans="1:31" x14ac:dyDescent="0.25">
      <c r="A34" s="29" t="s">
        <v>84</v>
      </c>
      <c r="B34" s="52"/>
      <c r="C34" s="53">
        <f t="shared" si="0"/>
        <v>0</v>
      </c>
      <c r="D34" s="54"/>
      <c r="E34" s="53">
        <f t="shared" si="1"/>
        <v>0</v>
      </c>
      <c r="F34" s="54"/>
      <c r="G34" s="53">
        <f t="shared" si="2"/>
        <v>0</v>
      </c>
      <c r="H34" s="54">
        <v>0</v>
      </c>
      <c r="I34" s="53">
        <f t="shared" si="3"/>
        <v>0</v>
      </c>
      <c r="J34" s="54">
        <v>0</v>
      </c>
      <c r="K34" s="55">
        <f t="shared" si="4"/>
        <v>0</v>
      </c>
      <c r="L34" s="52"/>
      <c r="M34" s="53">
        <f t="shared" si="5"/>
        <v>0</v>
      </c>
      <c r="N34" s="54"/>
      <c r="O34" s="53">
        <f t="shared" si="6"/>
        <v>0</v>
      </c>
      <c r="P34" s="54">
        <v>0</v>
      </c>
      <c r="Q34" s="53">
        <f t="shared" si="7"/>
        <v>0</v>
      </c>
      <c r="R34" s="54">
        <v>0</v>
      </c>
      <c r="S34" s="53">
        <f t="shared" si="8"/>
        <v>0</v>
      </c>
      <c r="T34" s="54">
        <v>0</v>
      </c>
      <c r="U34" s="55">
        <f t="shared" si="9"/>
        <v>0</v>
      </c>
      <c r="V34" s="52"/>
      <c r="W34" s="53">
        <f t="shared" si="10"/>
        <v>0</v>
      </c>
      <c r="X34" s="54">
        <v>0</v>
      </c>
      <c r="Y34" s="53">
        <f t="shared" si="11"/>
        <v>0</v>
      </c>
      <c r="Z34" s="54"/>
      <c r="AA34" s="53">
        <f t="shared" si="12"/>
        <v>0</v>
      </c>
      <c r="AB34" s="54">
        <v>0</v>
      </c>
      <c r="AC34" s="53">
        <f t="shared" si="13"/>
        <v>0</v>
      </c>
      <c r="AD34" s="54">
        <v>0</v>
      </c>
      <c r="AE34" s="55">
        <f t="shared" si="14"/>
        <v>0</v>
      </c>
    </row>
    <row r="35" spans="1:31" ht="15.75" thickBot="1" x14ac:dyDescent="0.3">
      <c r="A35" s="30" t="s">
        <v>85</v>
      </c>
      <c r="B35" s="52"/>
      <c r="C35" s="53">
        <f t="shared" si="0"/>
        <v>0</v>
      </c>
      <c r="D35" s="54"/>
      <c r="E35" s="53">
        <f t="shared" si="1"/>
        <v>0</v>
      </c>
      <c r="F35" s="54"/>
      <c r="G35" s="53">
        <f t="shared" si="2"/>
        <v>0</v>
      </c>
      <c r="H35" s="54">
        <v>0</v>
      </c>
      <c r="I35" s="53">
        <f t="shared" si="3"/>
        <v>0</v>
      </c>
      <c r="J35" s="54">
        <v>0</v>
      </c>
      <c r="K35" s="55">
        <f t="shared" si="4"/>
        <v>0</v>
      </c>
      <c r="L35" s="52"/>
      <c r="M35" s="53">
        <f t="shared" si="5"/>
        <v>0</v>
      </c>
      <c r="N35" s="54"/>
      <c r="O35" s="53">
        <f t="shared" si="6"/>
        <v>0</v>
      </c>
      <c r="P35" s="54">
        <v>1.1111111111111183E-2</v>
      </c>
      <c r="Q35" s="53">
        <f t="shared" si="7"/>
        <v>6.2671367019193512E-3</v>
      </c>
      <c r="R35" s="54">
        <v>0</v>
      </c>
      <c r="S35" s="53">
        <f t="shared" si="8"/>
        <v>0</v>
      </c>
      <c r="T35" s="54">
        <v>0</v>
      </c>
      <c r="U35" s="55">
        <f t="shared" si="9"/>
        <v>0</v>
      </c>
      <c r="V35" s="52"/>
      <c r="W35" s="53">
        <f t="shared" si="10"/>
        <v>0</v>
      </c>
      <c r="X35" s="54">
        <v>0</v>
      </c>
      <c r="Y35" s="53">
        <f t="shared" si="11"/>
        <v>0</v>
      </c>
      <c r="Z35" s="54"/>
      <c r="AA35" s="53">
        <f t="shared" si="12"/>
        <v>0</v>
      </c>
      <c r="AB35" s="54">
        <v>0</v>
      </c>
      <c r="AC35" s="53">
        <f t="shared" si="13"/>
        <v>0</v>
      </c>
      <c r="AD35" s="54">
        <v>0</v>
      </c>
      <c r="AE35" s="55">
        <f t="shared" si="14"/>
        <v>0</v>
      </c>
    </row>
    <row r="36" spans="1:31" ht="15.75" thickBot="1" x14ac:dyDescent="0.3">
      <c r="A36" s="30" t="s">
        <v>86</v>
      </c>
      <c r="B36" s="56"/>
      <c r="C36" s="57">
        <f t="shared" si="0"/>
        <v>0</v>
      </c>
      <c r="D36" s="58"/>
      <c r="E36" s="57">
        <f t="shared" si="1"/>
        <v>0</v>
      </c>
      <c r="F36" s="58"/>
      <c r="G36" s="57">
        <f t="shared" si="2"/>
        <v>0</v>
      </c>
      <c r="H36" s="58">
        <v>0</v>
      </c>
      <c r="I36" s="57">
        <f t="shared" si="3"/>
        <v>0</v>
      </c>
      <c r="J36" s="58">
        <v>0</v>
      </c>
      <c r="K36" s="59">
        <f t="shared" si="4"/>
        <v>0</v>
      </c>
      <c r="L36" s="56"/>
      <c r="M36" s="57">
        <f t="shared" si="5"/>
        <v>0</v>
      </c>
      <c r="N36" s="58"/>
      <c r="O36" s="57">
        <f t="shared" si="6"/>
        <v>0</v>
      </c>
      <c r="P36" s="58">
        <v>3.125E-2</v>
      </c>
      <c r="Q36" s="57">
        <f t="shared" si="7"/>
        <v>1.7626321974148061E-2</v>
      </c>
      <c r="R36" s="58">
        <v>3.125E-2</v>
      </c>
      <c r="S36" s="57">
        <f t="shared" si="8"/>
        <v>5.1724137931034496E-2</v>
      </c>
      <c r="T36" s="58">
        <v>3.125E-2</v>
      </c>
      <c r="U36" s="59">
        <f t="shared" si="9"/>
        <v>5.1724137931034496E-2</v>
      </c>
      <c r="V36" s="56"/>
      <c r="W36" s="57">
        <f t="shared" si="10"/>
        <v>0</v>
      </c>
      <c r="X36" s="58">
        <v>7.5694444444444453E-2</v>
      </c>
      <c r="Y36" s="57">
        <f t="shared" si="11"/>
        <v>0.45798319327731091</v>
      </c>
      <c r="Z36" s="58"/>
      <c r="AA36" s="57">
        <f t="shared" si="12"/>
        <v>0</v>
      </c>
      <c r="AB36" s="58">
        <v>7.5694444444444453E-2</v>
      </c>
      <c r="AC36" s="57">
        <f t="shared" si="13"/>
        <v>0.34824281150159736</v>
      </c>
      <c r="AD36" s="58">
        <v>7.5694444444444453E-2</v>
      </c>
      <c r="AE36" s="59">
        <f t="shared" si="14"/>
        <v>7.3499662845583291E-2</v>
      </c>
    </row>
    <row r="37" spans="1:31" x14ac:dyDescent="0.25">
      <c r="B37" s="45">
        <f>SUM(B4:B36)</f>
        <v>0</v>
      </c>
      <c r="D37" s="45">
        <f>SUM(D4:D36)</f>
        <v>0</v>
      </c>
      <c r="F37" s="45">
        <f>SUM(F4:F36)</f>
        <v>0</v>
      </c>
      <c r="H37" s="45">
        <f>SUM(H4:H36)</f>
        <v>0.32986111111111105</v>
      </c>
      <c r="J37" s="45">
        <f>SUM(J4:J36)</f>
        <v>0.32986111111111105</v>
      </c>
      <c r="L37" s="45">
        <f>SUM(L4:L36)</f>
        <v>0</v>
      </c>
      <c r="N37" s="45">
        <f>SUM(N4:N36)</f>
        <v>0</v>
      </c>
      <c r="P37" s="45">
        <f>SUM(P4:P36)</f>
        <v>1.7729166666666667</v>
      </c>
      <c r="R37" s="45">
        <f>SUM(R4:R36)</f>
        <v>0.60416666666666652</v>
      </c>
      <c r="T37" s="45">
        <f>SUM(T4:T36)</f>
        <v>0.60416666666666652</v>
      </c>
      <c r="V37" s="45">
        <f>SUM(V4:V36)</f>
        <v>0</v>
      </c>
      <c r="X37" s="45">
        <f>SUM(X4:X36)</f>
        <v>0.1652777777777778</v>
      </c>
      <c r="Z37" s="45">
        <f>SUM(Z4:Z36)</f>
        <v>0</v>
      </c>
      <c r="AB37" s="45">
        <f>SUM(AB4:AB36)</f>
        <v>0.21736111111111117</v>
      </c>
      <c r="AD37" s="45">
        <f>SUM(AD4:AD36)</f>
        <v>1.0298611111111111</v>
      </c>
    </row>
    <row r="38" spans="1:31" x14ac:dyDescent="0.25">
      <c r="H38" s="39">
        <v>8.1666666666666696</v>
      </c>
      <c r="J38" s="39">
        <v>8.1666666666666696</v>
      </c>
      <c r="P38" s="39">
        <v>59.65</v>
      </c>
      <c r="R38" s="39">
        <v>14.516666666666699</v>
      </c>
      <c r="T38" s="39">
        <v>14.516666666666699</v>
      </c>
      <c r="X38" s="39">
        <v>3.9666666666666699</v>
      </c>
      <c r="AB38" s="39">
        <v>18.466666666666701</v>
      </c>
      <c r="AD38" s="39">
        <v>24.716666666666701</v>
      </c>
    </row>
    <row r="39" spans="1:31" x14ac:dyDescent="0.25">
      <c r="H39" s="39">
        <v>7.9166666666666696</v>
      </c>
      <c r="J39" s="39">
        <v>7.9166666666666696</v>
      </c>
      <c r="P39" s="39">
        <v>42.55</v>
      </c>
      <c r="R39" s="39">
        <v>14.5</v>
      </c>
      <c r="T39" s="39">
        <v>14.5</v>
      </c>
      <c r="X39" s="39">
        <v>3.9666666666666699</v>
      </c>
      <c r="AB39" s="39">
        <v>5.2166666666666703</v>
      </c>
      <c r="AD39" s="39">
        <v>24.716666666666701</v>
      </c>
    </row>
  </sheetData>
  <mergeCells count="18">
    <mergeCell ref="V2:W2"/>
    <mergeCell ref="X2:Y2"/>
    <mergeCell ref="B1:K1"/>
    <mergeCell ref="L1:U1"/>
    <mergeCell ref="V1:AE1"/>
    <mergeCell ref="B2:C2"/>
    <mergeCell ref="D2:E2"/>
    <mergeCell ref="F2:G2"/>
    <mergeCell ref="H2:I2"/>
    <mergeCell ref="J2:K2"/>
    <mergeCell ref="L2:M2"/>
    <mergeCell ref="Z2:AA2"/>
    <mergeCell ref="AB2:AC2"/>
    <mergeCell ref="AD2:AE2"/>
    <mergeCell ref="N2:O2"/>
    <mergeCell ref="P2:Q2"/>
    <mergeCell ref="R2:S2"/>
    <mergeCell ref="T2:U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9"/>
  <sheetViews>
    <sheetView workbookViewId="0">
      <selection activeCell="B2" sqref="B2:DB2"/>
    </sheetView>
  </sheetViews>
  <sheetFormatPr defaultRowHeight="15" x14ac:dyDescent="0.25"/>
  <cols>
    <col min="1" max="1" width="34.28515625" style="39" bestFit="1" customWidth="1"/>
    <col min="2" max="16384" width="9.140625" style="39"/>
  </cols>
  <sheetData>
    <row r="1" spans="1:21" ht="15.75" customHeight="1" thickBot="1" x14ac:dyDescent="0.3">
      <c r="B1" s="72" t="s">
        <v>50</v>
      </c>
      <c r="C1" s="67"/>
      <c r="D1" s="67"/>
      <c r="E1" s="67"/>
      <c r="F1" s="67"/>
      <c r="G1" s="67"/>
      <c r="H1" s="67"/>
      <c r="I1" s="67"/>
      <c r="J1" s="67"/>
      <c r="K1" s="68"/>
      <c r="L1" s="72" t="s">
        <v>131</v>
      </c>
      <c r="M1" s="67"/>
      <c r="N1" s="67"/>
      <c r="O1" s="67"/>
      <c r="P1" s="67"/>
      <c r="Q1" s="67"/>
      <c r="R1" s="67"/>
      <c r="S1" s="67"/>
      <c r="T1" s="67"/>
      <c r="U1" s="68"/>
    </row>
    <row r="2" spans="1:21" x14ac:dyDescent="0.25">
      <c r="B2" s="64">
        <f ca="1">SunDates!$H1</f>
        <v>43435</v>
      </c>
      <c r="C2" s="65"/>
      <c r="D2" s="64">
        <f ca="1">SunDates!$H2</f>
        <v>43442</v>
      </c>
      <c r="E2" s="65"/>
      <c r="F2" s="64">
        <f ca="1">SunDates!$H3</f>
        <v>43449</v>
      </c>
      <c r="G2" s="65"/>
      <c r="H2" s="64">
        <f ca="1">SunDates!$H4</f>
        <v>43456</v>
      </c>
      <c r="I2" s="65"/>
      <c r="J2" s="64">
        <f ca="1">SunDates!$H5</f>
        <v>43463</v>
      </c>
      <c r="K2" s="65"/>
      <c r="L2" s="64">
        <f ca="1">SunDates!$H1</f>
        <v>43435</v>
      </c>
      <c r="M2" s="65"/>
      <c r="N2" s="64">
        <f ca="1">SunDates!$H2</f>
        <v>43442</v>
      </c>
      <c r="O2" s="65"/>
      <c r="P2" s="64">
        <f ca="1">SunDates!$H3</f>
        <v>43449</v>
      </c>
      <c r="Q2" s="65"/>
      <c r="R2" s="64">
        <f ca="1">SunDates!$H4</f>
        <v>43456</v>
      </c>
      <c r="S2" s="65"/>
      <c r="T2" s="64">
        <f ca="1">SunDates!$H5</f>
        <v>43463</v>
      </c>
      <c r="U2" s="65"/>
    </row>
    <row r="3" spans="1:21" ht="15.75" thickBot="1" x14ac:dyDescent="0.3">
      <c r="B3" s="42" t="s">
        <v>195</v>
      </c>
      <c r="C3" s="43" t="s">
        <v>196</v>
      </c>
      <c r="D3" s="43" t="s">
        <v>195</v>
      </c>
      <c r="E3" s="43" t="s">
        <v>196</v>
      </c>
      <c r="F3" s="43" t="s">
        <v>195</v>
      </c>
      <c r="G3" s="43" t="s">
        <v>196</v>
      </c>
      <c r="H3" s="43" t="s">
        <v>195</v>
      </c>
      <c r="I3" s="43" t="s">
        <v>196</v>
      </c>
      <c r="J3" s="43" t="s">
        <v>195</v>
      </c>
      <c r="K3" s="44" t="s">
        <v>196</v>
      </c>
      <c r="L3" s="42" t="s">
        <v>195</v>
      </c>
      <c r="M3" s="43" t="s">
        <v>196</v>
      </c>
      <c r="N3" s="43" t="s">
        <v>195</v>
      </c>
      <c r="O3" s="43" t="s">
        <v>196</v>
      </c>
      <c r="P3" s="43" t="s">
        <v>195</v>
      </c>
      <c r="Q3" s="43" t="s">
        <v>196</v>
      </c>
      <c r="R3" s="43" t="s">
        <v>195</v>
      </c>
      <c r="S3" s="43" t="s">
        <v>196</v>
      </c>
      <c r="T3" s="43" t="s">
        <v>195</v>
      </c>
      <c r="U3" s="44" t="s">
        <v>196</v>
      </c>
    </row>
    <row r="4" spans="1:21" x14ac:dyDescent="0.25">
      <c r="A4" s="27" t="s">
        <v>68</v>
      </c>
      <c r="B4" s="48"/>
      <c r="C4" s="49">
        <f t="shared" ref="C4:C36" si="0">IFERROR(B4/B$37,0%)</f>
        <v>0</v>
      </c>
      <c r="D4" s="50">
        <v>0</v>
      </c>
      <c r="E4" s="49">
        <f t="shared" ref="E4:E36" si="1">IFERROR(D4/D$37,0%)</f>
        <v>0</v>
      </c>
      <c r="F4" s="50"/>
      <c r="G4" s="49">
        <f t="shared" ref="G4:G36" si="2">IFERROR(F4/F$37,0%)</f>
        <v>0</v>
      </c>
      <c r="H4" s="50">
        <v>0</v>
      </c>
      <c r="I4" s="49">
        <f t="shared" ref="I4:I36" si="3">IFERROR(H4/H$37,0%)</f>
        <v>0</v>
      </c>
      <c r="J4" s="50">
        <v>0</v>
      </c>
      <c r="K4" s="51">
        <f t="shared" ref="K4:K36" si="4">IFERROR(J4/J$37,0%)</f>
        <v>0</v>
      </c>
      <c r="L4" s="48"/>
      <c r="M4" s="49">
        <f t="shared" ref="M4:M36" si="5">IFERROR(L4/L$37,0%)</f>
        <v>0</v>
      </c>
      <c r="N4" s="50"/>
      <c r="O4" s="49">
        <f t="shared" ref="O4:O36" si="6">IFERROR(N4/N$37,0%)</f>
        <v>0</v>
      </c>
      <c r="P4" s="50"/>
      <c r="Q4" s="49">
        <f t="shared" ref="Q4:Q36" si="7">IFERROR(P4/P$37,0%)</f>
        <v>0</v>
      </c>
      <c r="R4" s="50">
        <v>0</v>
      </c>
      <c r="S4" s="49">
        <f t="shared" ref="S4:S36" si="8">IFERROR(R4/R$37,0%)</f>
        <v>0</v>
      </c>
      <c r="T4" s="50"/>
      <c r="U4" s="51">
        <f t="shared" ref="U4:U36" si="9">IFERROR(T4/T$37,0%)</f>
        <v>0</v>
      </c>
    </row>
    <row r="5" spans="1:21" x14ac:dyDescent="0.25">
      <c r="A5" s="28" t="s">
        <v>69</v>
      </c>
      <c r="B5" s="52"/>
      <c r="C5" s="53">
        <f t="shared" si="0"/>
        <v>0</v>
      </c>
      <c r="D5" s="54">
        <v>0</v>
      </c>
      <c r="E5" s="53">
        <f t="shared" si="1"/>
        <v>0</v>
      </c>
      <c r="F5" s="54"/>
      <c r="G5" s="53">
        <f t="shared" si="2"/>
        <v>0</v>
      </c>
      <c r="H5" s="54">
        <v>0</v>
      </c>
      <c r="I5" s="53">
        <f t="shared" si="3"/>
        <v>0</v>
      </c>
      <c r="J5" s="54">
        <v>0</v>
      </c>
      <c r="K5" s="55">
        <f t="shared" si="4"/>
        <v>0</v>
      </c>
      <c r="L5" s="52"/>
      <c r="M5" s="53">
        <f t="shared" si="5"/>
        <v>0</v>
      </c>
      <c r="N5" s="54"/>
      <c r="O5" s="53">
        <f t="shared" si="6"/>
        <v>0</v>
      </c>
      <c r="P5" s="54"/>
      <c r="Q5" s="53">
        <f t="shared" si="7"/>
        <v>0</v>
      </c>
      <c r="R5" s="54">
        <v>0</v>
      </c>
      <c r="S5" s="53">
        <f t="shared" si="8"/>
        <v>0</v>
      </c>
      <c r="T5" s="54"/>
      <c r="U5" s="55">
        <f t="shared" si="9"/>
        <v>0</v>
      </c>
    </row>
    <row r="6" spans="1:21" x14ac:dyDescent="0.25">
      <c r="A6" s="28" t="s">
        <v>70</v>
      </c>
      <c r="B6" s="52"/>
      <c r="C6" s="53">
        <f t="shared" si="0"/>
        <v>0</v>
      </c>
      <c r="D6" s="54">
        <v>0</v>
      </c>
      <c r="E6" s="53">
        <f t="shared" si="1"/>
        <v>0</v>
      </c>
      <c r="F6" s="54"/>
      <c r="G6" s="53">
        <f t="shared" si="2"/>
        <v>0</v>
      </c>
      <c r="H6" s="54">
        <v>0</v>
      </c>
      <c r="I6" s="53">
        <f t="shared" si="3"/>
        <v>0</v>
      </c>
      <c r="J6" s="54">
        <v>0</v>
      </c>
      <c r="K6" s="55">
        <f t="shared" si="4"/>
        <v>0</v>
      </c>
      <c r="L6" s="52"/>
      <c r="M6" s="53">
        <f t="shared" si="5"/>
        <v>0</v>
      </c>
      <c r="N6" s="54"/>
      <c r="O6" s="53">
        <f t="shared" si="6"/>
        <v>0</v>
      </c>
      <c r="P6" s="54"/>
      <c r="Q6" s="53">
        <f t="shared" si="7"/>
        <v>0</v>
      </c>
      <c r="R6" s="54">
        <v>0</v>
      </c>
      <c r="S6" s="53">
        <f t="shared" si="8"/>
        <v>0</v>
      </c>
      <c r="T6" s="54"/>
      <c r="U6" s="55">
        <f t="shared" si="9"/>
        <v>0</v>
      </c>
    </row>
    <row r="7" spans="1:21" x14ac:dyDescent="0.25">
      <c r="A7" s="28" t="s">
        <v>71</v>
      </c>
      <c r="B7" s="52"/>
      <c r="C7" s="53">
        <f t="shared" si="0"/>
        <v>0</v>
      </c>
      <c r="D7" s="54">
        <v>0</v>
      </c>
      <c r="E7" s="53">
        <f t="shared" si="1"/>
        <v>0</v>
      </c>
      <c r="F7" s="54"/>
      <c r="G7" s="53">
        <f t="shared" si="2"/>
        <v>0</v>
      </c>
      <c r="H7" s="54">
        <v>0</v>
      </c>
      <c r="I7" s="53">
        <f t="shared" si="3"/>
        <v>0</v>
      </c>
      <c r="J7" s="54">
        <v>0</v>
      </c>
      <c r="K7" s="55">
        <f t="shared" si="4"/>
        <v>0</v>
      </c>
      <c r="L7" s="52"/>
      <c r="M7" s="53">
        <f t="shared" si="5"/>
        <v>0</v>
      </c>
      <c r="N7" s="54"/>
      <c r="O7" s="53">
        <f t="shared" si="6"/>
        <v>0</v>
      </c>
      <c r="P7" s="54"/>
      <c r="Q7" s="53">
        <f t="shared" si="7"/>
        <v>0</v>
      </c>
      <c r="R7" s="54">
        <v>0</v>
      </c>
      <c r="S7" s="53">
        <f t="shared" si="8"/>
        <v>0</v>
      </c>
      <c r="T7" s="54"/>
      <c r="U7" s="55">
        <f t="shared" si="9"/>
        <v>0</v>
      </c>
    </row>
    <row r="8" spans="1:21" x14ac:dyDescent="0.25">
      <c r="A8" s="28" t="s">
        <v>72</v>
      </c>
      <c r="B8" s="52"/>
      <c r="C8" s="53">
        <f t="shared" si="0"/>
        <v>0</v>
      </c>
      <c r="D8" s="54">
        <v>0</v>
      </c>
      <c r="E8" s="53">
        <f t="shared" si="1"/>
        <v>0</v>
      </c>
      <c r="F8" s="54"/>
      <c r="G8" s="53">
        <f t="shared" si="2"/>
        <v>0</v>
      </c>
      <c r="H8" s="54">
        <v>0</v>
      </c>
      <c r="I8" s="53">
        <f t="shared" si="3"/>
        <v>0</v>
      </c>
      <c r="J8" s="54">
        <v>0</v>
      </c>
      <c r="K8" s="55">
        <f t="shared" si="4"/>
        <v>0</v>
      </c>
      <c r="L8" s="52"/>
      <c r="M8" s="53">
        <f t="shared" si="5"/>
        <v>0</v>
      </c>
      <c r="N8" s="54"/>
      <c r="O8" s="53">
        <f t="shared" si="6"/>
        <v>0</v>
      </c>
      <c r="P8" s="54"/>
      <c r="Q8" s="53">
        <f t="shared" si="7"/>
        <v>0</v>
      </c>
      <c r="R8" s="54">
        <v>0</v>
      </c>
      <c r="S8" s="53">
        <f t="shared" si="8"/>
        <v>0</v>
      </c>
      <c r="T8" s="54"/>
      <c r="U8" s="55">
        <f t="shared" si="9"/>
        <v>0</v>
      </c>
    </row>
    <row r="9" spans="1:21" x14ac:dyDescent="0.25">
      <c r="A9" s="28" t="s">
        <v>73</v>
      </c>
      <c r="B9" s="52"/>
      <c r="C9" s="53">
        <f t="shared" si="0"/>
        <v>0</v>
      </c>
      <c r="D9" s="54">
        <v>0</v>
      </c>
      <c r="E9" s="53">
        <f t="shared" si="1"/>
        <v>0</v>
      </c>
      <c r="F9" s="54"/>
      <c r="G9" s="53">
        <f t="shared" si="2"/>
        <v>0</v>
      </c>
      <c r="H9" s="54">
        <v>0</v>
      </c>
      <c r="I9" s="53">
        <f t="shared" si="3"/>
        <v>0</v>
      </c>
      <c r="J9" s="54">
        <v>0</v>
      </c>
      <c r="K9" s="55">
        <f t="shared" si="4"/>
        <v>0</v>
      </c>
      <c r="L9" s="52"/>
      <c r="M9" s="53">
        <f t="shared" si="5"/>
        <v>0</v>
      </c>
      <c r="N9" s="54"/>
      <c r="O9" s="53">
        <f t="shared" si="6"/>
        <v>0</v>
      </c>
      <c r="P9" s="54"/>
      <c r="Q9" s="53">
        <f t="shared" si="7"/>
        <v>0</v>
      </c>
      <c r="R9" s="54">
        <v>0</v>
      </c>
      <c r="S9" s="53">
        <f t="shared" si="8"/>
        <v>0</v>
      </c>
      <c r="T9" s="54"/>
      <c r="U9" s="55">
        <f t="shared" si="9"/>
        <v>0</v>
      </c>
    </row>
    <row r="10" spans="1:21" x14ac:dyDescent="0.25">
      <c r="A10" s="28" t="s">
        <v>74</v>
      </c>
      <c r="B10" s="52"/>
      <c r="C10" s="53">
        <f t="shared" si="0"/>
        <v>0</v>
      </c>
      <c r="D10" s="54">
        <v>9.0277777777778012E-2</v>
      </c>
      <c r="E10" s="53">
        <f t="shared" si="1"/>
        <v>6.5822784810126753E-2</v>
      </c>
      <c r="F10" s="54"/>
      <c r="G10" s="53">
        <f t="shared" si="2"/>
        <v>0</v>
      </c>
      <c r="H10" s="54">
        <v>0.2291666666666673</v>
      </c>
      <c r="I10" s="53">
        <f t="shared" si="3"/>
        <v>6.1971830985915667E-2</v>
      </c>
      <c r="J10" s="54">
        <v>0.27777777777777846</v>
      </c>
      <c r="K10" s="55">
        <f t="shared" si="4"/>
        <v>6.3897763578274897E-2</v>
      </c>
      <c r="L10" s="52"/>
      <c r="M10" s="53">
        <f t="shared" si="5"/>
        <v>0</v>
      </c>
      <c r="N10" s="54"/>
      <c r="O10" s="53">
        <f t="shared" si="6"/>
        <v>0</v>
      </c>
      <c r="P10" s="54"/>
      <c r="Q10" s="53">
        <f t="shared" si="7"/>
        <v>0</v>
      </c>
      <c r="R10" s="54">
        <v>1.9444444444444708E-2</v>
      </c>
      <c r="S10" s="53">
        <f t="shared" si="8"/>
        <v>2.5477707006369775E-2</v>
      </c>
      <c r="T10" s="54"/>
      <c r="U10" s="55">
        <f t="shared" si="9"/>
        <v>0</v>
      </c>
    </row>
    <row r="11" spans="1:21" x14ac:dyDescent="0.25">
      <c r="A11" s="28" t="s">
        <v>75</v>
      </c>
      <c r="B11" s="52"/>
      <c r="C11" s="53">
        <f t="shared" si="0"/>
        <v>0</v>
      </c>
      <c r="D11" s="54">
        <v>0</v>
      </c>
      <c r="E11" s="53">
        <f t="shared" si="1"/>
        <v>0</v>
      </c>
      <c r="F11" s="54"/>
      <c r="G11" s="53">
        <f t="shared" si="2"/>
        <v>0</v>
      </c>
      <c r="H11" s="54">
        <v>0</v>
      </c>
      <c r="I11" s="53">
        <f t="shared" si="3"/>
        <v>0</v>
      </c>
      <c r="J11" s="54">
        <v>0</v>
      </c>
      <c r="K11" s="55">
        <f t="shared" si="4"/>
        <v>0</v>
      </c>
      <c r="L11" s="52"/>
      <c r="M11" s="53">
        <f t="shared" si="5"/>
        <v>0</v>
      </c>
      <c r="N11" s="54"/>
      <c r="O11" s="53">
        <f t="shared" si="6"/>
        <v>0</v>
      </c>
      <c r="P11" s="54"/>
      <c r="Q11" s="53">
        <f t="shared" si="7"/>
        <v>0</v>
      </c>
      <c r="R11" s="54">
        <v>0</v>
      </c>
      <c r="S11" s="53">
        <f t="shared" si="8"/>
        <v>0</v>
      </c>
      <c r="T11" s="54"/>
      <c r="U11" s="55">
        <f t="shared" si="9"/>
        <v>0</v>
      </c>
    </row>
    <row r="12" spans="1:21" x14ac:dyDescent="0.25">
      <c r="A12" s="28" t="s">
        <v>157</v>
      </c>
      <c r="B12" s="52"/>
      <c r="C12" s="53">
        <f t="shared" si="0"/>
        <v>0</v>
      </c>
      <c r="D12" s="54">
        <v>0</v>
      </c>
      <c r="E12" s="53">
        <f t="shared" si="1"/>
        <v>0</v>
      </c>
      <c r="F12" s="54"/>
      <c r="G12" s="53">
        <f t="shared" si="2"/>
        <v>0</v>
      </c>
      <c r="H12" s="54">
        <v>0</v>
      </c>
      <c r="I12" s="53">
        <f t="shared" si="3"/>
        <v>0</v>
      </c>
      <c r="J12" s="54">
        <v>0</v>
      </c>
      <c r="K12" s="55">
        <f t="shared" si="4"/>
        <v>0</v>
      </c>
      <c r="L12" s="52"/>
      <c r="M12" s="53">
        <f t="shared" si="5"/>
        <v>0</v>
      </c>
      <c r="N12" s="54"/>
      <c r="O12" s="53">
        <f t="shared" si="6"/>
        <v>0</v>
      </c>
      <c r="P12" s="54"/>
      <c r="Q12" s="53">
        <f t="shared" si="7"/>
        <v>0</v>
      </c>
      <c r="R12" s="54">
        <v>3.7499999999999978E-2</v>
      </c>
      <c r="S12" s="53">
        <f t="shared" si="8"/>
        <v>4.9135577797998153E-2</v>
      </c>
      <c r="T12" s="54"/>
      <c r="U12" s="55">
        <f t="shared" si="9"/>
        <v>0</v>
      </c>
    </row>
    <row r="13" spans="1:21" x14ac:dyDescent="0.25">
      <c r="A13" s="28" t="s">
        <v>158</v>
      </c>
      <c r="B13" s="52"/>
      <c r="C13" s="53">
        <f t="shared" si="0"/>
        <v>0</v>
      </c>
      <c r="D13" s="54">
        <v>0</v>
      </c>
      <c r="E13" s="53">
        <f t="shared" si="1"/>
        <v>0</v>
      </c>
      <c r="F13" s="54"/>
      <c r="G13" s="53">
        <f t="shared" si="2"/>
        <v>0</v>
      </c>
      <c r="H13" s="54">
        <v>0</v>
      </c>
      <c r="I13" s="53">
        <f t="shared" si="3"/>
        <v>0</v>
      </c>
      <c r="J13" s="54">
        <v>0</v>
      </c>
      <c r="K13" s="55">
        <f t="shared" si="4"/>
        <v>0</v>
      </c>
      <c r="L13" s="52"/>
      <c r="M13" s="53">
        <f t="shared" si="5"/>
        <v>0</v>
      </c>
      <c r="N13" s="54"/>
      <c r="O13" s="53">
        <f t="shared" si="6"/>
        <v>0</v>
      </c>
      <c r="P13" s="54"/>
      <c r="Q13" s="53">
        <f t="shared" si="7"/>
        <v>0</v>
      </c>
      <c r="R13" s="54">
        <v>0</v>
      </c>
      <c r="S13" s="53">
        <f t="shared" si="8"/>
        <v>0</v>
      </c>
      <c r="T13" s="54"/>
      <c r="U13" s="55">
        <f t="shared" si="9"/>
        <v>0</v>
      </c>
    </row>
    <row r="14" spans="1:21" x14ac:dyDescent="0.25">
      <c r="A14" s="28" t="s">
        <v>159</v>
      </c>
      <c r="B14" s="52"/>
      <c r="C14" s="53">
        <f t="shared" si="0"/>
        <v>0</v>
      </c>
      <c r="D14" s="54">
        <v>0</v>
      </c>
      <c r="E14" s="53">
        <f t="shared" si="1"/>
        <v>0</v>
      </c>
      <c r="F14" s="54"/>
      <c r="G14" s="53">
        <f t="shared" si="2"/>
        <v>0</v>
      </c>
      <c r="H14" s="54">
        <v>0</v>
      </c>
      <c r="I14" s="53">
        <f t="shared" si="3"/>
        <v>0</v>
      </c>
      <c r="J14" s="54">
        <v>0</v>
      </c>
      <c r="K14" s="55">
        <f t="shared" si="4"/>
        <v>0</v>
      </c>
      <c r="L14" s="52"/>
      <c r="M14" s="53">
        <f t="shared" si="5"/>
        <v>0</v>
      </c>
      <c r="N14" s="54"/>
      <c r="O14" s="53">
        <f t="shared" si="6"/>
        <v>0</v>
      </c>
      <c r="P14" s="54"/>
      <c r="Q14" s="53">
        <f t="shared" si="7"/>
        <v>0</v>
      </c>
      <c r="R14" s="54">
        <v>0</v>
      </c>
      <c r="S14" s="53">
        <f t="shared" si="8"/>
        <v>0</v>
      </c>
      <c r="T14" s="54"/>
      <c r="U14" s="55">
        <f t="shared" si="9"/>
        <v>0</v>
      </c>
    </row>
    <row r="15" spans="1:21" x14ac:dyDescent="0.25">
      <c r="A15" s="28" t="s">
        <v>160</v>
      </c>
      <c r="B15" s="52"/>
      <c r="C15" s="53">
        <f t="shared" si="0"/>
        <v>0</v>
      </c>
      <c r="D15" s="54">
        <v>0</v>
      </c>
      <c r="E15" s="53">
        <f t="shared" si="1"/>
        <v>0</v>
      </c>
      <c r="F15" s="54"/>
      <c r="G15" s="53">
        <f t="shared" si="2"/>
        <v>0</v>
      </c>
      <c r="H15" s="54">
        <v>0</v>
      </c>
      <c r="I15" s="53">
        <f t="shared" si="3"/>
        <v>0</v>
      </c>
      <c r="J15" s="54">
        <v>0</v>
      </c>
      <c r="K15" s="55">
        <f t="shared" si="4"/>
        <v>0</v>
      </c>
      <c r="L15" s="52"/>
      <c r="M15" s="53">
        <f t="shared" si="5"/>
        <v>0</v>
      </c>
      <c r="N15" s="54"/>
      <c r="O15" s="53">
        <f t="shared" si="6"/>
        <v>0</v>
      </c>
      <c r="P15" s="54"/>
      <c r="Q15" s="53">
        <f t="shared" si="7"/>
        <v>0</v>
      </c>
      <c r="R15" s="54">
        <v>0</v>
      </c>
      <c r="S15" s="53">
        <f t="shared" si="8"/>
        <v>0</v>
      </c>
      <c r="T15" s="54"/>
      <c r="U15" s="55">
        <f t="shared" si="9"/>
        <v>0</v>
      </c>
    </row>
    <row r="16" spans="1:21" x14ac:dyDescent="0.25">
      <c r="A16" s="28" t="s">
        <v>161</v>
      </c>
      <c r="B16" s="52"/>
      <c r="C16" s="53">
        <f t="shared" si="0"/>
        <v>0</v>
      </c>
      <c r="D16" s="54">
        <v>0</v>
      </c>
      <c r="E16" s="53">
        <f t="shared" si="1"/>
        <v>0</v>
      </c>
      <c r="F16" s="54"/>
      <c r="G16" s="53">
        <f t="shared" si="2"/>
        <v>0</v>
      </c>
      <c r="H16" s="54">
        <v>0</v>
      </c>
      <c r="I16" s="53">
        <f t="shared" si="3"/>
        <v>0</v>
      </c>
      <c r="J16" s="54">
        <v>0</v>
      </c>
      <c r="K16" s="55">
        <f t="shared" si="4"/>
        <v>0</v>
      </c>
      <c r="L16" s="52"/>
      <c r="M16" s="53">
        <f t="shared" si="5"/>
        <v>0</v>
      </c>
      <c r="N16" s="54"/>
      <c r="O16" s="53">
        <f t="shared" si="6"/>
        <v>0</v>
      </c>
      <c r="P16" s="54"/>
      <c r="Q16" s="53">
        <f t="shared" si="7"/>
        <v>0</v>
      </c>
      <c r="R16" s="54">
        <v>0</v>
      </c>
      <c r="S16" s="53">
        <f t="shared" si="8"/>
        <v>0</v>
      </c>
      <c r="T16" s="54"/>
      <c r="U16" s="55">
        <f t="shared" si="9"/>
        <v>0</v>
      </c>
    </row>
    <row r="17" spans="1:21" x14ac:dyDescent="0.25">
      <c r="A17" s="28" t="s">
        <v>162</v>
      </c>
      <c r="B17" s="52"/>
      <c r="C17" s="53">
        <f t="shared" si="0"/>
        <v>0</v>
      </c>
      <c r="D17" s="54">
        <v>0</v>
      </c>
      <c r="E17" s="53">
        <f t="shared" si="1"/>
        <v>0</v>
      </c>
      <c r="F17" s="54"/>
      <c r="G17" s="53">
        <f t="shared" si="2"/>
        <v>0</v>
      </c>
      <c r="H17" s="54">
        <v>0</v>
      </c>
      <c r="I17" s="53">
        <f t="shared" si="3"/>
        <v>0</v>
      </c>
      <c r="J17" s="54">
        <v>0</v>
      </c>
      <c r="K17" s="55">
        <f t="shared" si="4"/>
        <v>0</v>
      </c>
      <c r="L17" s="52"/>
      <c r="M17" s="53">
        <f t="shared" si="5"/>
        <v>0</v>
      </c>
      <c r="N17" s="54"/>
      <c r="O17" s="53">
        <f t="shared" si="6"/>
        <v>0</v>
      </c>
      <c r="P17" s="54"/>
      <c r="Q17" s="53">
        <f t="shared" si="7"/>
        <v>0</v>
      </c>
      <c r="R17" s="54">
        <v>0</v>
      </c>
      <c r="S17" s="53">
        <f t="shared" si="8"/>
        <v>0</v>
      </c>
      <c r="T17" s="54"/>
      <c r="U17" s="55">
        <f t="shared" si="9"/>
        <v>0</v>
      </c>
    </row>
    <row r="18" spans="1:21" x14ac:dyDescent="0.25">
      <c r="A18" s="28" t="s">
        <v>163</v>
      </c>
      <c r="B18" s="52"/>
      <c r="C18" s="53">
        <f t="shared" si="0"/>
        <v>0</v>
      </c>
      <c r="D18" s="54">
        <v>0</v>
      </c>
      <c r="E18" s="53">
        <f t="shared" si="1"/>
        <v>0</v>
      </c>
      <c r="F18" s="54"/>
      <c r="G18" s="53">
        <f t="shared" si="2"/>
        <v>0</v>
      </c>
      <c r="H18" s="54">
        <v>0</v>
      </c>
      <c r="I18" s="53">
        <f t="shared" si="3"/>
        <v>0</v>
      </c>
      <c r="J18" s="54">
        <v>0</v>
      </c>
      <c r="K18" s="55">
        <f t="shared" si="4"/>
        <v>0</v>
      </c>
      <c r="L18" s="52"/>
      <c r="M18" s="53">
        <f t="shared" si="5"/>
        <v>0</v>
      </c>
      <c r="N18" s="54"/>
      <c r="O18" s="53">
        <f t="shared" si="6"/>
        <v>0</v>
      </c>
      <c r="P18" s="54"/>
      <c r="Q18" s="53">
        <f t="shared" si="7"/>
        <v>0</v>
      </c>
      <c r="R18" s="54">
        <v>0</v>
      </c>
      <c r="S18" s="53">
        <f t="shared" si="8"/>
        <v>0</v>
      </c>
      <c r="T18" s="54"/>
      <c r="U18" s="55">
        <f t="shared" si="9"/>
        <v>0</v>
      </c>
    </row>
    <row r="19" spans="1:21" x14ac:dyDescent="0.25">
      <c r="A19" s="28" t="s">
        <v>164</v>
      </c>
      <c r="B19" s="52"/>
      <c r="C19" s="53">
        <f t="shared" si="0"/>
        <v>0</v>
      </c>
      <c r="D19" s="54">
        <v>0</v>
      </c>
      <c r="E19" s="53">
        <f t="shared" si="1"/>
        <v>0</v>
      </c>
      <c r="F19" s="54"/>
      <c r="G19" s="53">
        <f t="shared" si="2"/>
        <v>0</v>
      </c>
      <c r="H19" s="54">
        <v>0</v>
      </c>
      <c r="I19" s="53">
        <f t="shared" si="3"/>
        <v>0</v>
      </c>
      <c r="J19" s="54">
        <v>0</v>
      </c>
      <c r="K19" s="55">
        <f t="shared" si="4"/>
        <v>0</v>
      </c>
      <c r="L19" s="52"/>
      <c r="M19" s="53">
        <f t="shared" si="5"/>
        <v>0</v>
      </c>
      <c r="N19" s="54"/>
      <c r="O19" s="53">
        <f t="shared" si="6"/>
        <v>0</v>
      </c>
      <c r="P19" s="54"/>
      <c r="Q19" s="53">
        <f t="shared" si="7"/>
        <v>0</v>
      </c>
      <c r="R19" s="54">
        <v>0</v>
      </c>
      <c r="S19" s="53">
        <f t="shared" si="8"/>
        <v>0</v>
      </c>
      <c r="T19" s="54"/>
      <c r="U19" s="55">
        <f t="shared" si="9"/>
        <v>0</v>
      </c>
    </row>
    <row r="20" spans="1:21" x14ac:dyDescent="0.25">
      <c r="A20" s="28" t="s">
        <v>165</v>
      </c>
      <c r="B20" s="52"/>
      <c r="C20" s="53">
        <f t="shared" si="0"/>
        <v>0</v>
      </c>
      <c r="D20" s="54">
        <v>0</v>
      </c>
      <c r="E20" s="53">
        <f t="shared" si="1"/>
        <v>0</v>
      </c>
      <c r="F20" s="54"/>
      <c r="G20" s="53">
        <f t="shared" si="2"/>
        <v>0</v>
      </c>
      <c r="H20" s="54">
        <v>0</v>
      </c>
      <c r="I20" s="53">
        <f t="shared" si="3"/>
        <v>0</v>
      </c>
      <c r="J20" s="54">
        <v>0</v>
      </c>
      <c r="K20" s="55">
        <f t="shared" si="4"/>
        <v>0</v>
      </c>
      <c r="L20" s="52"/>
      <c r="M20" s="53">
        <f t="shared" si="5"/>
        <v>0</v>
      </c>
      <c r="N20" s="54"/>
      <c r="O20" s="53">
        <f t="shared" si="6"/>
        <v>0</v>
      </c>
      <c r="P20" s="54"/>
      <c r="Q20" s="53">
        <f t="shared" si="7"/>
        <v>0</v>
      </c>
      <c r="R20" s="54">
        <v>0</v>
      </c>
      <c r="S20" s="53">
        <f t="shared" si="8"/>
        <v>0</v>
      </c>
      <c r="T20" s="54"/>
      <c r="U20" s="55">
        <f t="shared" si="9"/>
        <v>0</v>
      </c>
    </row>
    <row r="21" spans="1:21" x14ac:dyDescent="0.25">
      <c r="A21" s="28" t="s">
        <v>166</v>
      </c>
      <c r="B21" s="52"/>
      <c r="C21" s="53">
        <f t="shared" si="0"/>
        <v>0</v>
      </c>
      <c r="D21" s="54">
        <v>0</v>
      </c>
      <c r="E21" s="53">
        <f t="shared" si="1"/>
        <v>0</v>
      </c>
      <c r="F21" s="54"/>
      <c r="G21" s="53">
        <f t="shared" si="2"/>
        <v>0</v>
      </c>
      <c r="H21" s="54">
        <v>0</v>
      </c>
      <c r="I21" s="53">
        <f t="shared" si="3"/>
        <v>0</v>
      </c>
      <c r="J21" s="54">
        <v>0</v>
      </c>
      <c r="K21" s="55">
        <f t="shared" si="4"/>
        <v>0</v>
      </c>
      <c r="L21" s="52"/>
      <c r="M21" s="53">
        <f t="shared" si="5"/>
        <v>0</v>
      </c>
      <c r="N21" s="54"/>
      <c r="O21" s="53">
        <f t="shared" si="6"/>
        <v>0</v>
      </c>
      <c r="P21" s="54"/>
      <c r="Q21" s="53">
        <f t="shared" si="7"/>
        <v>0</v>
      </c>
      <c r="R21" s="54">
        <v>0</v>
      </c>
      <c r="S21" s="53">
        <f t="shared" si="8"/>
        <v>0</v>
      </c>
      <c r="T21" s="54"/>
      <c r="U21" s="55">
        <f t="shared" si="9"/>
        <v>0</v>
      </c>
    </row>
    <row r="22" spans="1:21" x14ac:dyDescent="0.25">
      <c r="A22" s="28" t="s">
        <v>167</v>
      </c>
      <c r="B22" s="52"/>
      <c r="C22" s="53">
        <f t="shared" si="0"/>
        <v>0</v>
      </c>
      <c r="D22" s="54">
        <v>0</v>
      </c>
      <c r="E22" s="53">
        <f t="shared" si="1"/>
        <v>0</v>
      </c>
      <c r="F22" s="54"/>
      <c r="G22" s="53">
        <f t="shared" si="2"/>
        <v>0</v>
      </c>
      <c r="H22" s="54">
        <v>1.3888888888889062E-2</v>
      </c>
      <c r="I22" s="53">
        <f t="shared" si="3"/>
        <v>3.7558685446009857E-3</v>
      </c>
      <c r="J22" s="54">
        <v>0.11111111111111105</v>
      </c>
      <c r="K22" s="55">
        <f t="shared" si="4"/>
        <v>2.5559105431309886E-2</v>
      </c>
      <c r="L22" s="52"/>
      <c r="M22" s="53">
        <f t="shared" si="5"/>
        <v>0</v>
      </c>
      <c r="N22" s="54"/>
      <c r="O22" s="53">
        <f t="shared" si="6"/>
        <v>0</v>
      </c>
      <c r="P22" s="54"/>
      <c r="Q22" s="53">
        <f t="shared" si="7"/>
        <v>0</v>
      </c>
      <c r="R22" s="54">
        <v>0</v>
      </c>
      <c r="S22" s="53">
        <f t="shared" si="8"/>
        <v>0</v>
      </c>
      <c r="T22" s="54"/>
      <c r="U22" s="55">
        <f t="shared" si="9"/>
        <v>0</v>
      </c>
    </row>
    <row r="23" spans="1:21" x14ac:dyDescent="0.25">
      <c r="A23" s="28" t="s">
        <v>168</v>
      </c>
      <c r="B23" s="52"/>
      <c r="C23" s="53">
        <f t="shared" si="0"/>
        <v>0</v>
      </c>
      <c r="D23" s="54">
        <v>0</v>
      </c>
      <c r="E23" s="53">
        <f t="shared" si="1"/>
        <v>0</v>
      </c>
      <c r="F23" s="54"/>
      <c r="G23" s="53">
        <f t="shared" si="2"/>
        <v>0</v>
      </c>
      <c r="H23" s="54">
        <v>0</v>
      </c>
      <c r="I23" s="53">
        <f t="shared" si="3"/>
        <v>0</v>
      </c>
      <c r="J23" s="54">
        <v>0</v>
      </c>
      <c r="K23" s="55">
        <f t="shared" si="4"/>
        <v>0</v>
      </c>
      <c r="L23" s="52"/>
      <c r="M23" s="53">
        <f t="shared" si="5"/>
        <v>0</v>
      </c>
      <c r="N23" s="54"/>
      <c r="O23" s="53">
        <f t="shared" si="6"/>
        <v>0</v>
      </c>
      <c r="P23" s="54"/>
      <c r="Q23" s="53">
        <f t="shared" si="7"/>
        <v>0</v>
      </c>
      <c r="R23" s="54">
        <v>0</v>
      </c>
      <c r="S23" s="53">
        <f t="shared" si="8"/>
        <v>0</v>
      </c>
      <c r="T23" s="54"/>
      <c r="U23" s="55">
        <f t="shared" si="9"/>
        <v>0</v>
      </c>
    </row>
    <row r="24" spans="1:21" x14ac:dyDescent="0.25">
      <c r="A24" s="28" t="s">
        <v>169</v>
      </c>
      <c r="B24" s="52"/>
      <c r="C24" s="53">
        <f t="shared" si="0"/>
        <v>0</v>
      </c>
      <c r="D24" s="54">
        <v>0</v>
      </c>
      <c r="E24" s="53">
        <f t="shared" si="1"/>
        <v>0</v>
      </c>
      <c r="F24" s="54"/>
      <c r="G24" s="53">
        <f t="shared" si="2"/>
        <v>0</v>
      </c>
      <c r="H24" s="54">
        <v>0</v>
      </c>
      <c r="I24" s="53">
        <f t="shared" si="3"/>
        <v>0</v>
      </c>
      <c r="J24" s="54">
        <v>0</v>
      </c>
      <c r="K24" s="55">
        <f t="shared" si="4"/>
        <v>0</v>
      </c>
      <c r="L24" s="52"/>
      <c r="M24" s="53">
        <f t="shared" si="5"/>
        <v>0</v>
      </c>
      <c r="N24" s="54"/>
      <c r="O24" s="53">
        <f t="shared" si="6"/>
        <v>0</v>
      </c>
      <c r="P24" s="54"/>
      <c r="Q24" s="53">
        <f t="shared" si="7"/>
        <v>0</v>
      </c>
      <c r="R24" s="54">
        <v>0</v>
      </c>
      <c r="S24" s="53">
        <f t="shared" si="8"/>
        <v>0</v>
      </c>
      <c r="T24" s="54"/>
      <c r="U24" s="55">
        <f t="shared" si="9"/>
        <v>0</v>
      </c>
    </row>
    <row r="25" spans="1:21" x14ac:dyDescent="0.25">
      <c r="A25" s="28" t="s">
        <v>170</v>
      </c>
      <c r="B25" s="52"/>
      <c r="C25" s="53">
        <f t="shared" si="0"/>
        <v>0</v>
      </c>
      <c r="D25" s="54">
        <v>0</v>
      </c>
      <c r="E25" s="53">
        <f t="shared" si="1"/>
        <v>0</v>
      </c>
      <c r="F25" s="54"/>
      <c r="G25" s="53">
        <f t="shared" si="2"/>
        <v>0</v>
      </c>
      <c r="H25" s="54">
        <v>0</v>
      </c>
      <c r="I25" s="53">
        <f t="shared" si="3"/>
        <v>0</v>
      </c>
      <c r="J25" s="54">
        <v>0</v>
      </c>
      <c r="K25" s="55">
        <f t="shared" si="4"/>
        <v>0</v>
      </c>
      <c r="L25" s="52"/>
      <c r="M25" s="53">
        <f t="shared" si="5"/>
        <v>0</v>
      </c>
      <c r="N25" s="54"/>
      <c r="O25" s="53">
        <f t="shared" si="6"/>
        <v>0</v>
      </c>
      <c r="P25" s="54"/>
      <c r="Q25" s="53">
        <f t="shared" si="7"/>
        <v>0</v>
      </c>
      <c r="R25" s="54">
        <v>0</v>
      </c>
      <c r="S25" s="53">
        <f t="shared" si="8"/>
        <v>0</v>
      </c>
      <c r="T25" s="54"/>
      <c r="U25" s="55">
        <f t="shared" si="9"/>
        <v>0</v>
      </c>
    </row>
    <row r="26" spans="1:21" x14ac:dyDescent="0.25">
      <c r="A26" s="28" t="s">
        <v>171</v>
      </c>
      <c r="B26" s="52"/>
      <c r="C26" s="53">
        <f t="shared" si="0"/>
        <v>0</v>
      </c>
      <c r="D26" s="54">
        <v>0</v>
      </c>
      <c r="E26" s="53">
        <f t="shared" si="1"/>
        <v>0</v>
      </c>
      <c r="F26" s="54"/>
      <c r="G26" s="53">
        <f t="shared" si="2"/>
        <v>0</v>
      </c>
      <c r="H26" s="54">
        <v>0</v>
      </c>
      <c r="I26" s="53">
        <f t="shared" si="3"/>
        <v>0</v>
      </c>
      <c r="J26" s="54">
        <v>0</v>
      </c>
      <c r="K26" s="55">
        <f t="shared" si="4"/>
        <v>0</v>
      </c>
      <c r="L26" s="52"/>
      <c r="M26" s="53">
        <f t="shared" si="5"/>
        <v>0</v>
      </c>
      <c r="N26" s="54"/>
      <c r="O26" s="53">
        <f t="shared" si="6"/>
        <v>0</v>
      </c>
      <c r="P26" s="54"/>
      <c r="Q26" s="53">
        <f t="shared" si="7"/>
        <v>0</v>
      </c>
      <c r="R26" s="54">
        <v>0</v>
      </c>
      <c r="S26" s="53">
        <f t="shared" si="8"/>
        <v>0</v>
      </c>
      <c r="T26" s="54"/>
      <c r="U26" s="55">
        <f t="shared" si="9"/>
        <v>0</v>
      </c>
    </row>
    <row r="27" spans="1:21" x14ac:dyDescent="0.25">
      <c r="A27" s="28" t="s">
        <v>172</v>
      </c>
      <c r="B27" s="52"/>
      <c r="C27" s="53">
        <f t="shared" si="0"/>
        <v>0</v>
      </c>
      <c r="D27" s="54">
        <v>0</v>
      </c>
      <c r="E27" s="53">
        <f t="shared" si="1"/>
        <v>0</v>
      </c>
      <c r="F27" s="54"/>
      <c r="G27" s="53">
        <f t="shared" si="2"/>
        <v>0</v>
      </c>
      <c r="H27" s="54">
        <v>0</v>
      </c>
      <c r="I27" s="53">
        <f t="shared" si="3"/>
        <v>0</v>
      </c>
      <c r="J27" s="54">
        <v>0</v>
      </c>
      <c r="K27" s="55">
        <f t="shared" si="4"/>
        <v>0</v>
      </c>
      <c r="L27" s="52"/>
      <c r="M27" s="53">
        <f t="shared" si="5"/>
        <v>0</v>
      </c>
      <c r="N27" s="54"/>
      <c r="O27" s="53">
        <f t="shared" si="6"/>
        <v>0</v>
      </c>
      <c r="P27" s="54"/>
      <c r="Q27" s="53">
        <f t="shared" si="7"/>
        <v>0</v>
      </c>
      <c r="R27" s="54">
        <v>0</v>
      </c>
      <c r="S27" s="53">
        <f t="shared" si="8"/>
        <v>0</v>
      </c>
      <c r="T27" s="54"/>
      <c r="U27" s="55">
        <f t="shared" si="9"/>
        <v>0</v>
      </c>
    </row>
    <row r="28" spans="1:21" x14ac:dyDescent="0.25">
      <c r="A28" s="29" t="s">
        <v>78</v>
      </c>
      <c r="B28" s="52"/>
      <c r="C28" s="53">
        <f t="shared" si="0"/>
        <v>0</v>
      </c>
      <c r="D28" s="54">
        <v>7.291666666666663E-2</v>
      </c>
      <c r="E28" s="53">
        <f t="shared" si="1"/>
        <v>5.3164556962025288E-2</v>
      </c>
      <c r="F28" s="54"/>
      <c r="G28" s="53">
        <f t="shared" si="2"/>
        <v>0</v>
      </c>
      <c r="H28" s="54">
        <v>0.26041666666666685</v>
      </c>
      <c r="I28" s="53">
        <f t="shared" si="3"/>
        <v>7.0422535211267664E-2</v>
      </c>
      <c r="J28" s="54">
        <v>0.26041666666666685</v>
      </c>
      <c r="K28" s="55">
        <f t="shared" si="4"/>
        <v>5.9904153354632617E-2</v>
      </c>
      <c r="L28" s="52"/>
      <c r="M28" s="53">
        <f t="shared" si="5"/>
        <v>0</v>
      </c>
      <c r="N28" s="54"/>
      <c r="O28" s="53">
        <f t="shared" si="6"/>
        <v>0</v>
      </c>
      <c r="P28" s="54"/>
      <c r="Q28" s="53">
        <f t="shared" si="7"/>
        <v>0</v>
      </c>
      <c r="R28" s="54">
        <v>0.41180555555555548</v>
      </c>
      <c r="S28" s="53">
        <f t="shared" si="8"/>
        <v>0.53958143767060962</v>
      </c>
      <c r="T28" s="54"/>
      <c r="U28" s="55">
        <f t="shared" si="9"/>
        <v>0</v>
      </c>
    </row>
    <row r="29" spans="1:21" x14ac:dyDescent="0.25">
      <c r="A29" s="29" t="s">
        <v>79</v>
      </c>
      <c r="B29" s="52"/>
      <c r="C29" s="53">
        <f t="shared" si="0"/>
        <v>0</v>
      </c>
      <c r="D29" s="54">
        <v>0.24652777777777757</v>
      </c>
      <c r="E29" s="53">
        <f t="shared" si="1"/>
        <v>0.17974683544303779</v>
      </c>
      <c r="F29" s="54"/>
      <c r="G29" s="53">
        <f t="shared" si="2"/>
        <v>0</v>
      </c>
      <c r="H29" s="54">
        <v>0.48958333333333282</v>
      </c>
      <c r="I29" s="53">
        <f t="shared" si="3"/>
        <v>0.13239436619718295</v>
      </c>
      <c r="J29" s="54">
        <v>0.60069444444444409</v>
      </c>
      <c r="K29" s="55">
        <f t="shared" si="4"/>
        <v>0.13817891373801905</v>
      </c>
      <c r="L29" s="52"/>
      <c r="M29" s="53">
        <f t="shared" si="5"/>
        <v>0</v>
      </c>
      <c r="N29" s="54"/>
      <c r="O29" s="53">
        <f t="shared" si="6"/>
        <v>0</v>
      </c>
      <c r="P29" s="54"/>
      <c r="Q29" s="53">
        <f t="shared" si="7"/>
        <v>0</v>
      </c>
      <c r="R29" s="54">
        <v>0</v>
      </c>
      <c r="S29" s="53">
        <f t="shared" si="8"/>
        <v>0</v>
      </c>
      <c r="T29" s="54"/>
      <c r="U29" s="55">
        <f t="shared" si="9"/>
        <v>0</v>
      </c>
    </row>
    <row r="30" spans="1:21" x14ac:dyDescent="0.25">
      <c r="A30" s="29" t="s">
        <v>80</v>
      </c>
      <c r="B30" s="52"/>
      <c r="C30" s="53">
        <f t="shared" si="0"/>
        <v>0</v>
      </c>
      <c r="D30" s="54">
        <v>0</v>
      </c>
      <c r="E30" s="53">
        <f t="shared" si="1"/>
        <v>0</v>
      </c>
      <c r="F30" s="54"/>
      <c r="G30" s="53">
        <f t="shared" si="2"/>
        <v>0</v>
      </c>
      <c r="H30" s="54">
        <v>0</v>
      </c>
      <c r="I30" s="53">
        <f t="shared" si="3"/>
        <v>0</v>
      </c>
      <c r="J30" s="54">
        <v>0</v>
      </c>
      <c r="K30" s="55">
        <f t="shared" si="4"/>
        <v>0</v>
      </c>
      <c r="L30" s="52"/>
      <c r="M30" s="53">
        <f t="shared" si="5"/>
        <v>0</v>
      </c>
      <c r="N30" s="54"/>
      <c r="O30" s="53">
        <f t="shared" si="6"/>
        <v>0</v>
      </c>
      <c r="P30" s="54"/>
      <c r="Q30" s="53">
        <f t="shared" si="7"/>
        <v>0</v>
      </c>
      <c r="R30" s="54">
        <v>0</v>
      </c>
      <c r="S30" s="53">
        <f t="shared" si="8"/>
        <v>0</v>
      </c>
      <c r="T30" s="54"/>
      <c r="U30" s="55">
        <f t="shared" si="9"/>
        <v>0</v>
      </c>
    </row>
    <row r="31" spans="1:21" x14ac:dyDescent="0.25">
      <c r="A31" s="29" t="s">
        <v>81</v>
      </c>
      <c r="B31" s="52"/>
      <c r="C31" s="53">
        <f t="shared" si="0"/>
        <v>0</v>
      </c>
      <c r="D31" s="54">
        <v>0</v>
      </c>
      <c r="E31" s="53">
        <f t="shared" si="1"/>
        <v>0</v>
      </c>
      <c r="F31" s="54"/>
      <c r="G31" s="53">
        <f t="shared" si="2"/>
        <v>0</v>
      </c>
      <c r="H31" s="54">
        <v>0</v>
      </c>
      <c r="I31" s="53">
        <f t="shared" si="3"/>
        <v>0</v>
      </c>
      <c r="J31" s="54">
        <v>0</v>
      </c>
      <c r="K31" s="55">
        <f t="shared" si="4"/>
        <v>0</v>
      </c>
      <c r="L31" s="52"/>
      <c r="M31" s="53">
        <f t="shared" si="5"/>
        <v>0</v>
      </c>
      <c r="N31" s="54"/>
      <c r="O31" s="53">
        <f t="shared" si="6"/>
        <v>0</v>
      </c>
      <c r="P31" s="54"/>
      <c r="Q31" s="53">
        <f t="shared" si="7"/>
        <v>0</v>
      </c>
      <c r="R31" s="54">
        <v>0</v>
      </c>
      <c r="S31" s="53">
        <f t="shared" si="8"/>
        <v>0</v>
      </c>
      <c r="T31" s="54"/>
      <c r="U31" s="55">
        <f t="shared" si="9"/>
        <v>0</v>
      </c>
    </row>
    <row r="32" spans="1:21" x14ac:dyDescent="0.25">
      <c r="A32" s="29" t="s">
        <v>82</v>
      </c>
      <c r="B32" s="52"/>
      <c r="C32" s="53">
        <f t="shared" si="0"/>
        <v>0</v>
      </c>
      <c r="D32" s="54">
        <v>0</v>
      </c>
      <c r="E32" s="53">
        <f t="shared" si="1"/>
        <v>0</v>
      </c>
      <c r="F32" s="54"/>
      <c r="G32" s="53">
        <f t="shared" si="2"/>
        <v>0</v>
      </c>
      <c r="H32" s="54">
        <v>0</v>
      </c>
      <c r="I32" s="53">
        <f t="shared" si="3"/>
        <v>0</v>
      </c>
      <c r="J32" s="54">
        <v>0</v>
      </c>
      <c r="K32" s="55">
        <f t="shared" si="4"/>
        <v>0</v>
      </c>
      <c r="L32" s="52"/>
      <c r="M32" s="53">
        <f t="shared" si="5"/>
        <v>0</v>
      </c>
      <c r="N32" s="54"/>
      <c r="O32" s="53">
        <f t="shared" si="6"/>
        <v>0</v>
      </c>
      <c r="P32" s="54"/>
      <c r="Q32" s="53">
        <f t="shared" si="7"/>
        <v>0</v>
      </c>
      <c r="R32" s="54">
        <v>0</v>
      </c>
      <c r="S32" s="53">
        <f t="shared" si="8"/>
        <v>0</v>
      </c>
      <c r="T32" s="54"/>
      <c r="U32" s="55">
        <f t="shared" si="9"/>
        <v>0</v>
      </c>
    </row>
    <row r="33" spans="1:21" x14ac:dyDescent="0.25">
      <c r="A33" s="29" t="s">
        <v>83</v>
      </c>
      <c r="B33" s="52"/>
      <c r="C33" s="53">
        <f t="shared" si="0"/>
        <v>0</v>
      </c>
      <c r="D33" s="54">
        <v>0</v>
      </c>
      <c r="E33" s="53">
        <f t="shared" si="1"/>
        <v>0</v>
      </c>
      <c r="F33" s="54"/>
      <c r="G33" s="53">
        <f t="shared" si="2"/>
        <v>0</v>
      </c>
      <c r="H33" s="54">
        <v>3.4722222222222099E-2</v>
      </c>
      <c r="I33" s="53">
        <f t="shared" si="3"/>
        <v>9.3896713615023147E-3</v>
      </c>
      <c r="J33" s="54">
        <v>3.4722222222222099E-2</v>
      </c>
      <c r="K33" s="55">
        <f t="shared" si="4"/>
        <v>7.9872204472843152E-3</v>
      </c>
      <c r="L33" s="52"/>
      <c r="M33" s="53">
        <f t="shared" si="5"/>
        <v>0</v>
      </c>
      <c r="N33" s="54"/>
      <c r="O33" s="53">
        <f t="shared" si="6"/>
        <v>0</v>
      </c>
      <c r="P33" s="54"/>
      <c r="Q33" s="53">
        <f t="shared" si="7"/>
        <v>0</v>
      </c>
      <c r="R33" s="54">
        <v>2.9861111111111116E-2</v>
      </c>
      <c r="S33" s="53">
        <f t="shared" si="8"/>
        <v>3.9126478616924483E-2</v>
      </c>
      <c r="T33" s="54"/>
      <c r="U33" s="55">
        <f t="shared" si="9"/>
        <v>0</v>
      </c>
    </row>
    <row r="34" spans="1:21" x14ac:dyDescent="0.25">
      <c r="A34" s="29" t="s">
        <v>84</v>
      </c>
      <c r="B34" s="52"/>
      <c r="C34" s="53">
        <f t="shared" si="0"/>
        <v>0</v>
      </c>
      <c r="D34" s="54">
        <v>0.80208333333333337</v>
      </c>
      <c r="E34" s="53">
        <f t="shared" si="1"/>
        <v>0.58481012658227849</v>
      </c>
      <c r="F34" s="54"/>
      <c r="G34" s="53">
        <f t="shared" si="2"/>
        <v>0</v>
      </c>
      <c r="H34" s="54">
        <v>1.6562499999999998</v>
      </c>
      <c r="I34" s="53">
        <f t="shared" si="3"/>
        <v>0.44788732394366193</v>
      </c>
      <c r="J34" s="54">
        <v>2.0104166666666665</v>
      </c>
      <c r="K34" s="55">
        <f t="shared" si="4"/>
        <v>0.46246006389776345</v>
      </c>
      <c r="L34" s="52"/>
      <c r="M34" s="53">
        <f t="shared" si="5"/>
        <v>0</v>
      </c>
      <c r="N34" s="54"/>
      <c r="O34" s="53">
        <f t="shared" si="6"/>
        <v>0</v>
      </c>
      <c r="P34" s="54"/>
      <c r="Q34" s="53">
        <f t="shared" si="7"/>
        <v>0</v>
      </c>
      <c r="R34" s="54">
        <v>0</v>
      </c>
      <c r="S34" s="53">
        <f t="shared" si="8"/>
        <v>0</v>
      </c>
      <c r="T34" s="54"/>
      <c r="U34" s="55">
        <f t="shared" si="9"/>
        <v>0</v>
      </c>
    </row>
    <row r="35" spans="1:21" ht="15.75" thickBot="1" x14ac:dyDescent="0.3">
      <c r="A35" s="30" t="s">
        <v>85</v>
      </c>
      <c r="B35" s="52"/>
      <c r="C35" s="53">
        <f t="shared" si="0"/>
        <v>0</v>
      </c>
      <c r="D35" s="54">
        <v>0.15972222222222232</v>
      </c>
      <c r="E35" s="53">
        <f t="shared" si="1"/>
        <v>0.11645569620253171</v>
      </c>
      <c r="F35" s="54"/>
      <c r="G35" s="53">
        <f t="shared" si="2"/>
        <v>0</v>
      </c>
      <c r="H35" s="54">
        <v>1.0138888888888888</v>
      </c>
      <c r="I35" s="53">
        <f t="shared" si="3"/>
        <v>0.27417840375586855</v>
      </c>
      <c r="J35" s="54">
        <v>1.0520833333333335</v>
      </c>
      <c r="K35" s="55">
        <f t="shared" si="4"/>
        <v>0.24201277955271563</v>
      </c>
      <c r="L35" s="52"/>
      <c r="M35" s="53">
        <f t="shared" si="5"/>
        <v>0</v>
      </c>
      <c r="N35" s="54"/>
      <c r="O35" s="53">
        <f t="shared" si="6"/>
        <v>0</v>
      </c>
      <c r="P35" s="54"/>
      <c r="Q35" s="53">
        <f t="shared" si="7"/>
        <v>0</v>
      </c>
      <c r="R35" s="54">
        <v>2.8472222222222204E-2</v>
      </c>
      <c r="S35" s="53">
        <f t="shared" si="8"/>
        <v>3.730664240218378E-2</v>
      </c>
      <c r="T35" s="54"/>
      <c r="U35" s="55">
        <f t="shared" si="9"/>
        <v>0</v>
      </c>
    </row>
    <row r="36" spans="1:21" ht="15.75" thickBot="1" x14ac:dyDescent="0.3">
      <c r="A36" s="30" t="s">
        <v>86</v>
      </c>
      <c r="B36" s="56"/>
      <c r="C36" s="57">
        <f t="shared" si="0"/>
        <v>0</v>
      </c>
      <c r="D36" s="58">
        <v>0</v>
      </c>
      <c r="E36" s="57">
        <f t="shared" si="1"/>
        <v>0</v>
      </c>
      <c r="F36" s="58"/>
      <c r="G36" s="57">
        <f t="shared" si="2"/>
        <v>0</v>
      </c>
      <c r="H36" s="58">
        <v>0</v>
      </c>
      <c r="I36" s="57">
        <f t="shared" si="3"/>
        <v>0</v>
      </c>
      <c r="J36" s="58">
        <v>0</v>
      </c>
      <c r="K36" s="59">
        <f t="shared" si="4"/>
        <v>0</v>
      </c>
      <c r="L36" s="56"/>
      <c r="M36" s="57">
        <f t="shared" si="5"/>
        <v>0</v>
      </c>
      <c r="N36" s="58"/>
      <c r="O36" s="57">
        <f t="shared" si="6"/>
        <v>0</v>
      </c>
      <c r="P36" s="58"/>
      <c r="Q36" s="57">
        <f t="shared" si="7"/>
        <v>0</v>
      </c>
      <c r="R36" s="58">
        <v>0.23611111111111094</v>
      </c>
      <c r="S36" s="57">
        <f t="shared" si="8"/>
        <v>0.30937215650591426</v>
      </c>
      <c r="T36" s="58"/>
      <c r="U36" s="59">
        <f t="shared" si="9"/>
        <v>0</v>
      </c>
    </row>
    <row r="37" spans="1:21" x14ac:dyDescent="0.25">
      <c r="B37" s="45">
        <f>SUM(B4:B36)</f>
        <v>0</v>
      </c>
      <c r="D37" s="45">
        <f>SUM(D4:D36)</f>
        <v>1.3715277777777779</v>
      </c>
      <c r="F37" s="45">
        <f>SUM(F4:F36)</f>
        <v>0</v>
      </c>
      <c r="H37" s="45">
        <f>SUM(H4:H36)</f>
        <v>3.6979166666666665</v>
      </c>
      <c r="J37" s="45">
        <f>SUM(J4:J36)</f>
        <v>4.3472222222222232</v>
      </c>
      <c r="L37" s="45">
        <f>SUM(L4:L36)</f>
        <v>0</v>
      </c>
      <c r="N37" s="45">
        <f>SUM(N4:N36)</f>
        <v>0</v>
      </c>
      <c r="P37" s="45">
        <f>SUM(P4:P36)</f>
        <v>0</v>
      </c>
      <c r="R37" s="45">
        <f>SUM(R4:R36)</f>
        <v>0.7631944444444444</v>
      </c>
      <c r="T37" s="45">
        <f>SUM(T4:T36)</f>
        <v>0</v>
      </c>
    </row>
    <row r="38" spans="1:21" x14ac:dyDescent="0.25">
      <c r="D38" s="39">
        <v>32.9166666666667</v>
      </c>
      <c r="H38" s="39">
        <v>88.75</v>
      </c>
      <c r="J38" s="39">
        <v>104.333333333333</v>
      </c>
      <c r="R38" s="39">
        <v>18.316666666666698</v>
      </c>
    </row>
    <row r="39" spans="1:21" x14ac:dyDescent="0.25">
      <c r="D39" s="39">
        <v>32.9166666666667</v>
      </c>
      <c r="H39" s="39">
        <v>88.75</v>
      </c>
      <c r="J39" s="39">
        <v>104.333333333333</v>
      </c>
      <c r="R39" s="39">
        <v>18.316666666666698</v>
      </c>
    </row>
  </sheetData>
  <mergeCells count="12">
    <mergeCell ref="P2:Q2"/>
    <mergeCell ref="R2:S2"/>
    <mergeCell ref="T2:U2"/>
    <mergeCell ref="B1:K1"/>
    <mergeCell ref="L1:U1"/>
    <mergeCell ref="B2:C2"/>
    <mergeCell ref="D2:E2"/>
    <mergeCell ref="F2:G2"/>
    <mergeCell ref="H2:I2"/>
    <mergeCell ref="J2:K2"/>
    <mergeCell ref="L2:M2"/>
    <mergeCell ref="N2:O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</vt:i4>
      </vt:variant>
    </vt:vector>
  </HeadingPairs>
  <TitlesOfParts>
    <vt:vector size="17" baseType="lpstr">
      <vt:lpstr>SunDates</vt:lpstr>
      <vt:lpstr>Categories</vt:lpstr>
      <vt:lpstr>FolderList</vt:lpstr>
      <vt:lpstr>EmplToDpts</vt:lpstr>
      <vt:lpstr>TX_Management</vt:lpstr>
      <vt:lpstr>Bookkeepers</vt:lpstr>
      <vt:lpstr>Dispatchers</vt:lpstr>
      <vt:lpstr>Researchers</vt:lpstr>
      <vt:lpstr>Schedulers</vt:lpstr>
      <vt:lpstr>Billing</vt:lpstr>
      <vt:lpstr>Operational</vt:lpstr>
      <vt:lpstr>Insurance</vt:lpstr>
      <vt:lpstr>HR-Marketing</vt:lpstr>
      <vt:lpstr>Frontdesk</vt:lpstr>
      <vt:lpstr>IT</vt:lpstr>
      <vt:lpstr>CA</vt:lpstr>
      <vt:lpstr>TX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2017-11-28T01:11:29Z</dcterms:created>
  <dcterms:modified xsi:type="dcterms:W3CDTF">2018-01-15T20:32:40Z</dcterms:modified>
</cp:coreProperties>
</file>